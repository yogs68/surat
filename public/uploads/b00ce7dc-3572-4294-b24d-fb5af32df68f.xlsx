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1140" windowWidth="20640" windowHeight="9900" tabRatio="844" activeTab="25"/>
  </bookViews>
  <sheets>
    <sheet name="1" sheetId="5" r:id="rId1"/>
    <sheet name="2" sheetId="6" r:id="rId2"/>
    <sheet name="3" sheetId="7" r:id="rId3"/>
    <sheet name="4" sheetId="8" r:id="rId4"/>
    <sheet name="5" sheetId="9" r:id="rId5"/>
    <sheet name="6" sheetId="10" r:id="rId6"/>
    <sheet name="7" sheetId="11" r:id="rId7"/>
    <sheet name="8" sheetId="12" r:id="rId8"/>
    <sheet name="9" sheetId="13" r:id="rId9"/>
    <sheet name="10" sheetId="14" r:id="rId10"/>
    <sheet name="11" sheetId="15" r:id="rId11"/>
    <sheet name="12" sheetId="16" r:id="rId12"/>
    <sheet name="13" sheetId="17" r:id="rId13"/>
    <sheet name="14" sheetId="18" r:id="rId14"/>
    <sheet name="15" sheetId="19" r:id="rId15"/>
    <sheet name="16" sheetId="20" r:id="rId16"/>
    <sheet name="17" sheetId="21" r:id="rId17"/>
    <sheet name="18" sheetId="22" r:id="rId18"/>
    <sheet name="19" sheetId="23" r:id="rId19"/>
    <sheet name="20" sheetId="24" r:id="rId20"/>
    <sheet name="21" sheetId="25" r:id="rId21"/>
    <sheet name="22" sheetId="26" r:id="rId22"/>
    <sheet name="23" sheetId="27" r:id="rId23"/>
    <sheet name="24" sheetId="28" r:id="rId24"/>
    <sheet name="25" sheetId="29" r:id="rId25"/>
    <sheet name="26" sheetId="30" r:id="rId26"/>
    <sheet name="27" sheetId="31" r:id="rId27"/>
    <sheet name="28" sheetId="32" r:id="rId28"/>
    <sheet name="29" sheetId="33" r:id="rId29"/>
    <sheet name="30" sheetId="34" r:id="rId30"/>
    <sheet name="31" sheetId="35" r:id="rId31"/>
    <sheet name="Rolled" sheetId="36" r:id="rId32"/>
    <sheet name="KPI" sheetId="37" r:id="rId33"/>
    <sheet name="Rework A1" sheetId="38" r:id="rId34"/>
    <sheet name="Riject" sheetId="39" r:id="rId35"/>
  </sheets>
  <definedNames>
    <definedName name="_xlnm.Print_Area" localSheetId="0">'1'!$A$1:$Q$49</definedName>
    <definedName name="_xlnm.Print_Area" localSheetId="9">'10'!$A$1:$Q$94</definedName>
    <definedName name="_xlnm.Print_Area" localSheetId="10">'11'!$A$1:$Q$49</definedName>
    <definedName name="_xlnm.Print_Area" localSheetId="11">'12'!$A$50:$Q$94</definedName>
    <definedName name="_xlnm.Print_Area" localSheetId="12">'13'!$A$1:$Q$94</definedName>
    <definedName name="_xlnm.Print_Area" localSheetId="13">'14'!$A$1:$Q$94</definedName>
    <definedName name="_xlnm.Print_Area" localSheetId="14">'15'!$A$1:$Q$94</definedName>
    <definedName name="_xlnm.Print_Area" localSheetId="15">'16'!$A$1:$Q$94</definedName>
    <definedName name="_xlnm.Print_Area" localSheetId="16">'17'!$A$1:$Q$94</definedName>
    <definedName name="_xlnm.Print_Area" localSheetId="17">'18'!$A$1:$Q$94</definedName>
    <definedName name="_xlnm.Print_Area" localSheetId="18">'19'!$A$1:$Q$94</definedName>
    <definedName name="_xlnm.Print_Area" localSheetId="1">'2'!$A$1:$Q$49</definedName>
    <definedName name="_xlnm.Print_Area" localSheetId="19">'20'!$A$1:$Q$96</definedName>
    <definedName name="_xlnm.Print_Area" localSheetId="20">'21'!$A$1:$Q$94</definedName>
    <definedName name="_xlnm.Print_Area" localSheetId="21">'22'!$A$1:$Q$95</definedName>
    <definedName name="_xlnm.Print_Area" localSheetId="22">'23'!$A$50:$Q$94</definedName>
    <definedName name="_xlnm.Print_Area" localSheetId="23">'24'!$A$1:$Q$94</definedName>
    <definedName name="_xlnm.Print_Area" localSheetId="24">'25'!$A$50:$Q$94</definedName>
    <definedName name="_xlnm.Print_Area" localSheetId="25">'26'!$A$1:$Q$49</definedName>
    <definedName name="_xlnm.Print_Area" localSheetId="26">'27'!$A$1:$Q$49</definedName>
    <definedName name="_xlnm.Print_Area" localSheetId="27">'28'!$A$1:$Q$49</definedName>
    <definedName name="_xlnm.Print_Area" localSheetId="28">'29'!$A$1:$Q$49</definedName>
    <definedName name="_xlnm.Print_Area" localSheetId="2">'3'!$A$1:$Q$49</definedName>
    <definedName name="_xlnm.Print_Area" localSheetId="29">'30'!$A$1:$Q$49</definedName>
    <definedName name="_xlnm.Print_Area" localSheetId="30">'31'!$A$1:$Q$49</definedName>
    <definedName name="_xlnm.Print_Area" localSheetId="3">'4'!$A$1:$Q$49</definedName>
    <definedName name="_xlnm.Print_Area" localSheetId="4">'5'!$A$1:$Q$49</definedName>
    <definedName name="_xlnm.Print_Area" localSheetId="5">'6'!$A$1:$Q$49</definedName>
    <definedName name="_xlnm.Print_Area" localSheetId="6">'7'!$A$1:$Q$94</definedName>
    <definedName name="_xlnm.Print_Area" localSheetId="7">'8'!$A$50:$R$94</definedName>
    <definedName name="_xlnm.Print_Area" localSheetId="8">'9'!$A$1:$Q$94</definedName>
  </definedNames>
  <calcPr calcId="145621"/>
  <pivotCaches>
    <pivotCache cacheId="3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9" l="1"/>
  <c r="J49" i="29"/>
  <c r="E40" i="29"/>
  <c r="D40" i="29"/>
  <c r="K48" i="29"/>
  <c r="J48" i="29"/>
  <c r="E44" i="29"/>
  <c r="D44" i="29"/>
  <c r="N23" i="29"/>
  <c r="M23" i="29"/>
  <c r="N22" i="29"/>
  <c r="M22" i="29"/>
  <c r="K23" i="29"/>
  <c r="J23" i="29"/>
  <c r="K22" i="29"/>
  <c r="J22" i="29"/>
  <c r="E23" i="29"/>
  <c r="D23" i="29"/>
  <c r="E22" i="29"/>
  <c r="D22" i="29"/>
  <c r="C22" i="29"/>
  <c r="C23" i="29"/>
  <c r="B23" i="29"/>
  <c r="B22" i="29"/>
  <c r="E44" i="28"/>
  <c r="D44" i="28"/>
  <c r="E41" i="28"/>
  <c r="D41" i="28"/>
  <c r="E37" i="28"/>
  <c r="D37" i="28"/>
  <c r="E38" i="28"/>
  <c r="D38" i="28"/>
  <c r="N23" i="28"/>
  <c r="M23" i="28"/>
  <c r="N22" i="28"/>
  <c r="M22" i="28"/>
  <c r="K23" i="28"/>
  <c r="J23" i="28"/>
  <c r="K22" i="28"/>
  <c r="J22" i="28"/>
  <c r="E23" i="28"/>
  <c r="D23" i="28"/>
  <c r="E22" i="28"/>
  <c r="D22" i="28"/>
  <c r="C23" i="28"/>
  <c r="C22" i="28"/>
  <c r="B23" i="28"/>
  <c r="B22" i="28"/>
  <c r="F9" i="28"/>
  <c r="F8" i="28"/>
  <c r="K47" i="27" l="1"/>
  <c r="J47" i="27"/>
  <c r="E42" i="27"/>
  <c r="D42" i="27"/>
  <c r="K46" i="27"/>
  <c r="J46" i="27"/>
  <c r="L13" i="27"/>
  <c r="L12" i="27"/>
  <c r="L11" i="27"/>
  <c r="E34" i="27"/>
  <c r="D34" i="27"/>
  <c r="E43" i="27"/>
  <c r="D43" i="27"/>
  <c r="E38" i="27"/>
  <c r="D38" i="27"/>
  <c r="E44" i="26" l="1"/>
  <c r="D44" i="26"/>
  <c r="E37" i="26"/>
  <c r="D37" i="26"/>
  <c r="E35" i="26"/>
  <c r="D35" i="26"/>
  <c r="E43" i="26"/>
  <c r="D43" i="26"/>
  <c r="K44" i="26"/>
  <c r="K45" i="26"/>
  <c r="K46" i="26"/>
  <c r="J46" i="26"/>
  <c r="J45" i="26"/>
  <c r="J44" i="26"/>
  <c r="E32" i="26"/>
  <c r="D32" i="26"/>
  <c r="L13" i="26"/>
  <c r="E48" i="25" l="1"/>
  <c r="E49" i="25"/>
  <c r="D48" i="25"/>
  <c r="D49" i="25"/>
  <c r="K42" i="25"/>
  <c r="J42" i="25"/>
  <c r="E47" i="25"/>
  <c r="D47" i="25"/>
  <c r="K32" i="25"/>
  <c r="J32" i="25"/>
  <c r="K34" i="24" l="1"/>
  <c r="J34" i="24"/>
  <c r="K37" i="24"/>
  <c r="J37" i="24"/>
  <c r="K43" i="24"/>
  <c r="J43" i="24"/>
  <c r="K42" i="24"/>
  <c r="J42" i="24"/>
  <c r="E40" i="24"/>
  <c r="D40" i="24"/>
  <c r="K41" i="24"/>
  <c r="J41" i="24"/>
  <c r="K39" i="24"/>
  <c r="K40" i="24"/>
  <c r="J40" i="24"/>
  <c r="J39" i="24"/>
  <c r="F17" i="24"/>
  <c r="L15" i="24"/>
  <c r="L16" i="24"/>
  <c r="L10" i="24"/>
  <c r="L11" i="24"/>
  <c r="E37" i="23" l="1"/>
  <c r="D37" i="23"/>
  <c r="E34" i="23"/>
  <c r="D34" i="23"/>
  <c r="K37" i="23"/>
  <c r="J37" i="23"/>
  <c r="E37" i="22" l="1"/>
  <c r="D37" i="22"/>
  <c r="E34" i="22"/>
  <c r="D34" i="22"/>
  <c r="K35" i="22"/>
  <c r="K36" i="22"/>
  <c r="J36" i="22"/>
  <c r="J35" i="22"/>
  <c r="E42" i="22"/>
  <c r="D42" i="22"/>
  <c r="F9" i="22"/>
  <c r="F7" i="21"/>
  <c r="K34" i="21"/>
  <c r="J34" i="21"/>
  <c r="E42" i="21"/>
  <c r="D42" i="21"/>
  <c r="D34" i="21"/>
  <c r="E36" i="21"/>
  <c r="D36" i="21"/>
  <c r="K33" i="20" l="1"/>
  <c r="J33" i="20"/>
  <c r="E36" i="20"/>
  <c r="D36" i="20"/>
  <c r="E34" i="20"/>
  <c r="D34" i="20"/>
  <c r="F8" i="19"/>
  <c r="K32" i="19"/>
  <c r="J32" i="19"/>
  <c r="E34" i="19"/>
  <c r="D34" i="19"/>
  <c r="F14" i="18" l="1"/>
  <c r="K31" i="18"/>
  <c r="K32" i="18"/>
  <c r="J32" i="18"/>
  <c r="J31" i="18"/>
  <c r="K30" i="18"/>
  <c r="J30" i="18"/>
  <c r="E49" i="18"/>
  <c r="D49" i="18"/>
  <c r="F9" i="18"/>
  <c r="E49" i="17" l="1"/>
  <c r="D49" i="17"/>
  <c r="E48" i="17"/>
  <c r="D48" i="17"/>
  <c r="E47" i="17"/>
  <c r="D47" i="17"/>
  <c r="E46" i="16" l="1"/>
  <c r="D46" i="16"/>
  <c r="E40" i="16"/>
  <c r="D40" i="16"/>
  <c r="E45" i="16"/>
  <c r="D45" i="16"/>
  <c r="F9" i="16"/>
  <c r="N23" i="16"/>
  <c r="M23" i="16"/>
  <c r="K23" i="16"/>
  <c r="J23" i="16"/>
  <c r="E23" i="16"/>
  <c r="D23" i="16"/>
  <c r="C23" i="16"/>
  <c r="B23" i="16"/>
  <c r="B22" i="16"/>
  <c r="N22" i="16"/>
  <c r="M22" i="16"/>
  <c r="K22" i="16"/>
  <c r="J22" i="16"/>
  <c r="E22" i="16"/>
  <c r="D22" i="16"/>
  <c r="C22" i="16"/>
  <c r="E44" i="16"/>
  <c r="D44" i="16"/>
  <c r="A50" i="15" l="1"/>
  <c r="E43" i="15"/>
  <c r="D43" i="15"/>
  <c r="E44" i="15"/>
  <c r="D44" i="15"/>
  <c r="E42" i="15"/>
  <c r="D42" i="15"/>
  <c r="E39" i="15"/>
  <c r="D39" i="15"/>
  <c r="E38" i="15"/>
  <c r="D38" i="15"/>
  <c r="E35" i="15"/>
  <c r="D35" i="15"/>
  <c r="E34" i="15"/>
  <c r="D34" i="15"/>
  <c r="N23" i="15"/>
  <c r="M23" i="15"/>
  <c r="N22" i="15"/>
  <c r="M22" i="15"/>
  <c r="K23" i="15"/>
  <c r="J23" i="15"/>
  <c r="K22" i="15"/>
  <c r="J22" i="15"/>
  <c r="E23" i="15"/>
  <c r="D23" i="15"/>
  <c r="E22" i="15"/>
  <c r="D22" i="15"/>
  <c r="C23" i="15"/>
  <c r="B23" i="15"/>
  <c r="C22" i="15"/>
  <c r="B22" i="15"/>
  <c r="F10" i="15"/>
  <c r="F9" i="15"/>
  <c r="F7" i="14"/>
  <c r="E36" i="14"/>
  <c r="E37" i="14"/>
  <c r="D37" i="14"/>
  <c r="D36" i="14"/>
  <c r="E34" i="14"/>
  <c r="D34" i="14"/>
  <c r="F9" i="13" l="1"/>
  <c r="E42" i="13"/>
  <c r="D42" i="13"/>
  <c r="E37" i="13"/>
  <c r="D37" i="13"/>
  <c r="E34" i="13"/>
  <c r="D34" i="13"/>
  <c r="E40" i="12" l="1"/>
  <c r="E41" i="12"/>
  <c r="B23" i="10"/>
  <c r="B22" i="10"/>
  <c r="K8" i="12" l="1"/>
  <c r="B22" i="11"/>
  <c r="C23" i="11"/>
  <c r="C23" i="12" s="1"/>
  <c r="B23" i="11"/>
  <c r="E34" i="12"/>
  <c r="D34" i="12"/>
  <c r="D41" i="12"/>
  <c r="D40" i="12"/>
  <c r="E39" i="12"/>
  <c r="D39" i="12"/>
  <c r="N23" i="12"/>
  <c r="M23" i="12"/>
  <c r="N22" i="12"/>
  <c r="M22" i="12"/>
  <c r="K23" i="12"/>
  <c r="J23" i="12"/>
  <c r="K22" i="12"/>
  <c r="J22" i="12"/>
  <c r="E23" i="12"/>
  <c r="D23" i="12"/>
  <c r="E22" i="12"/>
  <c r="D22" i="12"/>
  <c r="C22" i="12"/>
  <c r="B23" i="12"/>
  <c r="B22" i="12" l="1"/>
  <c r="E34" i="11"/>
  <c r="E35" i="11"/>
  <c r="E36" i="11"/>
  <c r="E37" i="11"/>
  <c r="E38" i="11"/>
  <c r="E39" i="11"/>
  <c r="D39" i="11"/>
  <c r="D38" i="11"/>
  <c r="D37" i="11"/>
  <c r="D36" i="11"/>
  <c r="D35" i="11"/>
  <c r="D34" i="11"/>
  <c r="P87" i="11"/>
  <c r="E32" i="11"/>
  <c r="D32" i="11"/>
  <c r="P85" i="10"/>
  <c r="N23" i="11"/>
  <c r="M23" i="11"/>
  <c r="K23" i="11"/>
  <c r="J23" i="11"/>
  <c r="E23" i="11"/>
  <c r="D23" i="11"/>
  <c r="B24" i="11"/>
  <c r="N22" i="11"/>
  <c r="M22" i="11"/>
  <c r="K22" i="11"/>
  <c r="J22" i="11"/>
  <c r="E22" i="11"/>
  <c r="D22" i="11"/>
  <c r="C22" i="11"/>
  <c r="Q79" i="11"/>
  <c r="J62" i="36" l="1"/>
  <c r="I62" i="36"/>
  <c r="F8" i="10"/>
  <c r="F7" i="10"/>
  <c r="E31" i="10"/>
  <c r="E32" i="10"/>
  <c r="E33" i="10"/>
  <c r="D33" i="10"/>
  <c r="D32" i="10"/>
  <c r="D31" i="10"/>
  <c r="E30" i="10"/>
  <c r="D30" i="10"/>
  <c r="N23" i="10"/>
  <c r="M23" i="10"/>
  <c r="K23" i="10"/>
  <c r="J23" i="10"/>
  <c r="E23" i="10"/>
  <c r="D23" i="10"/>
  <c r="C23" i="10"/>
  <c r="N22" i="10"/>
  <c r="M22" i="10"/>
  <c r="K22" i="10"/>
  <c r="J22" i="10"/>
  <c r="E22" i="10"/>
  <c r="D22" i="10"/>
  <c r="C22" i="10"/>
  <c r="U55" i="10" l="1"/>
  <c r="U55" i="11" s="1"/>
  <c r="U55" i="12" s="1"/>
  <c r="U55" i="13" s="1"/>
  <c r="U55" i="14" s="1"/>
  <c r="U55" i="15" s="1"/>
  <c r="U55" i="16" s="1"/>
  <c r="U55" i="17" s="1"/>
  <c r="U55" i="18" s="1"/>
  <c r="U55" i="19" s="1"/>
  <c r="U55" i="20" s="1"/>
  <c r="U55" i="21" s="1"/>
  <c r="U55" i="22" s="1"/>
  <c r="U55" i="23" s="1"/>
  <c r="U57" i="24" s="1"/>
  <c r="U55" i="25" s="1"/>
  <c r="U56" i="26" s="1"/>
  <c r="U55" i="27" s="1"/>
  <c r="U55" i="28" s="1"/>
  <c r="U55" i="29" s="1"/>
  <c r="U55" i="30" s="1"/>
  <c r="U55" i="31" s="1"/>
  <c r="U55" i="32" s="1"/>
  <c r="U55" i="33" s="1"/>
  <c r="U55" i="34" s="1"/>
  <c r="U55" i="35" s="1"/>
  <c r="F24" i="23" l="1"/>
  <c r="F24" i="22"/>
  <c r="F24" i="21"/>
  <c r="F24" i="20"/>
  <c r="F24" i="19"/>
  <c r="F24" i="18"/>
  <c r="F24" i="17"/>
  <c r="F24" i="16"/>
  <c r="F24" i="15"/>
  <c r="F24" i="14"/>
  <c r="F24" i="13"/>
  <c r="F24" i="12"/>
  <c r="F24" i="11"/>
  <c r="F24" i="10"/>
  <c r="F23" i="10"/>
  <c r="F24" i="9"/>
  <c r="F23" i="9"/>
  <c r="F22" i="9"/>
  <c r="F24" i="8"/>
  <c r="F23" i="8"/>
  <c r="F22" i="8"/>
  <c r="F24" i="7"/>
  <c r="F23" i="7"/>
  <c r="F22" i="7"/>
  <c r="F24" i="6"/>
  <c r="F23" i="6"/>
  <c r="F22" i="6"/>
  <c r="F16" i="5"/>
  <c r="N22" i="9"/>
  <c r="M22" i="9"/>
  <c r="K22" i="9"/>
  <c r="J22" i="9"/>
  <c r="E22" i="9"/>
  <c r="D22" i="9"/>
  <c r="C22" i="9"/>
  <c r="B22" i="9"/>
  <c r="N22" i="8"/>
  <c r="M22" i="8"/>
  <c r="K22" i="8"/>
  <c r="J22" i="8"/>
  <c r="E22" i="8"/>
  <c r="D22" i="8"/>
  <c r="C22" i="8"/>
  <c r="B22" i="8"/>
  <c r="N22" i="7"/>
  <c r="M22" i="7"/>
  <c r="K22" i="7"/>
  <c r="J22" i="7"/>
  <c r="E22" i="7"/>
  <c r="D22" i="7"/>
  <c r="C22" i="7"/>
  <c r="B22" i="7"/>
  <c r="M30" i="9" l="1"/>
  <c r="M30" i="10" s="1"/>
  <c r="M30" i="11" s="1"/>
  <c r="M30" i="12" s="1"/>
  <c r="M30" i="13" s="1"/>
  <c r="M30" i="14" s="1"/>
  <c r="M30" i="15" s="1"/>
  <c r="M30" i="16" s="1"/>
  <c r="M30" i="17" s="1"/>
  <c r="M30" i="18" s="1"/>
  <c r="M30" i="19" s="1"/>
  <c r="M30" i="20" s="1"/>
  <c r="M30" i="21" s="1"/>
  <c r="M30" i="22" s="1"/>
  <c r="M30" i="23" s="1"/>
  <c r="M32" i="24" s="1"/>
  <c r="M30" i="25" s="1"/>
  <c r="M31" i="26" s="1"/>
  <c r="M30" i="27" s="1"/>
  <c r="M30" i="28" s="1"/>
  <c r="M30" i="29" s="1"/>
  <c r="M30" i="30" s="1"/>
  <c r="M30" i="31" s="1"/>
  <c r="M30" i="32" s="1"/>
  <c r="M30" i="33" s="1"/>
  <c r="M30" i="34" s="1"/>
  <c r="M30" i="35" s="1"/>
  <c r="M42" i="8"/>
  <c r="M42" i="9" s="1"/>
  <c r="M42" i="10" s="1"/>
  <c r="M42" i="11" s="1"/>
  <c r="M42" i="12" s="1"/>
  <c r="M42" i="13" s="1"/>
  <c r="M42" i="14" s="1"/>
  <c r="M42" i="15" s="1"/>
  <c r="M42" i="16" s="1"/>
  <c r="M42" i="17" s="1"/>
  <c r="M42" i="18" s="1"/>
  <c r="M42" i="19" s="1"/>
  <c r="M42" i="20" s="1"/>
  <c r="M42" i="21" s="1"/>
  <c r="M42" i="22" s="1"/>
  <c r="M42" i="23" s="1"/>
  <c r="M44" i="24" s="1"/>
  <c r="M42" i="25" s="1"/>
  <c r="M43" i="26" s="1"/>
  <c r="M42" i="27" s="1"/>
  <c r="M42" i="28" s="1"/>
  <c r="M42" i="29" s="1"/>
  <c r="M42" i="30" s="1"/>
  <c r="M42" i="31" s="1"/>
  <c r="M42" i="32" s="1"/>
  <c r="M42" i="33" s="1"/>
  <c r="M42" i="34" s="1"/>
  <c r="M42" i="35" s="1"/>
  <c r="G49" i="7"/>
  <c r="G49" i="8" s="1"/>
  <c r="G49" i="9" s="1"/>
  <c r="G49" i="10" s="1"/>
  <c r="G49" i="11" s="1"/>
  <c r="G49" i="12" s="1"/>
  <c r="G49" i="13" s="1"/>
  <c r="G49" i="14" s="1"/>
  <c r="G49" i="15" s="1"/>
  <c r="G49" i="16" s="1"/>
  <c r="G49" i="17" s="1"/>
  <c r="G49" i="18" s="1"/>
  <c r="G49" i="19" s="1"/>
  <c r="G49" i="20" s="1"/>
  <c r="G49" i="21" s="1"/>
  <c r="G49" i="22" s="1"/>
  <c r="G49" i="23" s="1"/>
  <c r="G51" i="24" s="1"/>
  <c r="G49" i="25" s="1"/>
  <c r="G50" i="26" s="1"/>
  <c r="G49" i="27" s="1"/>
  <c r="G49" i="28" s="1"/>
  <c r="G49" i="29" s="1"/>
  <c r="G49" i="30" s="1"/>
  <c r="G49" i="31" s="1"/>
  <c r="G49" i="32" s="1"/>
  <c r="G49" i="33" s="1"/>
  <c r="G49" i="34" s="1"/>
  <c r="G49" i="35" s="1"/>
  <c r="M49" i="6"/>
  <c r="M49" i="7" s="1"/>
  <c r="M49" i="8" s="1"/>
  <c r="M49" i="9" s="1"/>
  <c r="M49" i="10" s="1"/>
  <c r="M49" i="11" s="1"/>
  <c r="M49" i="12" s="1"/>
  <c r="M49" i="13" s="1"/>
  <c r="M49" i="14" s="1"/>
  <c r="M49" i="15" s="1"/>
  <c r="M49" i="16" s="1"/>
  <c r="M49" i="17" s="1"/>
  <c r="M49" i="18" s="1"/>
  <c r="M49" i="19" s="1"/>
  <c r="M49" i="20" s="1"/>
  <c r="M49" i="21" s="1"/>
  <c r="M49" i="22" s="1"/>
  <c r="M49" i="23" s="1"/>
  <c r="M51" i="24" s="1"/>
  <c r="M49" i="25" s="1"/>
  <c r="M50" i="26" s="1"/>
  <c r="M49" i="27" s="1"/>
  <c r="M49" i="28" s="1"/>
  <c r="M49" i="29" s="1"/>
  <c r="M49" i="30" s="1"/>
  <c r="M49" i="31" s="1"/>
  <c r="M49" i="32" s="1"/>
  <c r="M49" i="33" s="1"/>
  <c r="M49" i="34" s="1"/>
  <c r="M49" i="35" s="1"/>
  <c r="M48" i="6"/>
  <c r="M48" i="7" s="1"/>
  <c r="M48" i="8" s="1"/>
  <c r="M48" i="9" s="1"/>
  <c r="M48" i="10" s="1"/>
  <c r="M48" i="11" s="1"/>
  <c r="M48" i="12" s="1"/>
  <c r="M48" i="13" s="1"/>
  <c r="M48" i="14" s="1"/>
  <c r="M48" i="15" s="1"/>
  <c r="M48" i="16" s="1"/>
  <c r="M48" i="17" s="1"/>
  <c r="M48" i="18" s="1"/>
  <c r="M48" i="19" s="1"/>
  <c r="M48" i="20" s="1"/>
  <c r="M48" i="21" s="1"/>
  <c r="M48" i="22" s="1"/>
  <c r="M48" i="23" s="1"/>
  <c r="M50" i="24" s="1"/>
  <c r="M48" i="25" s="1"/>
  <c r="M49" i="26" s="1"/>
  <c r="M48" i="27" s="1"/>
  <c r="M48" i="28" s="1"/>
  <c r="M48" i="29" s="1"/>
  <c r="M48" i="30" s="1"/>
  <c r="M48" i="31" s="1"/>
  <c r="M48" i="32" s="1"/>
  <c r="M48" i="33" s="1"/>
  <c r="M48" i="34" s="1"/>
  <c r="M48" i="35" s="1"/>
  <c r="M47" i="6"/>
  <c r="M47" i="7" s="1"/>
  <c r="M47" i="8" s="1"/>
  <c r="M47" i="9" s="1"/>
  <c r="M47" i="10" s="1"/>
  <c r="M47" i="11" s="1"/>
  <c r="M47" i="12" s="1"/>
  <c r="M47" i="13" s="1"/>
  <c r="M47" i="14" s="1"/>
  <c r="M47" i="15" s="1"/>
  <c r="M47" i="16" s="1"/>
  <c r="M47" i="17" s="1"/>
  <c r="M47" i="18" s="1"/>
  <c r="M47" i="19" s="1"/>
  <c r="M47" i="20" s="1"/>
  <c r="M47" i="21" s="1"/>
  <c r="M47" i="22" s="1"/>
  <c r="M47" i="23" s="1"/>
  <c r="M49" i="24" s="1"/>
  <c r="M47" i="25" s="1"/>
  <c r="M48" i="26" s="1"/>
  <c r="M47" i="27" s="1"/>
  <c r="M47" i="28" s="1"/>
  <c r="M47" i="29" s="1"/>
  <c r="M47" i="30" s="1"/>
  <c r="M47" i="31" s="1"/>
  <c r="M47" i="32" s="1"/>
  <c r="M47" i="33" s="1"/>
  <c r="M47" i="34" s="1"/>
  <c r="M47" i="35" s="1"/>
  <c r="M46" i="6"/>
  <c r="M46" i="7" s="1"/>
  <c r="M46" i="8" s="1"/>
  <c r="M46" i="9" s="1"/>
  <c r="M46" i="10" s="1"/>
  <c r="M46" i="11" s="1"/>
  <c r="M46" i="12" s="1"/>
  <c r="M46" i="13" s="1"/>
  <c r="M46" i="14" s="1"/>
  <c r="M46" i="15" s="1"/>
  <c r="M46" i="16" s="1"/>
  <c r="M46" i="17" s="1"/>
  <c r="M46" i="18" s="1"/>
  <c r="M46" i="19" s="1"/>
  <c r="M46" i="20" s="1"/>
  <c r="M46" i="21" s="1"/>
  <c r="M46" i="22" s="1"/>
  <c r="M46" i="23" s="1"/>
  <c r="M48" i="24" s="1"/>
  <c r="M46" i="25" s="1"/>
  <c r="M47" i="26" s="1"/>
  <c r="M46" i="27" s="1"/>
  <c r="M46" i="28" s="1"/>
  <c r="M46" i="29" s="1"/>
  <c r="M46" i="30" s="1"/>
  <c r="M46" i="31" s="1"/>
  <c r="M46" i="32" s="1"/>
  <c r="M46" i="33" s="1"/>
  <c r="M46" i="34" s="1"/>
  <c r="M46" i="35" s="1"/>
  <c r="M45" i="6"/>
  <c r="M45" i="7" s="1"/>
  <c r="M45" i="8" s="1"/>
  <c r="M45" i="9" s="1"/>
  <c r="M45" i="10" s="1"/>
  <c r="M45" i="11" s="1"/>
  <c r="M45" i="12" s="1"/>
  <c r="M45" i="13" s="1"/>
  <c r="M45" i="14" s="1"/>
  <c r="M45" i="15" s="1"/>
  <c r="M45" i="16" s="1"/>
  <c r="M45" i="17" s="1"/>
  <c r="M45" i="18" s="1"/>
  <c r="M45" i="19" s="1"/>
  <c r="M45" i="20" s="1"/>
  <c r="M45" i="21" s="1"/>
  <c r="M45" i="22" s="1"/>
  <c r="M45" i="23" s="1"/>
  <c r="M47" i="24" s="1"/>
  <c r="M45" i="25" s="1"/>
  <c r="M46" i="26" s="1"/>
  <c r="M45" i="27" s="1"/>
  <c r="M45" i="28" s="1"/>
  <c r="M45" i="29" s="1"/>
  <c r="M45" i="30" s="1"/>
  <c r="M45" i="31" s="1"/>
  <c r="M45" i="32" s="1"/>
  <c r="M45" i="33" s="1"/>
  <c r="M45" i="34" s="1"/>
  <c r="M45" i="35" s="1"/>
  <c r="M44" i="6"/>
  <c r="M44" i="7" s="1"/>
  <c r="M44" i="8" s="1"/>
  <c r="M44" i="9" s="1"/>
  <c r="M44" i="10" s="1"/>
  <c r="M44" i="11" s="1"/>
  <c r="M44" i="12" s="1"/>
  <c r="M44" i="13" s="1"/>
  <c r="M44" i="14" s="1"/>
  <c r="M44" i="15" s="1"/>
  <c r="M44" i="16" s="1"/>
  <c r="M44" i="17" s="1"/>
  <c r="M44" i="18" s="1"/>
  <c r="M44" i="19" s="1"/>
  <c r="M44" i="20" s="1"/>
  <c r="M44" i="21" s="1"/>
  <c r="M44" i="22" s="1"/>
  <c r="M44" i="23" s="1"/>
  <c r="M46" i="24" s="1"/>
  <c r="M44" i="25" s="1"/>
  <c r="M45" i="26" s="1"/>
  <c r="M44" i="27" s="1"/>
  <c r="M44" i="28" s="1"/>
  <c r="M44" i="29" s="1"/>
  <c r="M44" i="30" s="1"/>
  <c r="M44" i="31" s="1"/>
  <c r="M44" i="32" s="1"/>
  <c r="M44" i="33" s="1"/>
  <c r="M44" i="34" s="1"/>
  <c r="M44" i="35" s="1"/>
  <c r="M43" i="6"/>
  <c r="M43" i="7" s="1"/>
  <c r="M43" i="8" s="1"/>
  <c r="M43" i="9" s="1"/>
  <c r="M43" i="10" s="1"/>
  <c r="M43" i="11" s="1"/>
  <c r="M43" i="12" s="1"/>
  <c r="M43" i="13" s="1"/>
  <c r="M43" i="14" s="1"/>
  <c r="M43" i="15" s="1"/>
  <c r="M43" i="16" s="1"/>
  <c r="M43" i="17" s="1"/>
  <c r="M43" i="18" s="1"/>
  <c r="M43" i="19" s="1"/>
  <c r="M43" i="20" s="1"/>
  <c r="M43" i="21" s="1"/>
  <c r="M43" i="22" s="1"/>
  <c r="M43" i="23" s="1"/>
  <c r="M45" i="24" s="1"/>
  <c r="M43" i="25" s="1"/>
  <c r="M44" i="26" s="1"/>
  <c r="M43" i="27" s="1"/>
  <c r="M43" i="28" s="1"/>
  <c r="M43" i="29" s="1"/>
  <c r="M43" i="30" s="1"/>
  <c r="M43" i="31" s="1"/>
  <c r="M43" i="32" s="1"/>
  <c r="M43" i="33" s="1"/>
  <c r="M43" i="34" s="1"/>
  <c r="M43" i="35" s="1"/>
  <c r="M42" i="6"/>
  <c r="M42" i="7" s="1"/>
  <c r="M41" i="6"/>
  <c r="M41" i="7" s="1"/>
  <c r="M41" i="8" s="1"/>
  <c r="M41" i="9" s="1"/>
  <c r="M41" i="10" s="1"/>
  <c r="M41" i="11" s="1"/>
  <c r="M41" i="12" s="1"/>
  <c r="M41" i="13" s="1"/>
  <c r="M41" i="14" s="1"/>
  <c r="M41" i="15" s="1"/>
  <c r="M41" i="16" s="1"/>
  <c r="M41" i="17" s="1"/>
  <c r="M41" i="18" s="1"/>
  <c r="M41" i="19" s="1"/>
  <c r="M41" i="20" s="1"/>
  <c r="M41" i="21" s="1"/>
  <c r="M41" i="22" s="1"/>
  <c r="M41" i="23" s="1"/>
  <c r="M43" i="24" s="1"/>
  <c r="M41" i="25" s="1"/>
  <c r="M42" i="26" s="1"/>
  <c r="M41" i="27" s="1"/>
  <c r="M41" i="28" s="1"/>
  <c r="M41" i="29" s="1"/>
  <c r="M41" i="30" s="1"/>
  <c r="M41" i="31" s="1"/>
  <c r="M41" i="32" s="1"/>
  <c r="M41" i="33" s="1"/>
  <c r="M41" i="34" s="1"/>
  <c r="M41" i="35" s="1"/>
  <c r="M40" i="6"/>
  <c r="M40" i="7" s="1"/>
  <c r="M40" i="8" s="1"/>
  <c r="M40" i="9" s="1"/>
  <c r="M40" i="10" s="1"/>
  <c r="M40" i="11" s="1"/>
  <c r="M40" i="12" s="1"/>
  <c r="M40" i="13" s="1"/>
  <c r="M40" i="14" s="1"/>
  <c r="M40" i="15" s="1"/>
  <c r="M40" i="16" s="1"/>
  <c r="M40" i="17" s="1"/>
  <c r="M40" i="18" s="1"/>
  <c r="M40" i="19" s="1"/>
  <c r="M40" i="20" s="1"/>
  <c r="M40" i="21" s="1"/>
  <c r="M40" i="22" s="1"/>
  <c r="M40" i="23" s="1"/>
  <c r="M42" i="24" s="1"/>
  <c r="M40" i="25" s="1"/>
  <c r="M41" i="26" s="1"/>
  <c r="M40" i="27" s="1"/>
  <c r="M40" i="28" s="1"/>
  <c r="M40" i="29" s="1"/>
  <c r="M40" i="30" s="1"/>
  <c r="M40" i="31" s="1"/>
  <c r="M40" i="32" s="1"/>
  <c r="M40" i="33" s="1"/>
  <c r="M40" i="34" s="1"/>
  <c r="M40" i="35" s="1"/>
  <c r="M39" i="6"/>
  <c r="M39" i="7" s="1"/>
  <c r="M39" i="8" s="1"/>
  <c r="M39" i="9" s="1"/>
  <c r="M39" i="10" s="1"/>
  <c r="M39" i="11" s="1"/>
  <c r="M39" i="12" s="1"/>
  <c r="M39" i="13" s="1"/>
  <c r="M39" i="14" s="1"/>
  <c r="M39" i="15" s="1"/>
  <c r="M39" i="16" s="1"/>
  <c r="M39" i="17" s="1"/>
  <c r="M39" i="18" s="1"/>
  <c r="M39" i="19" s="1"/>
  <c r="M39" i="20" s="1"/>
  <c r="M39" i="21" s="1"/>
  <c r="M39" i="22" s="1"/>
  <c r="M39" i="23" s="1"/>
  <c r="M41" i="24" s="1"/>
  <c r="M39" i="25" s="1"/>
  <c r="M40" i="26" s="1"/>
  <c r="M39" i="27" s="1"/>
  <c r="M39" i="28" s="1"/>
  <c r="M39" i="29" s="1"/>
  <c r="M39" i="30" s="1"/>
  <c r="M39" i="31" s="1"/>
  <c r="M39" i="32" s="1"/>
  <c r="M39" i="33" s="1"/>
  <c r="M39" i="34" s="1"/>
  <c r="M39" i="35" s="1"/>
  <c r="M38" i="6"/>
  <c r="M38" i="7" s="1"/>
  <c r="M38" i="8" s="1"/>
  <c r="M38" i="9" s="1"/>
  <c r="M38" i="10" s="1"/>
  <c r="M38" i="11" s="1"/>
  <c r="M38" i="12" s="1"/>
  <c r="M38" i="13" s="1"/>
  <c r="M38" i="14" s="1"/>
  <c r="M38" i="15" s="1"/>
  <c r="M38" i="16" s="1"/>
  <c r="M38" i="17" s="1"/>
  <c r="M38" i="18" s="1"/>
  <c r="M38" i="19" s="1"/>
  <c r="M38" i="20" s="1"/>
  <c r="M38" i="21" s="1"/>
  <c r="M38" i="22" s="1"/>
  <c r="M38" i="23" s="1"/>
  <c r="M40" i="24" s="1"/>
  <c r="M38" i="25" s="1"/>
  <c r="M39" i="26" s="1"/>
  <c r="M38" i="27" s="1"/>
  <c r="M38" i="28" s="1"/>
  <c r="M38" i="29" s="1"/>
  <c r="M38" i="30" s="1"/>
  <c r="M38" i="31" s="1"/>
  <c r="M38" i="32" s="1"/>
  <c r="M38" i="33" s="1"/>
  <c r="M38" i="34" s="1"/>
  <c r="M38" i="35" s="1"/>
  <c r="M37" i="6"/>
  <c r="M37" i="7" s="1"/>
  <c r="M37" i="8" s="1"/>
  <c r="M37" i="9" s="1"/>
  <c r="M37" i="10" s="1"/>
  <c r="M37" i="11" s="1"/>
  <c r="M37" i="12" s="1"/>
  <c r="M37" i="13" s="1"/>
  <c r="M37" i="14" s="1"/>
  <c r="M37" i="15" s="1"/>
  <c r="M37" i="16" s="1"/>
  <c r="M37" i="17" s="1"/>
  <c r="M37" i="18" s="1"/>
  <c r="M37" i="19" s="1"/>
  <c r="M37" i="20" s="1"/>
  <c r="M37" i="21" s="1"/>
  <c r="M37" i="22" s="1"/>
  <c r="M37" i="23" s="1"/>
  <c r="M39" i="24" s="1"/>
  <c r="M37" i="25" s="1"/>
  <c r="M38" i="26" s="1"/>
  <c r="M37" i="27" s="1"/>
  <c r="M37" i="28" s="1"/>
  <c r="M37" i="29" s="1"/>
  <c r="M37" i="30" s="1"/>
  <c r="M37" i="31" s="1"/>
  <c r="M37" i="32" s="1"/>
  <c r="M37" i="33" s="1"/>
  <c r="M37" i="34" s="1"/>
  <c r="M37" i="35" s="1"/>
  <c r="M36" i="6"/>
  <c r="M36" i="7" s="1"/>
  <c r="M36" i="8" s="1"/>
  <c r="M36" i="9" s="1"/>
  <c r="M36" i="10" s="1"/>
  <c r="M36" i="11" s="1"/>
  <c r="M36" i="12" s="1"/>
  <c r="M36" i="13" s="1"/>
  <c r="M36" i="14" s="1"/>
  <c r="M36" i="15" s="1"/>
  <c r="M36" i="16" s="1"/>
  <c r="M36" i="17" s="1"/>
  <c r="M36" i="18" s="1"/>
  <c r="M36" i="19" s="1"/>
  <c r="M36" i="20" s="1"/>
  <c r="M36" i="21" s="1"/>
  <c r="M36" i="22" s="1"/>
  <c r="M36" i="23" s="1"/>
  <c r="M38" i="24" s="1"/>
  <c r="M36" i="25" s="1"/>
  <c r="M37" i="26" s="1"/>
  <c r="M36" i="27" s="1"/>
  <c r="M36" i="28" s="1"/>
  <c r="M36" i="29" s="1"/>
  <c r="M36" i="30" s="1"/>
  <c r="M36" i="31" s="1"/>
  <c r="M36" i="32" s="1"/>
  <c r="M36" i="33" s="1"/>
  <c r="M36" i="34" s="1"/>
  <c r="M36" i="35" s="1"/>
  <c r="M35" i="6"/>
  <c r="M35" i="7" s="1"/>
  <c r="M35" i="8" s="1"/>
  <c r="M35" i="9" s="1"/>
  <c r="M35" i="10" s="1"/>
  <c r="M35" i="11" s="1"/>
  <c r="M35" i="12" s="1"/>
  <c r="M35" i="13" s="1"/>
  <c r="M35" i="14" s="1"/>
  <c r="M35" i="15" s="1"/>
  <c r="M35" i="16" s="1"/>
  <c r="M35" i="17" s="1"/>
  <c r="M35" i="18" s="1"/>
  <c r="M35" i="19" s="1"/>
  <c r="M35" i="20" s="1"/>
  <c r="M35" i="21" s="1"/>
  <c r="M35" i="22" s="1"/>
  <c r="M35" i="23" s="1"/>
  <c r="M37" i="24" s="1"/>
  <c r="M35" i="25" s="1"/>
  <c r="M36" i="26" s="1"/>
  <c r="M35" i="27" s="1"/>
  <c r="M35" i="28" s="1"/>
  <c r="M35" i="29" s="1"/>
  <c r="M35" i="30" s="1"/>
  <c r="M35" i="31" s="1"/>
  <c r="M35" i="32" s="1"/>
  <c r="M35" i="33" s="1"/>
  <c r="M35" i="34" s="1"/>
  <c r="M35" i="35" s="1"/>
  <c r="M34" i="6"/>
  <c r="M34" i="7" s="1"/>
  <c r="M34" i="8" s="1"/>
  <c r="M34" i="9" s="1"/>
  <c r="M34" i="10" s="1"/>
  <c r="M34" i="11" s="1"/>
  <c r="M34" i="12" s="1"/>
  <c r="M34" i="13" s="1"/>
  <c r="M34" i="14" s="1"/>
  <c r="M34" i="15" s="1"/>
  <c r="M34" i="16" s="1"/>
  <c r="M34" i="17" s="1"/>
  <c r="M34" i="18" s="1"/>
  <c r="M34" i="19" s="1"/>
  <c r="M34" i="20" s="1"/>
  <c r="M34" i="21" s="1"/>
  <c r="M34" i="22" s="1"/>
  <c r="M34" i="23" s="1"/>
  <c r="M36" i="24" s="1"/>
  <c r="M34" i="25" s="1"/>
  <c r="M35" i="26" s="1"/>
  <c r="M34" i="27" s="1"/>
  <c r="M34" i="28" s="1"/>
  <c r="M34" i="29" s="1"/>
  <c r="M34" i="30" s="1"/>
  <c r="M34" i="31" s="1"/>
  <c r="M34" i="32" s="1"/>
  <c r="M34" i="33" s="1"/>
  <c r="M34" i="34" s="1"/>
  <c r="M34" i="35" s="1"/>
  <c r="M33" i="6"/>
  <c r="M33" i="7" s="1"/>
  <c r="M33" i="8" s="1"/>
  <c r="M33" i="9" s="1"/>
  <c r="M33" i="10" s="1"/>
  <c r="M33" i="11" s="1"/>
  <c r="M33" i="12" s="1"/>
  <c r="M33" i="13" s="1"/>
  <c r="M33" i="14" s="1"/>
  <c r="M33" i="15" s="1"/>
  <c r="M33" i="16" s="1"/>
  <c r="M33" i="17" s="1"/>
  <c r="M33" i="18" s="1"/>
  <c r="M33" i="19" s="1"/>
  <c r="M33" i="20" s="1"/>
  <c r="M33" i="21" s="1"/>
  <c r="M33" i="22" s="1"/>
  <c r="M33" i="23" s="1"/>
  <c r="M35" i="24" s="1"/>
  <c r="M33" i="25" s="1"/>
  <c r="M34" i="26" s="1"/>
  <c r="M33" i="27" s="1"/>
  <c r="M33" i="28" s="1"/>
  <c r="M33" i="29" s="1"/>
  <c r="M33" i="30" s="1"/>
  <c r="M33" i="31" s="1"/>
  <c r="M33" i="32" s="1"/>
  <c r="M33" i="33" s="1"/>
  <c r="M33" i="34" s="1"/>
  <c r="M33" i="35" s="1"/>
  <c r="M32" i="6"/>
  <c r="M32" i="7" s="1"/>
  <c r="M32" i="8" s="1"/>
  <c r="M32" i="9" s="1"/>
  <c r="M32" i="10" s="1"/>
  <c r="M32" i="11" s="1"/>
  <c r="M32" i="12" s="1"/>
  <c r="M32" i="13" s="1"/>
  <c r="M32" i="14" s="1"/>
  <c r="M32" i="15" s="1"/>
  <c r="M32" i="16" s="1"/>
  <c r="M32" i="17" s="1"/>
  <c r="M32" i="18" s="1"/>
  <c r="M32" i="19" s="1"/>
  <c r="M32" i="20" s="1"/>
  <c r="M32" i="21" s="1"/>
  <c r="M32" i="22" s="1"/>
  <c r="M32" i="23" s="1"/>
  <c r="M34" i="24" s="1"/>
  <c r="M32" i="25" s="1"/>
  <c r="M33" i="26" s="1"/>
  <c r="M32" i="27" s="1"/>
  <c r="M32" i="28" s="1"/>
  <c r="M32" i="29" s="1"/>
  <c r="M32" i="30" s="1"/>
  <c r="M32" i="31" s="1"/>
  <c r="M32" i="32" s="1"/>
  <c r="M32" i="33" s="1"/>
  <c r="M32" i="34" s="1"/>
  <c r="M32" i="35" s="1"/>
  <c r="M31" i="6"/>
  <c r="M31" i="7" s="1"/>
  <c r="M31" i="8" s="1"/>
  <c r="M31" i="9" s="1"/>
  <c r="M31" i="10" s="1"/>
  <c r="M31" i="11" s="1"/>
  <c r="M31" i="12" s="1"/>
  <c r="M31" i="13" s="1"/>
  <c r="M31" i="14" s="1"/>
  <c r="M31" i="15" s="1"/>
  <c r="M31" i="16" s="1"/>
  <c r="M31" i="17" s="1"/>
  <c r="M31" i="18" s="1"/>
  <c r="M31" i="19" s="1"/>
  <c r="M31" i="20" s="1"/>
  <c r="M31" i="21" s="1"/>
  <c r="M31" i="22" s="1"/>
  <c r="M31" i="23" s="1"/>
  <c r="M33" i="24" s="1"/>
  <c r="M31" i="25" s="1"/>
  <c r="M32" i="26" s="1"/>
  <c r="M31" i="27" s="1"/>
  <c r="M31" i="28" s="1"/>
  <c r="M31" i="29" s="1"/>
  <c r="M31" i="30" s="1"/>
  <c r="M31" i="31" s="1"/>
  <c r="M31" i="32" s="1"/>
  <c r="M31" i="33" s="1"/>
  <c r="M31" i="34" s="1"/>
  <c r="M31" i="35" s="1"/>
  <c r="M30" i="6"/>
  <c r="M30" i="7" s="1"/>
  <c r="M30" i="8" s="1"/>
  <c r="G49" i="6"/>
  <c r="G48" i="6"/>
  <c r="G48" i="7" s="1"/>
  <c r="G48" i="8" s="1"/>
  <c r="G48" i="9" s="1"/>
  <c r="G48" i="10" s="1"/>
  <c r="G48" i="11" s="1"/>
  <c r="G48" i="12" s="1"/>
  <c r="G48" i="13" s="1"/>
  <c r="G48" i="14" s="1"/>
  <c r="G48" i="15" s="1"/>
  <c r="G48" i="16" s="1"/>
  <c r="G48" i="17" s="1"/>
  <c r="G48" i="18" s="1"/>
  <c r="G48" i="19" s="1"/>
  <c r="G48" i="20" s="1"/>
  <c r="G48" i="21" s="1"/>
  <c r="G48" i="22" s="1"/>
  <c r="G48" i="23" s="1"/>
  <c r="G50" i="24" s="1"/>
  <c r="G48" i="25" s="1"/>
  <c r="G49" i="26" s="1"/>
  <c r="G48" i="27" s="1"/>
  <c r="G48" i="28" s="1"/>
  <c r="G48" i="29" s="1"/>
  <c r="G48" i="30" s="1"/>
  <c r="G48" i="31" s="1"/>
  <c r="G48" i="32" s="1"/>
  <c r="G48" i="33" s="1"/>
  <c r="G48" i="34" s="1"/>
  <c r="G48" i="35" s="1"/>
  <c r="G47" i="6"/>
  <c r="G47" i="7" s="1"/>
  <c r="G47" i="8" s="1"/>
  <c r="G47" i="9" s="1"/>
  <c r="G47" i="10" s="1"/>
  <c r="G47" i="11" s="1"/>
  <c r="G47" i="12" s="1"/>
  <c r="G47" i="13" s="1"/>
  <c r="G47" i="14" s="1"/>
  <c r="G47" i="15" s="1"/>
  <c r="G47" i="16" s="1"/>
  <c r="G47" i="17" s="1"/>
  <c r="G47" i="18" s="1"/>
  <c r="G47" i="19" s="1"/>
  <c r="G47" i="20" s="1"/>
  <c r="G47" i="21" s="1"/>
  <c r="G47" i="22" s="1"/>
  <c r="G47" i="23" s="1"/>
  <c r="G49" i="24" s="1"/>
  <c r="G47" i="25" s="1"/>
  <c r="G48" i="26" s="1"/>
  <c r="G47" i="27" s="1"/>
  <c r="G47" i="28" s="1"/>
  <c r="G47" i="29" s="1"/>
  <c r="G47" i="30" s="1"/>
  <c r="G47" i="31" s="1"/>
  <c r="G47" i="32" s="1"/>
  <c r="G47" i="33" s="1"/>
  <c r="G47" i="34" s="1"/>
  <c r="G47" i="35" s="1"/>
  <c r="G46" i="6"/>
  <c r="G46" i="7" s="1"/>
  <c r="G46" i="8" s="1"/>
  <c r="G46" i="9" s="1"/>
  <c r="G46" i="10" s="1"/>
  <c r="G46" i="11" s="1"/>
  <c r="G46" i="12" s="1"/>
  <c r="G46" i="13" s="1"/>
  <c r="G46" i="14" s="1"/>
  <c r="G46" i="15" s="1"/>
  <c r="G46" i="16" s="1"/>
  <c r="G46" i="17" s="1"/>
  <c r="G46" i="18" s="1"/>
  <c r="G46" i="19" s="1"/>
  <c r="G46" i="20" s="1"/>
  <c r="G46" i="21" s="1"/>
  <c r="G46" i="22" s="1"/>
  <c r="G46" i="23" s="1"/>
  <c r="G48" i="24" s="1"/>
  <c r="G46" i="25" s="1"/>
  <c r="G47" i="26" s="1"/>
  <c r="G46" i="27" s="1"/>
  <c r="G46" i="28" s="1"/>
  <c r="G46" i="29" s="1"/>
  <c r="G46" i="30" s="1"/>
  <c r="G46" i="31" s="1"/>
  <c r="G46" i="32" s="1"/>
  <c r="G46" i="33" s="1"/>
  <c r="G46" i="34" s="1"/>
  <c r="G46" i="35" s="1"/>
  <c r="G45" i="6"/>
  <c r="G45" i="7" s="1"/>
  <c r="G45" i="8" s="1"/>
  <c r="G45" i="9" s="1"/>
  <c r="G45" i="10" s="1"/>
  <c r="G45" i="11" s="1"/>
  <c r="G45" i="12" s="1"/>
  <c r="G45" i="13" s="1"/>
  <c r="G45" i="14" s="1"/>
  <c r="G45" i="15" s="1"/>
  <c r="G45" i="16" s="1"/>
  <c r="G45" i="17" s="1"/>
  <c r="G45" i="18" s="1"/>
  <c r="G45" i="19" s="1"/>
  <c r="G45" i="20" s="1"/>
  <c r="G45" i="21" s="1"/>
  <c r="G45" i="22" s="1"/>
  <c r="G45" i="23" s="1"/>
  <c r="G47" i="24" s="1"/>
  <c r="G45" i="25" s="1"/>
  <c r="G46" i="26" s="1"/>
  <c r="G45" i="27" s="1"/>
  <c r="G45" i="28" s="1"/>
  <c r="G45" i="29" s="1"/>
  <c r="G45" i="30" s="1"/>
  <c r="G45" i="31" s="1"/>
  <c r="G45" i="32" s="1"/>
  <c r="G45" i="33" s="1"/>
  <c r="G45" i="34" s="1"/>
  <c r="G45" i="35" s="1"/>
  <c r="G44" i="6"/>
  <c r="G44" i="7" s="1"/>
  <c r="G44" i="8" s="1"/>
  <c r="G44" i="9" s="1"/>
  <c r="G44" i="10" s="1"/>
  <c r="G44" i="11" s="1"/>
  <c r="G44" i="12" s="1"/>
  <c r="G44" i="13" s="1"/>
  <c r="G44" i="14" s="1"/>
  <c r="G44" i="15" s="1"/>
  <c r="G44" i="16" s="1"/>
  <c r="G44" i="17" s="1"/>
  <c r="G44" i="18" s="1"/>
  <c r="G44" i="19" s="1"/>
  <c r="G44" i="20" s="1"/>
  <c r="G44" i="21" s="1"/>
  <c r="G44" i="22" s="1"/>
  <c r="G44" i="23" s="1"/>
  <c r="G46" i="24" s="1"/>
  <c r="G44" i="25" s="1"/>
  <c r="G45" i="26" s="1"/>
  <c r="G44" i="27" s="1"/>
  <c r="G44" i="28" s="1"/>
  <c r="G44" i="29" s="1"/>
  <c r="G44" i="30" s="1"/>
  <c r="G44" i="31" s="1"/>
  <c r="G44" i="32" s="1"/>
  <c r="G44" i="33" s="1"/>
  <c r="G44" i="34" s="1"/>
  <c r="G44" i="35" s="1"/>
  <c r="G43" i="6"/>
  <c r="G43" i="7" s="1"/>
  <c r="G43" i="8" s="1"/>
  <c r="G43" i="9" s="1"/>
  <c r="G43" i="10" s="1"/>
  <c r="G43" i="11" s="1"/>
  <c r="G43" i="12" s="1"/>
  <c r="G43" i="13" s="1"/>
  <c r="G43" i="14" s="1"/>
  <c r="G43" i="15" s="1"/>
  <c r="G43" i="16" s="1"/>
  <c r="G43" i="17" s="1"/>
  <c r="G43" i="18" s="1"/>
  <c r="G43" i="19" s="1"/>
  <c r="G43" i="20" s="1"/>
  <c r="G43" i="21" s="1"/>
  <c r="G43" i="22" s="1"/>
  <c r="G43" i="23" s="1"/>
  <c r="G45" i="24" s="1"/>
  <c r="G43" i="25" s="1"/>
  <c r="G44" i="26" s="1"/>
  <c r="G43" i="27" s="1"/>
  <c r="G43" i="28" s="1"/>
  <c r="G43" i="29" s="1"/>
  <c r="G43" i="30" s="1"/>
  <c r="G43" i="31" s="1"/>
  <c r="G43" i="32" s="1"/>
  <c r="G43" i="33" s="1"/>
  <c r="G43" i="34" s="1"/>
  <c r="G43" i="35" s="1"/>
  <c r="G42" i="6"/>
  <c r="G42" i="7" s="1"/>
  <c r="G42" i="8" s="1"/>
  <c r="G42" i="9" s="1"/>
  <c r="G42" i="10" s="1"/>
  <c r="G42" i="11" s="1"/>
  <c r="G42" i="12" s="1"/>
  <c r="G42" i="13" s="1"/>
  <c r="G42" i="14" s="1"/>
  <c r="G42" i="15" s="1"/>
  <c r="G42" i="16" s="1"/>
  <c r="G42" i="17" s="1"/>
  <c r="G42" i="18" s="1"/>
  <c r="G42" i="19" s="1"/>
  <c r="G42" i="20" s="1"/>
  <c r="G42" i="21" s="1"/>
  <c r="G42" i="22" s="1"/>
  <c r="G42" i="23" s="1"/>
  <c r="G44" i="24" s="1"/>
  <c r="G42" i="25" s="1"/>
  <c r="G43" i="26" s="1"/>
  <c r="G42" i="27" s="1"/>
  <c r="G42" i="28" s="1"/>
  <c r="G42" i="29" s="1"/>
  <c r="G42" i="30" s="1"/>
  <c r="G42" i="31" s="1"/>
  <c r="G42" i="32" s="1"/>
  <c r="G42" i="33" s="1"/>
  <c r="G42" i="34" s="1"/>
  <c r="G42" i="35" s="1"/>
  <c r="G41" i="6"/>
  <c r="G41" i="7" s="1"/>
  <c r="G41" i="8" s="1"/>
  <c r="G41" i="9" s="1"/>
  <c r="G41" i="10" s="1"/>
  <c r="G41" i="11" s="1"/>
  <c r="G41" i="12" s="1"/>
  <c r="G41" i="13" s="1"/>
  <c r="G41" i="14" s="1"/>
  <c r="G41" i="15" s="1"/>
  <c r="G41" i="16" s="1"/>
  <c r="G41" i="17" s="1"/>
  <c r="G41" i="18" s="1"/>
  <c r="G41" i="19" s="1"/>
  <c r="G41" i="20" s="1"/>
  <c r="G41" i="21" s="1"/>
  <c r="G41" i="22" s="1"/>
  <c r="G41" i="23" s="1"/>
  <c r="G43" i="24" s="1"/>
  <c r="G41" i="25" s="1"/>
  <c r="G42" i="26" s="1"/>
  <c r="G41" i="27" s="1"/>
  <c r="G41" i="28" s="1"/>
  <c r="G41" i="29" s="1"/>
  <c r="G41" i="30" s="1"/>
  <c r="G41" i="31" s="1"/>
  <c r="G41" i="32" s="1"/>
  <c r="G41" i="33" s="1"/>
  <c r="G41" i="34" s="1"/>
  <c r="G41" i="35" s="1"/>
  <c r="G40" i="6"/>
  <c r="G40" i="7" s="1"/>
  <c r="G40" i="8" s="1"/>
  <c r="G40" i="9" s="1"/>
  <c r="G40" i="10" s="1"/>
  <c r="G40" i="11" s="1"/>
  <c r="G40" i="12" s="1"/>
  <c r="G40" i="13" s="1"/>
  <c r="G40" i="14" s="1"/>
  <c r="G40" i="15" s="1"/>
  <c r="G40" i="16" s="1"/>
  <c r="G40" i="17" s="1"/>
  <c r="G40" i="18" s="1"/>
  <c r="G40" i="19" s="1"/>
  <c r="G40" i="20" s="1"/>
  <c r="G40" i="21" s="1"/>
  <c r="G40" i="22" s="1"/>
  <c r="G40" i="23" s="1"/>
  <c r="G42" i="24" s="1"/>
  <c r="G40" i="25" s="1"/>
  <c r="G41" i="26" s="1"/>
  <c r="G40" i="27" s="1"/>
  <c r="G40" i="28" s="1"/>
  <c r="G40" i="29" s="1"/>
  <c r="G40" i="30" s="1"/>
  <c r="G40" i="31" s="1"/>
  <c r="G40" i="32" s="1"/>
  <c r="G40" i="33" s="1"/>
  <c r="G40" i="34" s="1"/>
  <c r="G40" i="35" s="1"/>
  <c r="G39" i="6"/>
  <c r="G39" i="7" s="1"/>
  <c r="G39" i="8" s="1"/>
  <c r="G39" i="9" s="1"/>
  <c r="G39" i="10" s="1"/>
  <c r="G39" i="11" s="1"/>
  <c r="G39" i="12" s="1"/>
  <c r="G39" i="13" s="1"/>
  <c r="G39" i="14" s="1"/>
  <c r="G39" i="15" s="1"/>
  <c r="G39" i="16" s="1"/>
  <c r="G39" i="17" s="1"/>
  <c r="G39" i="18" s="1"/>
  <c r="G39" i="19" s="1"/>
  <c r="G39" i="20" s="1"/>
  <c r="G39" i="21" s="1"/>
  <c r="G39" i="22" s="1"/>
  <c r="G39" i="23" s="1"/>
  <c r="G41" i="24" s="1"/>
  <c r="G39" i="25" s="1"/>
  <c r="G40" i="26" s="1"/>
  <c r="G39" i="27" s="1"/>
  <c r="G39" i="28" s="1"/>
  <c r="G39" i="29" s="1"/>
  <c r="G39" i="30" s="1"/>
  <c r="G39" i="31" s="1"/>
  <c r="G39" i="32" s="1"/>
  <c r="G39" i="33" s="1"/>
  <c r="G39" i="34" s="1"/>
  <c r="G39" i="35" s="1"/>
  <c r="G38" i="6"/>
  <c r="G38" i="7" s="1"/>
  <c r="G38" i="8" s="1"/>
  <c r="G38" i="9" s="1"/>
  <c r="G38" i="10" s="1"/>
  <c r="G38" i="11" s="1"/>
  <c r="G38" i="12" s="1"/>
  <c r="G38" i="13" s="1"/>
  <c r="G38" i="14" s="1"/>
  <c r="G38" i="15" s="1"/>
  <c r="G38" i="16" s="1"/>
  <c r="G38" i="17" s="1"/>
  <c r="G38" i="18" s="1"/>
  <c r="G38" i="19" s="1"/>
  <c r="G38" i="20" s="1"/>
  <c r="G38" i="21" s="1"/>
  <c r="G38" i="22" s="1"/>
  <c r="G38" i="23" s="1"/>
  <c r="G40" i="24" s="1"/>
  <c r="G38" i="25" s="1"/>
  <c r="G39" i="26" s="1"/>
  <c r="G38" i="27" s="1"/>
  <c r="G38" i="28" s="1"/>
  <c r="G38" i="29" s="1"/>
  <c r="G38" i="30" s="1"/>
  <c r="G38" i="31" s="1"/>
  <c r="G38" i="32" s="1"/>
  <c r="G38" i="33" s="1"/>
  <c r="G38" i="34" s="1"/>
  <c r="G38" i="35" s="1"/>
  <c r="G37" i="6"/>
  <c r="G37" i="7" s="1"/>
  <c r="G37" i="8" s="1"/>
  <c r="G37" i="9" s="1"/>
  <c r="G37" i="10" s="1"/>
  <c r="G37" i="11" s="1"/>
  <c r="G37" i="12" s="1"/>
  <c r="G37" i="13" s="1"/>
  <c r="G37" i="14" s="1"/>
  <c r="G37" i="15" s="1"/>
  <c r="G37" i="16" s="1"/>
  <c r="G37" i="17" s="1"/>
  <c r="G37" i="18" s="1"/>
  <c r="G37" i="19" s="1"/>
  <c r="G37" i="20" s="1"/>
  <c r="G37" i="21" s="1"/>
  <c r="G37" i="22" s="1"/>
  <c r="G37" i="23" s="1"/>
  <c r="G39" i="24" s="1"/>
  <c r="G37" i="25" s="1"/>
  <c r="G38" i="26" s="1"/>
  <c r="G37" i="27" s="1"/>
  <c r="G37" i="28" s="1"/>
  <c r="G37" i="29" s="1"/>
  <c r="G37" i="30" s="1"/>
  <c r="G37" i="31" s="1"/>
  <c r="G37" i="32" s="1"/>
  <c r="G37" i="33" s="1"/>
  <c r="G37" i="34" s="1"/>
  <c r="G37" i="35" s="1"/>
  <c r="G36" i="6"/>
  <c r="G36" i="7" s="1"/>
  <c r="G36" i="8" s="1"/>
  <c r="G36" i="9" s="1"/>
  <c r="G36" i="10" s="1"/>
  <c r="G36" i="11" s="1"/>
  <c r="G36" i="12" s="1"/>
  <c r="G36" i="13" s="1"/>
  <c r="G36" i="14" s="1"/>
  <c r="G36" i="15" s="1"/>
  <c r="G36" i="16" s="1"/>
  <c r="G36" i="17" s="1"/>
  <c r="G36" i="18" s="1"/>
  <c r="G36" i="19" s="1"/>
  <c r="G36" i="20" s="1"/>
  <c r="G36" i="21" s="1"/>
  <c r="G36" i="22" s="1"/>
  <c r="G36" i="23" s="1"/>
  <c r="G38" i="24" s="1"/>
  <c r="G36" i="25" s="1"/>
  <c r="G37" i="26" s="1"/>
  <c r="G36" i="27" s="1"/>
  <c r="G36" i="28" s="1"/>
  <c r="G36" i="29" s="1"/>
  <c r="G36" i="30" s="1"/>
  <c r="G36" i="31" s="1"/>
  <c r="G36" i="32" s="1"/>
  <c r="G36" i="33" s="1"/>
  <c r="G36" i="34" s="1"/>
  <c r="G36" i="35" s="1"/>
  <c r="G35" i="6"/>
  <c r="G35" i="7" s="1"/>
  <c r="G35" i="8" s="1"/>
  <c r="G35" i="9" s="1"/>
  <c r="G35" i="10" s="1"/>
  <c r="G35" i="11" s="1"/>
  <c r="G35" i="12" s="1"/>
  <c r="G35" i="13" s="1"/>
  <c r="G35" i="14" s="1"/>
  <c r="G35" i="15" s="1"/>
  <c r="G35" i="16" s="1"/>
  <c r="G35" i="17" s="1"/>
  <c r="G35" i="18" s="1"/>
  <c r="G35" i="19" s="1"/>
  <c r="G35" i="20" s="1"/>
  <c r="G35" i="21" s="1"/>
  <c r="G35" i="22" s="1"/>
  <c r="G35" i="23" s="1"/>
  <c r="G37" i="24" s="1"/>
  <c r="G35" i="25" s="1"/>
  <c r="G36" i="26" s="1"/>
  <c r="G35" i="27" s="1"/>
  <c r="G35" i="28" s="1"/>
  <c r="G35" i="29" s="1"/>
  <c r="G35" i="30" s="1"/>
  <c r="G35" i="31" s="1"/>
  <c r="G35" i="32" s="1"/>
  <c r="G35" i="33" s="1"/>
  <c r="G35" i="34" s="1"/>
  <c r="G35" i="35" s="1"/>
  <c r="G34" i="6"/>
  <c r="G34" i="7" s="1"/>
  <c r="G34" i="8" s="1"/>
  <c r="G34" i="9" s="1"/>
  <c r="G34" i="10" s="1"/>
  <c r="G34" i="11" s="1"/>
  <c r="G34" i="12" s="1"/>
  <c r="G34" i="13" s="1"/>
  <c r="G34" i="14" s="1"/>
  <c r="G34" i="15" s="1"/>
  <c r="G34" i="16" s="1"/>
  <c r="G34" i="17" s="1"/>
  <c r="G34" i="18" s="1"/>
  <c r="G34" i="19" s="1"/>
  <c r="G34" i="20" s="1"/>
  <c r="G34" i="21" s="1"/>
  <c r="G34" i="22" s="1"/>
  <c r="G34" i="23" s="1"/>
  <c r="G36" i="24" s="1"/>
  <c r="G34" i="25" s="1"/>
  <c r="G35" i="26" s="1"/>
  <c r="G34" i="27" s="1"/>
  <c r="G34" i="28" s="1"/>
  <c r="G34" i="29" s="1"/>
  <c r="G34" i="30" s="1"/>
  <c r="G34" i="31" s="1"/>
  <c r="G34" i="32" s="1"/>
  <c r="G34" i="33" s="1"/>
  <c r="G34" i="34" s="1"/>
  <c r="G34" i="35" s="1"/>
  <c r="G33" i="6"/>
  <c r="G33" i="7" s="1"/>
  <c r="G33" i="8" s="1"/>
  <c r="G33" i="9" s="1"/>
  <c r="G33" i="10" s="1"/>
  <c r="G33" i="11" s="1"/>
  <c r="G33" i="12" s="1"/>
  <c r="G33" i="13" s="1"/>
  <c r="G33" i="14" s="1"/>
  <c r="G33" i="15" s="1"/>
  <c r="G33" i="16" s="1"/>
  <c r="G33" i="17" s="1"/>
  <c r="G33" i="18" s="1"/>
  <c r="G33" i="19" s="1"/>
  <c r="G33" i="20" s="1"/>
  <c r="G33" i="21" s="1"/>
  <c r="G33" i="22" s="1"/>
  <c r="G33" i="23" s="1"/>
  <c r="G35" i="24" s="1"/>
  <c r="G33" i="25" s="1"/>
  <c r="G34" i="26" s="1"/>
  <c r="G33" i="27" s="1"/>
  <c r="G33" i="28" s="1"/>
  <c r="G33" i="29" s="1"/>
  <c r="G33" i="30" s="1"/>
  <c r="G33" i="31" s="1"/>
  <c r="G33" i="32" s="1"/>
  <c r="G33" i="33" s="1"/>
  <c r="G33" i="34" s="1"/>
  <c r="G33" i="35" s="1"/>
  <c r="G32" i="6"/>
  <c r="G32" i="7" s="1"/>
  <c r="G32" i="8" s="1"/>
  <c r="G32" i="9" s="1"/>
  <c r="G32" i="10" s="1"/>
  <c r="G32" i="11" s="1"/>
  <c r="G32" i="12" s="1"/>
  <c r="G32" i="13" s="1"/>
  <c r="G32" i="14" s="1"/>
  <c r="G32" i="15" s="1"/>
  <c r="G32" i="16" s="1"/>
  <c r="G32" i="17" s="1"/>
  <c r="G32" i="18" s="1"/>
  <c r="G32" i="19" s="1"/>
  <c r="G32" i="20" s="1"/>
  <c r="G32" i="21" s="1"/>
  <c r="G32" i="22" s="1"/>
  <c r="G32" i="23" s="1"/>
  <c r="G34" i="24" s="1"/>
  <c r="G32" i="25" s="1"/>
  <c r="G33" i="26" s="1"/>
  <c r="G32" i="27" s="1"/>
  <c r="G32" i="28" s="1"/>
  <c r="G32" i="29" s="1"/>
  <c r="G32" i="30" s="1"/>
  <c r="G32" i="31" s="1"/>
  <c r="G32" i="32" s="1"/>
  <c r="G32" i="33" s="1"/>
  <c r="G32" i="34" s="1"/>
  <c r="G32" i="35" s="1"/>
  <c r="G31" i="6"/>
  <c r="G31" i="7" s="1"/>
  <c r="G31" i="8" s="1"/>
  <c r="G31" i="9" s="1"/>
  <c r="G31" i="10" s="1"/>
  <c r="G31" i="11" s="1"/>
  <c r="G31" i="12" s="1"/>
  <c r="G31" i="13" s="1"/>
  <c r="G31" i="14" s="1"/>
  <c r="G31" i="15" s="1"/>
  <c r="G31" i="16" s="1"/>
  <c r="G31" i="17" s="1"/>
  <c r="G31" i="18" s="1"/>
  <c r="G31" i="19" s="1"/>
  <c r="G31" i="20" s="1"/>
  <c r="G31" i="21" s="1"/>
  <c r="G31" i="22" s="1"/>
  <c r="G31" i="23" s="1"/>
  <c r="G33" i="24" s="1"/>
  <c r="G31" i="25" s="1"/>
  <c r="G32" i="26" s="1"/>
  <c r="G31" i="27" s="1"/>
  <c r="G31" i="28" s="1"/>
  <c r="G31" i="29" s="1"/>
  <c r="G31" i="30" s="1"/>
  <c r="G31" i="31" s="1"/>
  <c r="G31" i="32" s="1"/>
  <c r="G31" i="33" s="1"/>
  <c r="G31" i="34" s="1"/>
  <c r="G31" i="35" s="1"/>
  <c r="G30" i="6"/>
  <c r="G30" i="7" s="1"/>
  <c r="G30" i="8" s="1"/>
  <c r="G30" i="9" s="1"/>
  <c r="G30" i="10" s="1"/>
  <c r="G30" i="11" s="1"/>
  <c r="G30" i="12" s="1"/>
  <c r="G30" i="13" s="1"/>
  <c r="G30" i="14" s="1"/>
  <c r="G30" i="15" s="1"/>
  <c r="G30" i="16" s="1"/>
  <c r="G30" i="17" s="1"/>
  <c r="G30" i="18" s="1"/>
  <c r="G30" i="19" s="1"/>
  <c r="G30" i="20" s="1"/>
  <c r="G30" i="21" s="1"/>
  <c r="G30" i="22" s="1"/>
  <c r="G30" i="23" s="1"/>
  <c r="G32" i="24" s="1"/>
  <c r="G30" i="25" s="1"/>
  <c r="G31" i="26" s="1"/>
  <c r="G30" i="27" s="1"/>
  <c r="G30" i="28" s="1"/>
  <c r="G30" i="29" s="1"/>
  <c r="G30" i="30" s="1"/>
  <c r="G30" i="31" s="1"/>
  <c r="G30" i="32" s="1"/>
  <c r="G30" i="33" s="1"/>
  <c r="G30" i="34" s="1"/>
  <c r="G30" i="35" s="1"/>
  <c r="A30" i="6"/>
  <c r="A30" i="7" s="1"/>
  <c r="A30" i="8" s="1"/>
  <c r="A30" i="9" s="1"/>
  <c r="A30" i="11" s="1"/>
  <c r="A30" i="12" s="1"/>
  <c r="A30" i="13" s="1"/>
  <c r="A30" i="14" s="1"/>
  <c r="A30" i="15" s="1"/>
  <c r="A30" i="16" s="1"/>
  <c r="A30" i="17" s="1"/>
  <c r="A30" i="18" s="1"/>
  <c r="A30" i="19" s="1"/>
  <c r="A30" i="20" s="1"/>
  <c r="A30" i="21" s="1"/>
  <c r="A30" i="22" s="1"/>
  <c r="A30" i="23" s="1"/>
  <c r="A32" i="24" s="1"/>
  <c r="A30" i="25" s="1"/>
  <c r="A31" i="26" s="1"/>
  <c r="A30" i="27" s="1"/>
  <c r="A30" i="28" s="1"/>
  <c r="A30" i="29" s="1"/>
  <c r="A30" i="30" s="1"/>
  <c r="A30" i="31" s="1"/>
  <c r="A30" i="32" s="1"/>
  <c r="A30" i="33" s="1"/>
  <c r="A30" i="34" s="1"/>
  <c r="A30" i="35" s="1"/>
  <c r="A31" i="6"/>
  <c r="A31" i="7" s="1"/>
  <c r="A31" i="8" s="1"/>
  <c r="A31" i="9" s="1"/>
  <c r="A31" i="10" s="1"/>
  <c r="A31" i="11" s="1"/>
  <c r="A31" i="12" s="1"/>
  <c r="A31" i="13" s="1"/>
  <c r="A31" i="14" s="1"/>
  <c r="A31" i="15" s="1"/>
  <c r="A31" i="16" s="1"/>
  <c r="A31" i="17" s="1"/>
  <c r="A31" i="18" s="1"/>
  <c r="A31" i="19" s="1"/>
  <c r="A31" i="20" s="1"/>
  <c r="A31" i="21" s="1"/>
  <c r="A31" i="22" s="1"/>
  <c r="A31" i="23" s="1"/>
  <c r="A33" i="24" s="1"/>
  <c r="A31" i="25" s="1"/>
  <c r="A32" i="26" s="1"/>
  <c r="A31" i="27" s="1"/>
  <c r="A31" i="28" s="1"/>
  <c r="A31" i="29" s="1"/>
  <c r="A31" i="30" s="1"/>
  <c r="A31" i="31" s="1"/>
  <c r="A31" i="32" s="1"/>
  <c r="A31" i="33" s="1"/>
  <c r="A31" i="34" s="1"/>
  <c r="A31" i="35" s="1"/>
  <c r="A32" i="6"/>
  <c r="A32" i="7" s="1"/>
  <c r="A32" i="8" s="1"/>
  <c r="A32" i="9" s="1"/>
  <c r="A32" i="10" s="1"/>
  <c r="A32" i="11" s="1"/>
  <c r="A32" i="12" s="1"/>
  <c r="A32" i="13" s="1"/>
  <c r="A32" i="14" s="1"/>
  <c r="A32" i="15" s="1"/>
  <c r="A32" i="16" s="1"/>
  <c r="A32" i="17" s="1"/>
  <c r="A32" i="18" s="1"/>
  <c r="A32" i="19" s="1"/>
  <c r="A32" i="20" s="1"/>
  <c r="A32" i="21" s="1"/>
  <c r="A32" i="22" s="1"/>
  <c r="A32" i="23" s="1"/>
  <c r="A34" i="24" s="1"/>
  <c r="A32" i="25" s="1"/>
  <c r="A33" i="26" s="1"/>
  <c r="A32" i="27" s="1"/>
  <c r="A32" i="28" s="1"/>
  <c r="A32" i="29" s="1"/>
  <c r="A32" i="30" s="1"/>
  <c r="A32" i="31" s="1"/>
  <c r="A32" i="32" s="1"/>
  <c r="A32" i="33" s="1"/>
  <c r="A32" i="34" s="1"/>
  <c r="A32" i="35" s="1"/>
  <c r="A33" i="6"/>
  <c r="A33" i="7" s="1"/>
  <c r="A33" i="8" s="1"/>
  <c r="A33" i="9" s="1"/>
  <c r="A33" i="10" s="1"/>
  <c r="A33" i="11" s="1"/>
  <c r="A33" i="12" s="1"/>
  <c r="A33" i="13" s="1"/>
  <c r="A33" i="14" s="1"/>
  <c r="A33" i="15" s="1"/>
  <c r="A33" i="16" s="1"/>
  <c r="A33" i="17" s="1"/>
  <c r="A33" i="18" s="1"/>
  <c r="A33" i="19" s="1"/>
  <c r="A33" i="20" s="1"/>
  <c r="A33" i="21" s="1"/>
  <c r="A33" i="22" s="1"/>
  <c r="A33" i="23" s="1"/>
  <c r="A35" i="24" s="1"/>
  <c r="A33" i="25" s="1"/>
  <c r="A34" i="26" s="1"/>
  <c r="A33" i="27" s="1"/>
  <c r="A33" i="28" s="1"/>
  <c r="A33" i="29" s="1"/>
  <c r="A33" i="30" s="1"/>
  <c r="A33" i="31" s="1"/>
  <c r="A33" i="32" s="1"/>
  <c r="A33" i="33" s="1"/>
  <c r="A33" i="34" s="1"/>
  <c r="A33" i="35" s="1"/>
  <c r="A34" i="6"/>
  <c r="A34" i="7" s="1"/>
  <c r="A34" i="8" s="1"/>
  <c r="A34" i="9" s="1"/>
  <c r="A34" i="10" s="1"/>
  <c r="A34" i="11" s="1"/>
  <c r="A34" i="12" s="1"/>
  <c r="A34" i="13" s="1"/>
  <c r="A34" i="14" s="1"/>
  <c r="A34" i="15" s="1"/>
  <c r="A34" i="16" s="1"/>
  <c r="A34" i="17" s="1"/>
  <c r="A34" i="18" s="1"/>
  <c r="A34" i="19" s="1"/>
  <c r="A34" i="20" s="1"/>
  <c r="A34" i="21" s="1"/>
  <c r="A34" i="22" s="1"/>
  <c r="A34" i="23" s="1"/>
  <c r="A36" i="24" s="1"/>
  <c r="A34" i="25" s="1"/>
  <c r="A35" i="26" s="1"/>
  <c r="A34" i="27" s="1"/>
  <c r="A34" i="28" s="1"/>
  <c r="A34" i="29" s="1"/>
  <c r="A34" i="30" s="1"/>
  <c r="A34" i="31" s="1"/>
  <c r="A34" i="32" s="1"/>
  <c r="A34" i="33" s="1"/>
  <c r="A34" i="34" s="1"/>
  <c r="A34" i="35" s="1"/>
  <c r="A35" i="6"/>
  <c r="A35" i="7" s="1"/>
  <c r="A35" i="8" s="1"/>
  <c r="A35" i="9" s="1"/>
  <c r="A35" i="10" s="1"/>
  <c r="A35" i="11" s="1"/>
  <c r="A35" i="12" s="1"/>
  <c r="A35" i="13" s="1"/>
  <c r="A35" i="14" s="1"/>
  <c r="A35" i="15" s="1"/>
  <c r="A35" i="16" s="1"/>
  <c r="A35" i="17" s="1"/>
  <c r="A35" i="18" s="1"/>
  <c r="A35" i="19" s="1"/>
  <c r="A35" i="20" s="1"/>
  <c r="A35" i="21" s="1"/>
  <c r="A35" i="22" s="1"/>
  <c r="A35" i="23" s="1"/>
  <c r="A37" i="24" s="1"/>
  <c r="A35" i="25" s="1"/>
  <c r="A36" i="26" s="1"/>
  <c r="A35" i="27" s="1"/>
  <c r="A35" i="28" s="1"/>
  <c r="A35" i="29" s="1"/>
  <c r="A35" i="30" s="1"/>
  <c r="A35" i="31" s="1"/>
  <c r="A35" i="32" s="1"/>
  <c r="A35" i="33" s="1"/>
  <c r="A35" i="34" s="1"/>
  <c r="A35" i="35" s="1"/>
  <c r="A36" i="6"/>
  <c r="A36" i="7" s="1"/>
  <c r="A36" i="8" s="1"/>
  <c r="A36" i="9" s="1"/>
  <c r="A36" i="10" s="1"/>
  <c r="A36" i="11" s="1"/>
  <c r="A36" i="12" s="1"/>
  <c r="A36" i="13" s="1"/>
  <c r="A36" i="14" s="1"/>
  <c r="A36" i="15" s="1"/>
  <c r="A36" i="16" s="1"/>
  <c r="A36" i="17" s="1"/>
  <c r="A36" i="18" s="1"/>
  <c r="A36" i="19" s="1"/>
  <c r="A36" i="20" s="1"/>
  <c r="A36" i="21" s="1"/>
  <c r="A36" i="22" s="1"/>
  <c r="A36" i="23" s="1"/>
  <c r="A38" i="24" s="1"/>
  <c r="A36" i="25" s="1"/>
  <c r="A37" i="26" s="1"/>
  <c r="A36" i="27" s="1"/>
  <c r="A36" i="28" s="1"/>
  <c r="A36" i="29" s="1"/>
  <c r="A36" i="30" s="1"/>
  <c r="A36" i="31" s="1"/>
  <c r="A36" i="32" s="1"/>
  <c r="A36" i="33" s="1"/>
  <c r="A36" i="34" s="1"/>
  <c r="A36" i="35" s="1"/>
  <c r="A37" i="6"/>
  <c r="A37" i="7" s="1"/>
  <c r="A37" i="8" s="1"/>
  <c r="A37" i="9" s="1"/>
  <c r="A37" i="10" s="1"/>
  <c r="A37" i="11" s="1"/>
  <c r="A37" i="12" s="1"/>
  <c r="A37" i="13" s="1"/>
  <c r="A37" i="14" s="1"/>
  <c r="A37" i="15" s="1"/>
  <c r="A37" i="16" s="1"/>
  <c r="A37" i="17" s="1"/>
  <c r="A37" i="18" s="1"/>
  <c r="A37" i="19" s="1"/>
  <c r="A37" i="20" s="1"/>
  <c r="A37" i="21" s="1"/>
  <c r="A37" i="22" s="1"/>
  <c r="A37" i="23" s="1"/>
  <c r="A39" i="24" s="1"/>
  <c r="A37" i="25" s="1"/>
  <c r="A38" i="26" s="1"/>
  <c r="A37" i="27" s="1"/>
  <c r="A37" i="28" s="1"/>
  <c r="A37" i="29" s="1"/>
  <c r="A37" i="30" s="1"/>
  <c r="A37" i="31" s="1"/>
  <c r="A37" i="32" s="1"/>
  <c r="A37" i="33" s="1"/>
  <c r="A37" i="34" s="1"/>
  <c r="A37" i="35" s="1"/>
  <c r="A38" i="6"/>
  <c r="A38" i="7" s="1"/>
  <c r="A38" i="8" s="1"/>
  <c r="A38" i="9" s="1"/>
  <c r="A38" i="10" s="1"/>
  <c r="A38" i="11" s="1"/>
  <c r="A38" i="12" s="1"/>
  <c r="A38" i="13" s="1"/>
  <c r="A38" i="14" s="1"/>
  <c r="A38" i="15" s="1"/>
  <c r="A38" i="16" s="1"/>
  <c r="A38" i="17" s="1"/>
  <c r="A38" i="18" s="1"/>
  <c r="A38" i="19" s="1"/>
  <c r="A38" i="20" s="1"/>
  <c r="A38" i="21" s="1"/>
  <c r="A38" i="22" s="1"/>
  <c r="A38" i="23" s="1"/>
  <c r="A40" i="24" s="1"/>
  <c r="A38" i="25" s="1"/>
  <c r="A39" i="26" s="1"/>
  <c r="A38" i="27" s="1"/>
  <c r="A38" i="28" s="1"/>
  <c r="A38" i="29" s="1"/>
  <c r="A38" i="30" s="1"/>
  <c r="A38" i="31" s="1"/>
  <c r="A38" i="32" s="1"/>
  <c r="A38" i="33" s="1"/>
  <c r="A38" i="34" s="1"/>
  <c r="A38" i="35" s="1"/>
  <c r="A39" i="6"/>
  <c r="A39" i="7" s="1"/>
  <c r="A39" i="8" s="1"/>
  <c r="A39" i="9" s="1"/>
  <c r="A39" i="10" s="1"/>
  <c r="A39" i="12" s="1"/>
  <c r="A39" i="13" s="1"/>
  <c r="A39" i="14" s="1"/>
  <c r="A39" i="15" s="1"/>
  <c r="A39" i="16" s="1"/>
  <c r="A39" i="17" s="1"/>
  <c r="A39" i="18" s="1"/>
  <c r="A39" i="19" s="1"/>
  <c r="A39" i="20" s="1"/>
  <c r="A39" i="21" s="1"/>
  <c r="A39" i="22" s="1"/>
  <c r="A39" i="23" s="1"/>
  <c r="A41" i="24" s="1"/>
  <c r="A39" i="25" s="1"/>
  <c r="A40" i="26" s="1"/>
  <c r="A39" i="27" s="1"/>
  <c r="A39" i="28" s="1"/>
  <c r="A39" i="29" s="1"/>
  <c r="A39" i="30" s="1"/>
  <c r="A39" i="31" s="1"/>
  <c r="A39" i="32" s="1"/>
  <c r="A39" i="33" s="1"/>
  <c r="A39" i="34" s="1"/>
  <c r="A39" i="35" s="1"/>
  <c r="A40" i="6"/>
  <c r="A40" i="7" s="1"/>
  <c r="A40" i="8" s="1"/>
  <c r="A40" i="9" s="1"/>
  <c r="A40" i="10" s="1"/>
  <c r="A40" i="11" s="1"/>
  <c r="A40" i="13" s="1"/>
  <c r="A40" i="14" s="1"/>
  <c r="A40" i="15" s="1"/>
  <c r="A40" i="16" s="1"/>
  <c r="A40" i="17" s="1"/>
  <c r="A40" i="18" s="1"/>
  <c r="A40" i="19" s="1"/>
  <c r="A40" i="20" s="1"/>
  <c r="A40" i="21" s="1"/>
  <c r="A40" i="22" s="1"/>
  <c r="A40" i="23" s="1"/>
  <c r="A42" i="24" s="1"/>
  <c r="A40" i="25" s="1"/>
  <c r="A41" i="26" s="1"/>
  <c r="A40" i="27" s="1"/>
  <c r="A40" i="28" s="1"/>
  <c r="A40" i="29" s="1"/>
  <c r="A40" i="30" s="1"/>
  <c r="A40" i="31" s="1"/>
  <c r="A40" i="32" s="1"/>
  <c r="A40" i="33" s="1"/>
  <c r="A40" i="34" s="1"/>
  <c r="A40" i="35" s="1"/>
  <c r="A41" i="6"/>
  <c r="A41" i="7" s="1"/>
  <c r="A41" i="8" s="1"/>
  <c r="A41" i="9" s="1"/>
  <c r="A41" i="10" s="1"/>
  <c r="A41" i="11" s="1"/>
  <c r="A41" i="13" s="1"/>
  <c r="A41" i="14" s="1"/>
  <c r="A41" i="15" s="1"/>
  <c r="A41" i="16" s="1"/>
  <c r="A41" i="17" s="1"/>
  <c r="A41" i="18" s="1"/>
  <c r="A41" i="19" s="1"/>
  <c r="A41" i="20" s="1"/>
  <c r="A41" i="21" s="1"/>
  <c r="A41" i="22" s="1"/>
  <c r="A41" i="23" s="1"/>
  <c r="A43" i="24" s="1"/>
  <c r="A41" i="25" s="1"/>
  <c r="A42" i="26" s="1"/>
  <c r="A41" i="27" s="1"/>
  <c r="A41" i="28" s="1"/>
  <c r="A41" i="29" s="1"/>
  <c r="A41" i="30" s="1"/>
  <c r="A41" i="31" s="1"/>
  <c r="A41" i="32" s="1"/>
  <c r="A41" i="33" s="1"/>
  <c r="A41" i="34" s="1"/>
  <c r="A41" i="35" s="1"/>
  <c r="A42" i="6"/>
  <c r="A42" i="7" s="1"/>
  <c r="A42" i="8" s="1"/>
  <c r="A42" i="9" s="1"/>
  <c r="A42" i="10" s="1"/>
  <c r="A42" i="11" s="1"/>
  <c r="A42" i="12" s="1"/>
  <c r="A42" i="13" s="1"/>
  <c r="A42" i="14" s="1"/>
  <c r="A42" i="15" s="1"/>
  <c r="A42" i="16" s="1"/>
  <c r="A42" i="17" s="1"/>
  <c r="A42" i="18" s="1"/>
  <c r="A42" i="19" s="1"/>
  <c r="A42" i="20" s="1"/>
  <c r="A42" i="21" s="1"/>
  <c r="A42" i="22" s="1"/>
  <c r="A42" i="23" s="1"/>
  <c r="A44" i="24" s="1"/>
  <c r="A42" i="25" s="1"/>
  <c r="A43" i="26" s="1"/>
  <c r="A42" i="27" s="1"/>
  <c r="A42" i="28" s="1"/>
  <c r="A42" i="29" s="1"/>
  <c r="A42" i="30" s="1"/>
  <c r="A42" i="31" s="1"/>
  <c r="A42" i="32" s="1"/>
  <c r="A42" i="33" s="1"/>
  <c r="A42" i="34" s="1"/>
  <c r="A42" i="35" s="1"/>
  <c r="A43" i="6"/>
  <c r="A43" i="7" s="1"/>
  <c r="A43" i="8" s="1"/>
  <c r="A43" i="9" s="1"/>
  <c r="A43" i="10" s="1"/>
  <c r="A43" i="11" s="1"/>
  <c r="A43" i="12" s="1"/>
  <c r="A43" i="13" s="1"/>
  <c r="A43" i="14" s="1"/>
  <c r="A43" i="15" s="1"/>
  <c r="A43" i="16" s="1"/>
  <c r="A43" i="17" s="1"/>
  <c r="A43" i="18" s="1"/>
  <c r="A43" i="19" s="1"/>
  <c r="A43" i="20" s="1"/>
  <c r="A43" i="21" s="1"/>
  <c r="A43" i="22" s="1"/>
  <c r="A43" i="23" s="1"/>
  <c r="A45" i="24" s="1"/>
  <c r="A43" i="25" s="1"/>
  <c r="A44" i="26" s="1"/>
  <c r="A43" i="27" s="1"/>
  <c r="A43" i="28" s="1"/>
  <c r="A43" i="29" s="1"/>
  <c r="A43" i="30" s="1"/>
  <c r="A43" i="31" s="1"/>
  <c r="A43" i="32" s="1"/>
  <c r="A43" i="33" s="1"/>
  <c r="A43" i="34" s="1"/>
  <c r="A43" i="35" s="1"/>
  <c r="A44" i="6"/>
  <c r="A44" i="7" s="1"/>
  <c r="A44" i="8" s="1"/>
  <c r="A44" i="9" s="1"/>
  <c r="A44" i="10" s="1"/>
  <c r="A44" i="11" s="1"/>
  <c r="A44" i="12" s="1"/>
  <c r="A44" i="13" s="1"/>
  <c r="A44" i="14" s="1"/>
  <c r="A44" i="16" s="1"/>
  <c r="A44" i="17" s="1"/>
  <c r="A44" i="18" s="1"/>
  <c r="A44" i="19" s="1"/>
  <c r="A44" i="20" s="1"/>
  <c r="A44" i="21" s="1"/>
  <c r="A44" i="22" s="1"/>
  <c r="A44" i="23" s="1"/>
  <c r="A46" i="24" s="1"/>
  <c r="A44" i="25" s="1"/>
  <c r="A45" i="26" s="1"/>
  <c r="A44" i="27" s="1"/>
  <c r="A44" i="28" s="1"/>
  <c r="A44" i="29" s="1"/>
  <c r="A44" i="30" s="1"/>
  <c r="A44" i="31" s="1"/>
  <c r="A44" i="32" s="1"/>
  <c r="A44" i="33" s="1"/>
  <c r="A44" i="34" s="1"/>
  <c r="A44" i="35" s="1"/>
  <c r="A45" i="6"/>
  <c r="A45" i="7" s="1"/>
  <c r="A45" i="8" s="1"/>
  <c r="A45" i="9" s="1"/>
  <c r="A45" i="10" s="1"/>
  <c r="A45" i="11" s="1"/>
  <c r="A45" i="12" s="1"/>
  <c r="A45" i="13" s="1"/>
  <c r="A45" i="14" s="1"/>
  <c r="A45" i="15" s="1"/>
  <c r="A45" i="17" s="1"/>
  <c r="A45" i="18" s="1"/>
  <c r="A45" i="19" s="1"/>
  <c r="A45" i="20" s="1"/>
  <c r="A45" i="21" s="1"/>
  <c r="A45" i="22" s="1"/>
  <c r="A45" i="23" s="1"/>
  <c r="A47" i="24" s="1"/>
  <c r="A45" i="25" s="1"/>
  <c r="A46" i="26" s="1"/>
  <c r="A45" i="27" s="1"/>
  <c r="A45" i="28" s="1"/>
  <c r="A45" i="29" s="1"/>
  <c r="A45" i="30" s="1"/>
  <c r="A45" i="31" s="1"/>
  <c r="A45" i="32" s="1"/>
  <c r="A45" i="33" s="1"/>
  <c r="A45" i="34" s="1"/>
  <c r="A45" i="35" s="1"/>
  <c r="A46" i="6"/>
  <c r="A46" i="7" s="1"/>
  <c r="A46" i="8" s="1"/>
  <c r="A46" i="9" s="1"/>
  <c r="A46" i="10" s="1"/>
  <c r="A46" i="11" s="1"/>
  <c r="A46" i="12" s="1"/>
  <c r="A46" i="13" s="1"/>
  <c r="A46" i="14" s="1"/>
  <c r="A46" i="15" s="1"/>
  <c r="A46" i="16" s="1"/>
  <c r="A46" i="17" s="1"/>
  <c r="A46" i="18" s="1"/>
  <c r="A46" i="19" s="1"/>
  <c r="A46" i="20" s="1"/>
  <c r="A46" i="21" s="1"/>
  <c r="A46" i="22" s="1"/>
  <c r="A46" i="23" s="1"/>
  <c r="A48" i="24" s="1"/>
  <c r="A46" i="25" s="1"/>
  <c r="A47" i="26" s="1"/>
  <c r="A46" i="27" s="1"/>
  <c r="A46" i="28" s="1"/>
  <c r="A46" i="29" s="1"/>
  <c r="A46" i="30" s="1"/>
  <c r="A46" i="31" s="1"/>
  <c r="A46" i="32" s="1"/>
  <c r="A46" i="33" s="1"/>
  <c r="A46" i="34" s="1"/>
  <c r="A46" i="35" s="1"/>
  <c r="A47" i="6"/>
  <c r="A47" i="7" s="1"/>
  <c r="A47" i="8" s="1"/>
  <c r="A47" i="9" s="1"/>
  <c r="A47" i="10" s="1"/>
  <c r="A47" i="11" s="1"/>
  <c r="A47" i="12" s="1"/>
  <c r="A47" i="13" s="1"/>
  <c r="A47" i="14" s="1"/>
  <c r="A47" i="15" s="1"/>
  <c r="A47" i="16" s="1"/>
  <c r="A47" i="17" s="1"/>
  <c r="A47" i="18" s="1"/>
  <c r="A47" i="19" s="1"/>
  <c r="A47" i="20" s="1"/>
  <c r="A47" i="21" s="1"/>
  <c r="A47" i="22" s="1"/>
  <c r="A47" i="23" s="1"/>
  <c r="A49" i="24" s="1"/>
  <c r="A47" i="25" s="1"/>
  <c r="A48" i="26" s="1"/>
  <c r="A47" i="27" s="1"/>
  <c r="A47" i="28" s="1"/>
  <c r="A47" i="29" s="1"/>
  <c r="A47" i="30" s="1"/>
  <c r="A47" i="31" s="1"/>
  <c r="A47" i="32" s="1"/>
  <c r="A47" i="33" s="1"/>
  <c r="A47" i="34" s="1"/>
  <c r="A47" i="35" s="1"/>
  <c r="A48" i="6"/>
  <c r="A48" i="7" s="1"/>
  <c r="A48" i="8" s="1"/>
  <c r="A48" i="9" s="1"/>
  <c r="A48" i="10" s="1"/>
  <c r="A48" i="11" s="1"/>
  <c r="A48" i="12" s="1"/>
  <c r="A48" i="13" s="1"/>
  <c r="A48" i="14" s="1"/>
  <c r="A48" i="15" s="1"/>
  <c r="A48" i="16" s="1"/>
  <c r="A48" i="17" s="1"/>
  <c r="A48" i="18" s="1"/>
  <c r="A48" i="19" s="1"/>
  <c r="A48" i="20" s="1"/>
  <c r="A48" i="21" s="1"/>
  <c r="A48" i="22" s="1"/>
  <c r="A48" i="23" s="1"/>
  <c r="A50" i="24" s="1"/>
  <c r="A48" i="25" s="1"/>
  <c r="A49" i="26" s="1"/>
  <c r="A48" i="27" s="1"/>
  <c r="A48" i="28" s="1"/>
  <c r="A48" i="29" s="1"/>
  <c r="A48" i="30" s="1"/>
  <c r="A48" i="31" s="1"/>
  <c r="A48" i="32" s="1"/>
  <c r="A48" i="33" s="1"/>
  <c r="A48" i="34" s="1"/>
  <c r="A48" i="35" s="1"/>
  <c r="A49" i="6"/>
  <c r="A49" i="7" s="1"/>
  <c r="A49" i="8" s="1"/>
  <c r="A49" i="9" s="1"/>
  <c r="A49" i="10" s="1"/>
  <c r="A49" i="11" s="1"/>
  <c r="A49" i="12" s="1"/>
  <c r="A49" i="13" s="1"/>
  <c r="A49" i="14" s="1"/>
  <c r="A49" i="15" s="1"/>
  <c r="A49" i="16" s="1"/>
  <c r="A49" i="17" s="1"/>
  <c r="A49" i="18" s="1"/>
  <c r="A49" i="19" s="1"/>
  <c r="A49" i="20" s="1"/>
  <c r="A49" i="21" s="1"/>
  <c r="A49" i="22" s="1"/>
  <c r="A49" i="23" s="1"/>
  <c r="A51" i="24" s="1"/>
  <c r="A49" i="25" s="1"/>
  <c r="A50" i="26" s="1"/>
  <c r="A49" i="27" s="1"/>
  <c r="A49" i="28" s="1"/>
  <c r="A49" i="29" s="1"/>
  <c r="A49" i="30" s="1"/>
  <c r="A49" i="31" s="1"/>
  <c r="A49" i="32" s="1"/>
  <c r="A49" i="33" s="1"/>
  <c r="A49" i="34" s="1"/>
  <c r="A49" i="35" s="1"/>
  <c r="N24" i="6" l="1"/>
  <c r="N24" i="7" s="1"/>
  <c r="N24" i="8" s="1"/>
  <c r="N24" i="9" s="1"/>
  <c r="N24" i="10" s="1"/>
  <c r="N24" i="11" s="1"/>
  <c r="N24" i="12" s="1"/>
  <c r="N24" i="13" s="1"/>
  <c r="N24" i="14" s="1"/>
  <c r="N24" i="15" s="1"/>
  <c r="N24" i="16" s="1"/>
  <c r="N24" i="17" s="1"/>
  <c r="N24" i="18" s="1"/>
  <c r="N24" i="19" s="1"/>
  <c r="N24" i="20" s="1"/>
  <c r="N24" i="21" s="1"/>
  <c r="N24" i="22" s="1"/>
  <c r="N24" i="23" s="1"/>
  <c r="N26" i="24" s="1"/>
  <c r="N24" i="25" s="1"/>
  <c r="N25" i="26" s="1"/>
  <c r="N24" i="27" s="1"/>
  <c r="N24" i="28" s="1"/>
  <c r="N24" i="29" s="1"/>
  <c r="N24" i="30" s="1"/>
  <c r="N24" i="31" s="1"/>
  <c r="N24" i="32" s="1"/>
  <c r="N24" i="33" s="1"/>
  <c r="N24" i="34" s="1"/>
  <c r="N24" i="35" s="1"/>
  <c r="M24" i="6"/>
  <c r="M24" i="7" s="1"/>
  <c r="M24" i="8" s="1"/>
  <c r="M24" i="9" s="1"/>
  <c r="M24" i="10" s="1"/>
  <c r="M24" i="11" s="1"/>
  <c r="M24" i="12" s="1"/>
  <c r="M24" i="13" s="1"/>
  <c r="M24" i="14" s="1"/>
  <c r="M24" i="15" s="1"/>
  <c r="M24" i="16" s="1"/>
  <c r="M24" i="17" s="1"/>
  <c r="M24" i="18" s="1"/>
  <c r="M24" i="19" s="1"/>
  <c r="M24" i="20" s="1"/>
  <c r="M24" i="21" s="1"/>
  <c r="M24" i="22" s="1"/>
  <c r="M24" i="23" s="1"/>
  <c r="M26" i="24" s="1"/>
  <c r="M24" i="25" s="1"/>
  <c r="M25" i="26" s="1"/>
  <c r="M24" i="27" s="1"/>
  <c r="M24" i="28" s="1"/>
  <c r="M24" i="29" s="1"/>
  <c r="M24" i="30" s="1"/>
  <c r="M24" i="31" s="1"/>
  <c r="M24" i="32" s="1"/>
  <c r="M24" i="33" s="1"/>
  <c r="M24" i="34" s="1"/>
  <c r="M24" i="35" s="1"/>
  <c r="N23" i="6"/>
  <c r="N23" i="7" s="1"/>
  <c r="N23" i="8" s="1"/>
  <c r="N23" i="9" s="1"/>
  <c r="N23" i="13" s="1"/>
  <c r="N23" i="14" s="1"/>
  <c r="N23" i="17" s="1"/>
  <c r="N23" i="18" s="1"/>
  <c r="N23" i="19" s="1"/>
  <c r="N23" i="20" s="1"/>
  <c r="N23" i="21" s="1"/>
  <c r="N23" i="22" s="1"/>
  <c r="N23" i="23" s="1"/>
  <c r="N25" i="24" s="1"/>
  <c r="N23" i="25" s="1"/>
  <c r="N24" i="26" s="1"/>
  <c r="N23" i="27" s="1"/>
  <c r="N23" i="30" s="1"/>
  <c r="N23" i="31" s="1"/>
  <c r="N23" i="32" s="1"/>
  <c r="N23" i="33" s="1"/>
  <c r="N23" i="34" s="1"/>
  <c r="N23" i="35" s="1"/>
  <c r="M23" i="6"/>
  <c r="M23" i="7" s="1"/>
  <c r="M23" i="8" s="1"/>
  <c r="M23" i="9" s="1"/>
  <c r="M23" i="13" s="1"/>
  <c r="M23" i="14" s="1"/>
  <c r="M23" i="17" s="1"/>
  <c r="M23" i="18" s="1"/>
  <c r="M23" i="19" s="1"/>
  <c r="M23" i="20" s="1"/>
  <c r="M23" i="21" s="1"/>
  <c r="M23" i="22" s="1"/>
  <c r="M23" i="23" s="1"/>
  <c r="M25" i="24" s="1"/>
  <c r="M23" i="25" s="1"/>
  <c r="M24" i="26" s="1"/>
  <c r="M23" i="27" s="1"/>
  <c r="M23" i="30" s="1"/>
  <c r="M23" i="31" s="1"/>
  <c r="M23" i="32" s="1"/>
  <c r="M23" i="33" s="1"/>
  <c r="M23" i="34" s="1"/>
  <c r="M23" i="35" s="1"/>
  <c r="K23" i="6"/>
  <c r="K23" i="7" s="1"/>
  <c r="K24" i="6"/>
  <c r="K24" i="7" s="1"/>
  <c r="J24" i="6"/>
  <c r="J24" i="7" s="1"/>
  <c r="J24" i="8" s="1"/>
  <c r="J24" i="9" s="1"/>
  <c r="J24" i="10" s="1"/>
  <c r="J24" i="11" s="1"/>
  <c r="J24" i="12" s="1"/>
  <c r="J24" i="13" s="1"/>
  <c r="J24" i="14" s="1"/>
  <c r="J24" i="15" s="1"/>
  <c r="J24" i="16" s="1"/>
  <c r="J24" i="17" s="1"/>
  <c r="J24" i="18" s="1"/>
  <c r="J24" i="19" s="1"/>
  <c r="J24" i="20" s="1"/>
  <c r="J24" i="21" s="1"/>
  <c r="J24" i="22" s="1"/>
  <c r="J24" i="23" s="1"/>
  <c r="J26" i="24" s="1"/>
  <c r="J24" i="25" s="1"/>
  <c r="J25" i="26" s="1"/>
  <c r="J24" i="27" s="1"/>
  <c r="J24" i="28" s="1"/>
  <c r="J24" i="29" s="1"/>
  <c r="J24" i="30" s="1"/>
  <c r="J24" i="31" s="1"/>
  <c r="J24" i="32" s="1"/>
  <c r="J24" i="33" s="1"/>
  <c r="J24" i="34" s="1"/>
  <c r="J24" i="35" s="1"/>
  <c r="J23" i="6"/>
  <c r="J23" i="7" s="1"/>
  <c r="J23" i="8" s="1"/>
  <c r="J23" i="9" s="1"/>
  <c r="J23" i="13" s="1"/>
  <c r="J23" i="14" s="1"/>
  <c r="J23" i="17" s="1"/>
  <c r="J23" i="18" s="1"/>
  <c r="J23" i="19" s="1"/>
  <c r="J23" i="20" s="1"/>
  <c r="J23" i="21" s="1"/>
  <c r="J23" i="22" s="1"/>
  <c r="J23" i="23" s="1"/>
  <c r="J25" i="24" s="1"/>
  <c r="J23" i="25" s="1"/>
  <c r="J24" i="26" s="1"/>
  <c r="J23" i="27" s="1"/>
  <c r="J23" i="30" s="1"/>
  <c r="J23" i="31" s="1"/>
  <c r="J23" i="32" s="1"/>
  <c r="J23" i="33" s="1"/>
  <c r="J23" i="34" s="1"/>
  <c r="J23" i="35" s="1"/>
  <c r="C23" i="6"/>
  <c r="D23" i="6"/>
  <c r="D23" i="7" s="1"/>
  <c r="D23" i="8" s="1"/>
  <c r="D23" i="9" s="1"/>
  <c r="D23" i="13" s="1"/>
  <c r="D23" i="14" s="1"/>
  <c r="D23" i="17" s="1"/>
  <c r="D23" i="18" s="1"/>
  <c r="D23" i="19" s="1"/>
  <c r="D23" i="20" s="1"/>
  <c r="D23" i="21" s="1"/>
  <c r="D23" i="22" s="1"/>
  <c r="D23" i="23" s="1"/>
  <c r="D25" i="24" s="1"/>
  <c r="D23" i="25" s="1"/>
  <c r="D24" i="26" s="1"/>
  <c r="D23" i="27" s="1"/>
  <c r="D23" i="30" s="1"/>
  <c r="D23" i="31" s="1"/>
  <c r="D23" i="32" s="1"/>
  <c r="D23" i="33" s="1"/>
  <c r="D23" i="34" s="1"/>
  <c r="D23" i="35" s="1"/>
  <c r="E23" i="6"/>
  <c r="E23" i="7" s="1"/>
  <c r="C24" i="6"/>
  <c r="C24" i="7" s="1"/>
  <c r="C24" i="8" s="1"/>
  <c r="C24" i="9" s="1"/>
  <c r="C24" i="10" s="1"/>
  <c r="C24" i="11" s="1"/>
  <c r="C24" i="12" s="1"/>
  <c r="C24" i="13" s="1"/>
  <c r="C24" i="14" s="1"/>
  <c r="C24" i="15" s="1"/>
  <c r="C24" i="16" s="1"/>
  <c r="C24" i="17" s="1"/>
  <c r="C24" i="18" s="1"/>
  <c r="C24" i="19" s="1"/>
  <c r="C24" i="20" s="1"/>
  <c r="C24" i="21" s="1"/>
  <c r="C24" i="22" s="1"/>
  <c r="C24" i="23" s="1"/>
  <c r="C26" i="24" s="1"/>
  <c r="C24" i="25" s="1"/>
  <c r="C25" i="26" s="1"/>
  <c r="C24" i="27" s="1"/>
  <c r="C24" i="28" s="1"/>
  <c r="C24" i="29" s="1"/>
  <c r="C24" i="30" s="1"/>
  <c r="C24" i="31" s="1"/>
  <c r="C24" i="32" s="1"/>
  <c r="C24" i="33" s="1"/>
  <c r="C24" i="34" s="1"/>
  <c r="C24" i="35" s="1"/>
  <c r="D24" i="6"/>
  <c r="D24" i="7" s="1"/>
  <c r="D24" i="8" s="1"/>
  <c r="D24" i="9" s="1"/>
  <c r="D24" i="10" s="1"/>
  <c r="D24" i="11" s="1"/>
  <c r="D24" i="12" s="1"/>
  <c r="D24" i="13" s="1"/>
  <c r="D24" i="14" s="1"/>
  <c r="D24" i="15" s="1"/>
  <c r="D24" i="16" s="1"/>
  <c r="D24" i="17" s="1"/>
  <c r="D24" i="18" s="1"/>
  <c r="D24" i="19" s="1"/>
  <c r="D24" i="20" s="1"/>
  <c r="D24" i="21" s="1"/>
  <c r="D24" i="22" s="1"/>
  <c r="D24" i="23" s="1"/>
  <c r="D26" i="24" s="1"/>
  <c r="D24" i="25" s="1"/>
  <c r="D25" i="26" s="1"/>
  <c r="D24" i="27" s="1"/>
  <c r="D24" i="28" s="1"/>
  <c r="D24" i="29" s="1"/>
  <c r="D24" i="30" s="1"/>
  <c r="D24" i="31" s="1"/>
  <c r="D24" i="32" s="1"/>
  <c r="D24" i="33" s="1"/>
  <c r="D24" i="34" s="1"/>
  <c r="D24" i="35" s="1"/>
  <c r="E24" i="6"/>
  <c r="E24" i="7" s="1"/>
  <c r="B24" i="6"/>
  <c r="B24" i="7" s="1"/>
  <c r="B24" i="8" s="1"/>
  <c r="B24" i="9" s="1"/>
  <c r="B24" i="10" s="1"/>
  <c r="B24" i="12" s="1"/>
  <c r="B24" i="13" s="1"/>
  <c r="B24" i="14" s="1"/>
  <c r="B24" i="15" s="1"/>
  <c r="B24" i="16" s="1"/>
  <c r="B24" i="17" s="1"/>
  <c r="B24" i="18" s="1"/>
  <c r="B24" i="19" s="1"/>
  <c r="B24" i="20" s="1"/>
  <c r="B24" i="21" s="1"/>
  <c r="B24" i="22" s="1"/>
  <c r="B24" i="23" s="1"/>
  <c r="B26" i="24" s="1"/>
  <c r="B24" i="25" s="1"/>
  <c r="B25" i="26" s="1"/>
  <c r="B24" i="27" s="1"/>
  <c r="B24" i="28" s="1"/>
  <c r="B24" i="29" s="1"/>
  <c r="B24" i="30" s="1"/>
  <c r="B24" i="31" s="1"/>
  <c r="B24" i="32" s="1"/>
  <c r="B24" i="33" s="1"/>
  <c r="B24" i="34" s="1"/>
  <c r="B24" i="35" s="1"/>
  <c r="B23" i="6"/>
  <c r="B23" i="7" s="1"/>
  <c r="B23" i="8" s="1"/>
  <c r="B23" i="9" s="1"/>
  <c r="B23" i="13" s="1"/>
  <c r="B23" i="14" s="1"/>
  <c r="B23" i="17" s="1"/>
  <c r="B23" i="18" s="1"/>
  <c r="B23" i="19" s="1"/>
  <c r="B23" i="20" s="1"/>
  <c r="B23" i="21" s="1"/>
  <c r="B23" i="22" s="1"/>
  <c r="B23" i="23" s="1"/>
  <c r="B25" i="24" s="1"/>
  <c r="B23" i="25" s="1"/>
  <c r="B24" i="26" s="1"/>
  <c r="B23" i="27" s="1"/>
  <c r="B23" i="30" s="1"/>
  <c r="B23" i="31" s="1"/>
  <c r="B23" i="32" s="1"/>
  <c r="B23" i="33" s="1"/>
  <c r="B23" i="34" s="1"/>
  <c r="B23" i="35" s="1"/>
  <c r="L24" i="5"/>
  <c r="L23" i="5"/>
  <c r="F23" i="5"/>
  <c r="F24" i="5"/>
  <c r="E24" i="8" l="1"/>
  <c r="K24" i="8"/>
  <c r="L24" i="7"/>
  <c r="C23" i="7"/>
  <c r="C23" i="8" s="1"/>
  <c r="C23" i="9" s="1"/>
  <c r="K23" i="8"/>
  <c r="E23" i="8"/>
  <c r="L23" i="6"/>
  <c r="C23" i="13" l="1"/>
  <c r="L23" i="8"/>
  <c r="K23" i="9"/>
  <c r="K24" i="9"/>
  <c r="L24" i="8"/>
  <c r="E24" i="9"/>
  <c r="E23" i="9"/>
  <c r="L23" i="7"/>
  <c r="L24" i="6"/>
  <c r="C23" i="14" l="1"/>
  <c r="K24" i="10"/>
  <c r="L24" i="9"/>
  <c r="L23" i="9"/>
  <c r="E24" i="10"/>
  <c r="P61" i="17"/>
  <c r="F23" i="11" l="1"/>
  <c r="E24" i="11"/>
  <c r="L23" i="10"/>
  <c r="L24" i="10"/>
  <c r="K24" i="11"/>
  <c r="F23" i="12" l="1"/>
  <c r="E24" i="12"/>
  <c r="L23" i="11"/>
  <c r="L24" i="11"/>
  <c r="K24" i="12"/>
  <c r="L7" i="5"/>
  <c r="L15" i="5"/>
  <c r="L14" i="5"/>
  <c r="L13" i="5"/>
  <c r="L12" i="5"/>
  <c r="L11" i="5"/>
  <c r="L10" i="5"/>
  <c r="L9" i="5"/>
  <c r="L8" i="5"/>
  <c r="C23" i="17" l="1"/>
  <c r="K23" i="13"/>
  <c r="L23" i="12"/>
  <c r="L24" i="12"/>
  <c r="K24" i="13"/>
  <c r="E24" i="13"/>
  <c r="E23" i="13"/>
  <c r="F23" i="13" s="1"/>
  <c r="P61" i="5"/>
  <c r="C23" i="18" l="1"/>
  <c r="E23" i="14"/>
  <c r="F23" i="14" s="1"/>
  <c r="E24" i="14"/>
  <c r="K23" i="14"/>
  <c r="L23" i="13"/>
  <c r="L24" i="13"/>
  <c r="K24" i="14"/>
  <c r="Q61" i="5"/>
  <c r="C23" i="19" l="1"/>
  <c r="E24" i="15"/>
  <c r="K24" i="15"/>
  <c r="L24" i="14"/>
  <c r="L23" i="14"/>
  <c r="F23" i="15"/>
  <c r="N29" i="37"/>
  <c r="F13" i="37"/>
  <c r="C23" i="20" l="1"/>
  <c r="L23" i="15"/>
  <c r="F23" i="16"/>
  <c r="L24" i="15"/>
  <c r="K24" i="16"/>
  <c r="E24" i="16"/>
  <c r="D30" i="6"/>
  <c r="C23" i="21" l="1"/>
  <c r="K23" i="17"/>
  <c r="L23" i="16"/>
  <c r="E23" i="17"/>
  <c r="F23" i="17" s="1"/>
  <c r="E24" i="17"/>
  <c r="L24" i="16"/>
  <c r="K24" i="17"/>
  <c r="E13" i="37"/>
  <c r="J61" i="39"/>
  <c r="G61" i="39"/>
  <c r="J61" i="38"/>
  <c r="G61" i="38"/>
  <c r="C23" i="22" l="1"/>
  <c r="E24" i="18"/>
  <c r="K23" i="18"/>
  <c r="L23" i="17"/>
  <c r="K24" i="18"/>
  <c r="L24" i="17"/>
  <c r="E23" i="18"/>
  <c r="F23" i="18" s="1"/>
  <c r="P69" i="35"/>
  <c r="P65" i="35"/>
  <c r="P61" i="35"/>
  <c r="P75" i="35" s="1"/>
  <c r="P69" i="34"/>
  <c r="P65" i="34"/>
  <c r="P61" i="34"/>
  <c r="P75" i="34" s="1"/>
  <c r="P75" i="33"/>
  <c r="P69" i="33"/>
  <c r="P65" i="33"/>
  <c r="P76" i="33" s="1"/>
  <c r="P78" i="33" s="1"/>
  <c r="P61" i="33"/>
  <c r="P69" i="32"/>
  <c r="P65" i="32"/>
  <c r="P61" i="32"/>
  <c r="P75" i="32" s="1"/>
  <c r="P69" i="31"/>
  <c r="P65" i="31"/>
  <c r="P76" i="31" s="1"/>
  <c r="P78" i="31" s="1"/>
  <c r="P61" i="31"/>
  <c r="P75" i="31" s="1"/>
  <c r="P69" i="30"/>
  <c r="P65" i="30"/>
  <c r="P76" i="30" s="1"/>
  <c r="P78" i="30" s="1"/>
  <c r="P61" i="30"/>
  <c r="P75" i="30" s="1"/>
  <c r="P69" i="29"/>
  <c r="P65" i="29"/>
  <c r="P61" i="29"/>
  <c r="P75" i="29" s="1"/>
  <c r="P69" i="28"/>
  <c r="P65" i="28"/>
  <c r="P76" i="28" s="1"/>
  <c r="P78" i="28" s="1"/>
  <c r="P61" i="28"/>
  <c r="P75" i="28" s="1"/>
  <c r="P69" i="27"/>
  <c r="P65" i="27"/>
  <c r="P61" i="27"/>
  <c r="P75" i="27" s="1"/>
  <c r="P70" i="26"/>
  <c r="P66" i="26"/>
  <c r="P62" i="26"/>
  <c r="P76" i="26" s="1"/>
  <c r="P69" i="25"/>
  <c r="P76" i="25" s="1"/>
  <c r="P78" i="25" s="1"/>
  <c r="P65" i="25"/>
  <c r="P61" i="25"/>
  <c r="P75" i="25" s="1"/>
  <c r="P71" i="24"/>
  <c r="P67" i="24"/>
  <c r="P78" i="24" s="1"/>
  <c r="P80" i="24" s="1"/>
  <c r="P63" i="24"/>
  <c r="P77" i="24" s="1"/>
  <c r="P69" i="23"/>
  <c r="P65" i="23"/>
  <c r="P61" i="23"/>
  <c r="P75" i="23" s="1"/>
  <c r="P69" i="22"/>
  <c r="P65" i="22"/>
  <c r="P61" i="22"/>
  <c r="P75" i="22" s="1"/>
  <c r="P75" i="21"/>
  <c r="P69" i="21"/>
  <c r="P65" i="21"/>
  <c r="P61" i="21"/>
  <c r="P69" i="20"/>
  <c r="P65" i="20"/>
  <c r="P76" i="20" s="1"/>
  <c r="P78" i="20" s="1"/>
  <c r="P61" i="20"/>
  <c r="P75" i="20" s="1"/>
  <c r="P69" i="19"/>
  <c r="P65" i="19"/>
  <c r="P61" i="19"/>
  <c r="P75" i="19" s="1"/>
  <c r="P75" i="18"/>
  <c r="P69" i="18"/>
  <c r="P65" i="18"/>
  <c r="P61" i="18"/>
  <c r="P75" i="17"/>
  <c r="P69" i="17"/>
  <c r="P65" i="17"/>
  <c r="P69" i="16"/>
  <c r="P65" i="16"/>
  <c r="P76" i="16" s="1"/>
  <c r="P78" i="16" s="1"/>
  <c r="P61" i="16"/>
  <c r="P75" i="16" s="1"/>
  <c r="P69" i="15"/>
  <c r="P65" i="15"/>
  <c r="P76" i="15" s="1"/>
  <c r="P78" i="15" s="1"/>
  <c r="P61" i="15"/>
  <c r="P75" i="15" s="1"/>
  <c r="P69" i="14"/>
  <c r="P65" i="14"/>
  <c r="P61" i="14"/>
  <c r="P75" i="14" s="1"/>
  <c r="P69" i="13"/>
  <c r="P65" i="13"/>
  <c r="P61" i="13"/>
  <c r="P75" i="13" s="1"/>
  <c r="P69" i="12"/>
  <c r="P65" i="12"/>
  <c r="P61" i="12"/>
  <c r="P75" i="12" s="1"/>
  <c r="P75" i="11"/>
  <c r="P69" i="11"/>
  <c r="P65" i="11"/>
  <c r="P61" i="11"/>
  <c r="P69" i="10"/>
  <c r="P65" i="10"/>
  <c r="P61" i="10"/>
  <c r="P75" i="10" s="1"/>
  <c r="P69" i="9"/>
  <c r="P65" i="9"/>
  <c r="P76" i="9" s="1"/>
  <c r="P78" i="9" s="1"/>
  <c r="P61" i="9"/>
  <c r="P75" i="9" s="1"/>
  <c r="P69" i="8"/>
  <c r="P65" i="8"/>
  <c r="P61" i="8"/>
  <c r="P75" i="8" s="1"/>
  <c r="N31" i="37"/>
  <c r="W66" i="5"/>
  <c r="W66" i="6" s="1"/>
  <c r="W66" i="7" s="1"/>
  <c r="W66" i="8" s="1"/>
  <c r="W66" i="9" s="1"/>
  <c r="W66" i="10" s="1"/>
  <c r="W66" i="11" s="1"/>
  <c r="W66" i="12" s="1"/>
  <c r="W66" i="13" s="1"/>
  <c r="W66" i="14" s="1"/>
  <c r="W66" i="15" s="1"/>
  <c r="W66" i="16" s="1"/>
  <c r="W66" i="17" s="1"/>
  <c r="W66" i="18" s="1"/>
  <c r="W66" i="19" s="1"/>
  <c r="W66" i="20" s="1"/>
  <c r="W66" i="21" s="1"/>
  <c r="W66" i="22" s="1"/>
  <c r="W66" i="23" s="1"/>
  <c r="W68" i="24" s="1"/>
  <c r="W66" i="25" s="1"/>
  <c r="W67" i="26" s="1"/>
  <c r="W66" i="27" s="1"/>
  <c r="W66" i="28" s="1"/>
  <c r="W66" i="29" s="1"/>
  <c r="W66" i="30" s="1"/>
  <c r="W66" i="31" s="1"/>
  <c r="W66" i="32" s="1"/>
  <c r="W66" i="33" s="1"/>
  <c r="W66" i="34" s="1"/>
  <c r="W66" i="35" s="1"/>
  <c r="N16" i="37" s="1"/>
  <c r="W67" i="5"/>
  <c r="W67" i="6" s="1"/>
  <c r="W67" i="7" s="1"/>
  <c r="W67" i="8" s="1"/>
  <c r="W67" i="9" s="1"/>
  <c r="W67" i="10" s="1"/>
  <c r="W67" i="11" s="1"/>
  <c r="W67" i="12" s="1"/>
  <c r="W67" i="13" s="1"/>
  <c r="W67" i="14" s="1"/>
  <c r="W67" i="15" s="1"/>
  <c r="W67" i="16" s="1"/>
  <c r="W67" i="17" s="1"/>
  <c r="W67" i="18" s="1"/>
  <c r="W67" i="19" s="1"/>
  <c r="W67" i="20" s="1"/>
  <c r="W67" i="21" s="1"/>
  <c r="W67" i="22" s="1"/>
  <c r="W67" i="23" s="1"/>
  <c r="W69" i="24" s="1"/>
  <c r="W67" i="25" s="1"/>
  <c r="W68" i="26" s="1"/>
  <c r="W67" i="27" s="1"/>
  <c r="W67" i="28" s="1"/>
  <c r="W67" i="29" s="1"/>
  <c r="W67" i="30" s="1"/>
  <c r="W67" i="31" s="1"/>
  <c r="W67" i="32" s="1"/>
  <c r="W67" i="33" s="1"/>
  <c r="W67" i="34" s="1"/>
  <c r="W67" i="35" s="1"/>
  <c r="N17" i="37" s="1"/>
  <c r="W68" i="5"/>
  <c r="W68" i="6" s="1"/>
  <c r="W68" i="7" s="1"/>
  <c r="W68" i="8" s="1"/>
  <c r="W68" i="9" s="1"/>
  <c r="W68" i="10" s="1"/>
  <c r="W68" i="11" s="1"/>
  <c r="W68" i="12" s="1"/>
  <c r="W68" i="13" s="1"/>
  <c r="W68" i="14" s="1"/>
  <c r="W68" i="15" s="1"/>
  <c r="W68" i="16" s="1"/>
  <c r="W68" i="17" s="1"/>
  <c r="W68" i="18" s="1"/>
  <c r="W68" i="19" s="1"/>
  <c r="W68" i="20" s="1"/>
  <c r="W68" i="21" s="1"/>
  <c r="W68" i="22" s="1"/>
  <c r="W68" i="23" s="1"/>
  <c r="W70" i="24" s="1"/>
  <c r="W68" i="25" s="1"/>
  <c r="W69" i="26" s="1"/>
  <c r="W68" i="27" s="1"/>
  <c r="W68" i="28" s="1"/>
  <c r="W68" i="29" s="1"/>
  <c r="W68" i="30" s="1"/>
  <c r="W68" i="31" s="1"/>
  <c r="W68" i="32" s="1"/>
  <c r="W68" i="33" s="1"/>
  <c r="W68" i="34" s="1"/>
  <c r="W68" i="35" s="1"/>
  <c r="N19" i="37" s="1"/>
  <c r="W69" i="5"/>
  <c r="W69" i="6" s="1"/>
  <c r="W69" i="7" s="1"/>
  <c r="W69" i="8" s="1"/>
  <c r="W69" i="9" s="1"/>
  <c r="W69" i="10" s="1"/>
  <c r="W69" i="11" s="1"/>
  <c r="W69" i="12" s="1"/>
  <c r="W69" i="13" s="1"/>
  <c r="W69" i="14" s="1"/>
  <c r="W69" i="15" s="1"/>
  <c r="W69" i="16" s="1"/>
  <c r="W69" i="17" s="1"/>
  <c r="W69" i="18" s="1"/>
  <c r="W69" i="19" s="1"/>
  <c r="W69" i="20" s="1"/>
  <c r="W69" i="21" s="1"/>
  <c r="W69" i="22" s="1"/>
  <c r="W69" i="23" s="1"/>
  <c r="W71" i="24" s="1"/>
  <c r="W69" i="25" s="1"/>
  <c r="W70" i="26" s="1"/>
  <c r="W69" i="27" s="1"/>
  <c r="W69" i="28" s="1"/>
  <c r="W69" i="29" s="1"/>
  <c r="W69" i="30" s="1"/>
  <c r="W69" i="31" s="1"/>
  <c r="W69" i="32" s="1"/>
  <c r="W69" i="33" s="1"/>
  <c r="W69" i="34" s="1"/>
  <c r="W69" i="35" s="1"/>
  <c r="N21" i="37" s="1"/>
  <c r="W65" i="5"/>
  <c r="W65" i="6" s="1"/>
  <c r="W65" i="7" s="1"/>
  <c r="W65" i="8" s="1"/>
  <c r="W65" i="9" s="1"/>
  <c r="W65" i="10" s="1"/>
  <c r="W65" i="11" s="1"/>
  <c r="W65" i="12" s="1"/>
  <c r="W65" i="13" s="1"/>
  <c r="W65" i="14" s="1"/>
  <c r="W65" i="15" s="1"/>
  <c r="W65" i="16" s="1"/>
  <c r="W65" i="17" s="1"/>
  <c r="W65" i="18" s="1"/>
  <c r="W65" i="19" s="1"/>
  <c r="W65" i="20" s="1"/>
  <c r="W65" i="21" s="1"/>
  <c r="W65" i="22" s="1"/>
  <c r="W65" i="23" s="1"/>
  <c r="W67" i="24" s="1"/>
  <c r="W65" i="25" s="1"/>
  <c r="W66" i="26" s="1"/>
  <c r="W65" i="27" s="1"/>
  <c r="W65" i="28" s="1"/>
  <c r="W65" i="29" s="1"/>
  <c r="W65" i="30" s="1"/>
  <c r="W65" i="31" s="1"/>
  <c r="W65" i="32" s="1"/>
  <c r="W65" i="33" s="1"/>
  <c r="W65" i="34" s="1"/>
  <c r="W65" i="35" s="1"/>
  <c r="N15" i="37" s="1"/>
  <c r="P76" i="27" l="1"/>
  <c r="P78" i="27" s="1"/>
  <c r="P76" i="23"/>
  <c r="P78" i="23" s="1"/>
  <c r="P76" i="21"/>
  <c r="P78" i="21" s="1"/>
  <c r="P76" i="14"/>
  <c r="P78" i="14" s="1"/>
  <c r="P76" i="11"/>
  <c r="P78" i="11" s="1"/>
  <c r="P76" i="10"/>
  <c r="P78" i="10" s="1"/>
  <c r="C23" i="23"/>
  <c r="E23" i="19"/>
  <c r="F23" i="19" s="1"/>
  <c r="L23" i="18"/>
  <c r="K23" i="19"/>
  <c r="E24" i="19"/>
  <c r="K24" i="19"/>
  <c r="L24" i="18"/>
  <c r="P76" i="35"/>
  <c r="P78" i="35" s="1"/>
  <c r="P76" i="34"/>
  <c r="P78" i="34" s="1"/>
  <c r="P76" i="32"/>
  <c r="P78" i="32" s="1"/>
  <c r="P76" i="29"/>
  <c r="P78" i="29" s="1"/>
  <c r="P77" i="26"/>
  <c r="P79" i="26" s="1"/>
  <c r="P80" i="26" s="1"/>
  <c r="P76" i="22"/>
  <c r="P78" i="22" s="1"/>
  <c r="P76" i="19"/>
  <c r="P78" i="19" s="1"/>
  <c r="P79" i="19" s="1"/>
  <c r="P76" i="18"/>
  <c r="P78" i="18" s="1"/>
  <c r="P76" i="17"/>
  <c r="P78" i="17" s="1"/>
  <c r="P76" i="13"/>
  <c r="P78" i="13" s="1"/>
  <c r="P76" i="12"/>
  <c r="P78" i="12" s="1"/>
  <c r="P76" i="8"/>
  <c r="P78" i="8" s="1"/>
  <c r="P79" i="35"/>
  <c r="P79" i="33"/>
  <c r="P79" i="32"/>
  <c r="P79" i="31"/>
  <c r="P79" i="30"/>
  <c r="P79" i="28"/>
  <c r="P79" i="27"/>
  <c r="P79" i="25"/>
  <c r="P81" i="24"/>
  <c r="P79" i="21"/>
  <c r="P79" i="20"/>
  <c r="P79" i="17"/>
  <c r="P79" i="16"/>
  <c r="P79" i="15"/>
  <c r="P79" i="9"/>
  <c r="P79" i="8"/>
  <c r="G18" i="37"/>
  <c r="G19" i="37"/>
  <c r="G20" i="37"/>
  <c r="G21" i="37"/>
  <c r="G22" i="37"/>
  <c r="G23" i="37"/>
  <c r="G24" i="37"/>
  <c r="G25" i="37"/>
  <c r="G26" i="37"/>
  <c r="G27" i="37"/>
  <c r="G28" i="37"/>
  <c r="G29" i="37"/>
  <c r="G30" i="37"/>
  <c r="G31" i="37"/>
  <c r="G32" i="37"/>
  <c r="G17" i="37"/>
  <c r="C18" i="37"/>
  <c r="C19" i="37"/>
  <c r="D19" i="37" s="1"/>
  <c r="C20" i="37"/>
  <c r="D20" i="37" s="1"/>
  <c r="C21" i="37"/>
  <c r="D21" i="37" s="1"/>
  <c r="C22" i="37"/>
  <c r="D22" i="37" s="1"/>
  <c r="C23" i="37"/>
  <c r="C24" i="37"/>
  <c r="D24" i="37" s="1"/>
  <c r="C25" i="37"/>
  <c r="D25" i="37" s="1"/>
  <c r="C26" i="37"/>
  <c r="D26" i="37" s="1"/>
  <c r="C27" i="37"/>
  <c r="D27" i="37" s="1"/>
  <c r="C28" i="37"/>
  <c r="D28" i="37" s="1"/>
  <c r="C29" i="37"/>
  <c r="D29" i="37" s="1"/>
  <c r="C30" i="37"/>
  <c r="D30" i="37" s="1"/>
  <c r="C31" i="37"/>
  <c r="C32" i="37"/>
  <c r="C17" i="37"/>
  <c r="D17" i="37" s="1"/>
  <c r="D18" i="37"/>
  <c r="D23" i="37"/>
  <c r="D31" i="37"/>
  <c r="D32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17" i="37"/>
  <c r="P79" i="29" l="1"/>
  <c r="P80" i="29" s="1"/>
  <c r="P79" i="23"/>
  <c r="P81" i="23" s="1"/>
  <c r="P79" i="22"/>
  <c r="P79" i="18"/>
  <c r="P79" i="14"/>
  <c r="P80" i="14" s="1"/>
  <c r="P79" i="12"/>
  <c r="P80" i="12" s="1"/>
  <c r="P79" i="11"/>
  <c r="P81" i="11" s="1"/>
  <c r="P79" i="10"/>
  <c r="P80" i="10" s="1"/>
  <c r="C25" i="24"/>
  <c r="L24" i="19"/>
  <c r="K24" i="20"/>
  <c r="E24" i="20"/>
  <c r="E23" i="20"/>
  <c r="F23" i="20" s="1"/>
  <c r="L23" i="19"/>
  <c r="K23" i="20"/>
  <c r="P79" i="34"/>
  <c r="P79" i="13"/>
  <c r="P80" i="13" s="1"/>
  <c r="P80" i="35"/>
  <c r="P81" i="35"/>
  <c r="P80" i="34"/>
  <c r="P81" i="34"/>
  <c r="P81" i="33"/>
  <c r="P80" i="33"/>
  <c r="P80" i="32"/>
  <c r="P81" i="32"/>
  <c r="P80" i="31"/>
  <c r="P81" i="31"/>
  <c r="P80" i="30"/>
  <c r="P81" i="30"/>
  <c r="P80" i="28"/>
  <c r="P81" i="28"/>
  <c r="P80" i="27"/>
  <c r="P81" i="27"/>
  <c r="P81" i="26"/>
  <c r="P82" i="26"/>
  <c r="P80" i="25"/>
  <c r="P81" i="25"/>
  <c r="P82" i="24"/>
  <c r="P83" i="24"/>
  <c r="P80" i="23"/>
  <c r="P80" i="22"/>
  <c r="P81" i="22"/>
  <c r="P80" i="21"/>
  <c r="P81" i="21"/>
  <c r="P80" i="20"/>
  <c r="P81" i="20"/>
  <c r="P80" i="19"/>
  <c r="P81" i="19"/>
  <c r="P80" i="18"/>
  <c r="P81" i="18"/>
  <c r="P80" i="17"/>
  <c r="P81" i="17"/>
  <c r="P80" i="16"/>
  <c r="P81" i="16"/>
  <c r="P80" i="15"/>
  <c r="P81" i="15"/>
  <c r="P80" i="9"/>
  <c r="P81" i="9"/>
  <c r="P80" i="8"/>
  <c r="P81" i="8"/>
  <c r="H34" i="37"/>
  <c r="E18" i="37" s="1"/>
  <c r="P81" i="29" l="1"/>
  <c r="P81" i="14"/>
  <c r="P81" i="13"/>
  <c r="P81" i="12"/>
  <c r="P80" i="11"/>
  <c r="P81" i="10"/>
  <c r="C23" i="25"/>
  <c r="L23" i="20"/>
  <c r="K23" i="21"/>
  <c r="K24" i="21"/>
  <c r="L24" i="20"/>
  <c r="E24" i="21"/>
  <c r="E23" i="21"/>
  <c r="F23" i="21" s="1"/>
  <c r="E17" i="37"/>
  <c r="I32" i="37"/>
  <c r="I30" i="37"/>
  <c r="I28" i="37"/>
  <c r="I26" i="37"/>
  <c r="I24" i="37"/>
  <c r="I22" i="37"/>
  <c r="I20" i="37"/>
  <c r="I18" i="37"/>
  <c r="I31" i="37"/>
  <c r="I29" i="37"/>
  <c r="I27" i="37"/>
  <c r="I25" i="37"/>
  <c r="I23" i="37"/>
  <c r="I21" i="37"/>
  <c r="I19" i="37"/>
  <c r="E19" i="37"/>
  <c r="E29" i="37"/>
  <c r="E25" i="37"/>
  <c r="E21" i="37"/>
  <c r="E28" i="37"/>
  <c r="E20" i="37"/>
  <c r="E30" i="37"/>
  <c r="E22" i="37"/>
  <c r="E31" i="37"/>
  <c r="E27" i="37"/>
  <c r="E23" i="37"/>
  <c r="E32" i="37"/>
  <c r="E24" i="37"/>
  <c r="I17" i="37"/>
  <c r="E26" i="37"/>
  <c r="C24" i="26" l="1"/>
  <c r="E23" i="22"/>
  <c r="F23" i="22" s="1"/>
  <c r="L24" i="21"/>
  <c r="K24" i="22"/>
  <c r="K23" i="22"/>
  <c r="L23" i="21"/>
  <c r="E24" i="22"/>
  <c r="I34" i="37"/>
  <c r="C23" i="27" l="1"/>
  <c r="E24" i="23"/>
  <c r="K24" i="23"/>
  <c r="L24" i="22"/>
  <c r="K23" i="23"/>
  <c r="L23" i="22"/>
  <c r="E23" i="23"/>
  <c r="F23" i="23" s="1"/>
  <c r="J79" i="35"/>
  <c r="C79" i="35"/>
  <c r="B79" i="35"/>
  <c r="B50" i="35"/>
  <c r="A50" i="35"/>
  <c r="N16" i="35"/>
  <c r="M16" i="35"/>
  <c r="K16" i="35"/>
  <c r="J16" i="35"/>
  <c r="E16" i="35"/>
  <c r="D16" i="35"/>
  <c r="C16" i="35"/>
  <c r="B16" i="35"/>
  <c r="L15" i="35"/>
  <c r="L14" i="35"/>
  <c r="L13" i="35"/>
  <c r="L12" i="35"/>
  <c r="L11" i="35"/>
  <c r="L10" i="35"/>
  <c r="L9" i="35"/>
  <c r="L8" i="35"/>
  <c r="L7" i="35"/>
  <c r="J79" i="34"/>
  <c r="C79" i="34"/>
  <c r="B79" i="34"/>
  <c r="B50" i="34"/>
  <c r="A50" i="34"/>
  <c r="N16" i="34"/>
  <c r="M16" i="34"/>
  <c r="K16" i="34"/>
  <c r="J16" i="34"/>
  <c r="E16" i="34"/>
  <c r="D16" i="34"/>
  <c r="C16" i="34"/>
  <c r="B16" i="34"/>
  <c r="L15" i="34"/>
  <c r="L14" i="34"/>
  <c r="L13" i="34"/>
  <c r="L12" i="34"/>
  <c r="L11" i="34"/>
  <c r="L10" i="34"/>
  <c r="L9" i="34"/>
  <c r="L8" i="34"/>
  <c r="L7" i="34"/>
  <c r="J79" i="33"/>
  <c r="C79" i="33"/>
  <c r="B79" i="33"/>
  <c r="B50" i="33"/>
  <c r="A50" i="33"/>
  <c r="N16" i="33"/>
  <c r="M16" i="33"/>
  <c r="K16" i="33"/>
  <c r="J16" i="33"/>
  <c r="E16" i="33"/>
  <c r="D16" i="33"/>
  <c r="C16" i="33"/>
  <c r="B16" i="33"/>
  <c r="L15" i="33"/>
  <c r="L14" i="33"/>
  <c r="L13" i="33"/>
  <c r="L12" i="33"/>
  <c r="L11" i="33"/>
  <c r="L10" i="33"/>
  <c r="L9" i="33"/>
  <c r="L8" i="33"/>
  <c r="L7" i="33"/>
  <c r="J79" i="32"/>
  <c r="C79" i="32"/>
  <c r="B79" i="32"/>
  <c r="B50" i="32"/>
  <c r="A50" i="32"/>
  <c r="N16" i="32"/>
  <c r="M16" i="32"/>
  <c r="K16" i="32"/>
  <c r="J16" i="32"/>
  <c r="F16" i="32"/>
  <c r="P59" i="32" s="1"/>
  <c r="E16" i="32"/>
  <c r="P58" i="32" s="1"/>
  <c r="D16" i="32"/>
  <c r="C16" i="32"/>
  <c r="B16" i="32"/>
  <c r="L15" i="32"/>
  <c r="L14" i="32"/>
  <c r="L13" i="32"/>
  <c r="L12" i="32"/>
  <c r="L11" i="32"/>
  <c r="L10" i="32"/>
  <c r="L9" i="32"/>
  <c r="L8" i="32"/>
  <c r="L7" i="32"/>
  <c r="J79" i="31"/>
  <c r="C79" i="31"/>
  <c r="B79" i="31"/>
  <c r="B50" i="31"/>
  <c r="A50" i="31"/>
  <c r="N16" i="31"/>
  <c r="M16" i="31"/>
  <c r="K16" i="31"/>
  <c r="J16" i="31"/>
  <c r="E16" i="31"/>
  <c r="D16" i="31"/>
  <c r="C16" i="31"/>
  <c r="B16" i="31"/>
  <c r="L15" i="31"/>
  <c r="L14" i="31"/>
  <c r="L13" i="31"/>
  <c r="L12" i="31"/>
  <c r="L11" i="31"/>
  <c r="L10" i="31"/>
  <c r="L9" i="31"/>
  <c r="L8" i="31"/>
  <c r="L7" i="31"/>
  <c r="J79" i="30"/>
  <c r="C79" i="30"/>
  <c r="B79" i="30"/>
  <c r="B50" i="30"/>
  <c r="A50" i="30"/>
  <c r="N16" i="30"/>
  <c r="M16" i="30"/>
  <c r="K16" i="30"/>
  <c r="J16" i="30"/>
  <c r="E16" i="30"/>
  <c r="D16" i="30"/>
  <c r="C16" i="30"/>
  <c r="B16" i="30"/>
  <c r="L15" i="30"/>
  <c r="L14" i="30"/>
  <c r="L13" i="30"/>
  <c r="L12" i="30"/>
  <c r="L11" i="30"/>
  <c r="L10" i="30"/>
  <c r="L9" i="30"/>
  <c r="L8" i="30"/>
  <c r="L7" i="30"/>
  <c r="J79" i="29"/>
  <c r="C79" i="29"/>
  <c r="B79" i="29"/>
  <c r="B50" i="29"/>
  <c r="A50" i="29"/>
  <c r="N16" i="29"/>
  <c r="M16" i="29"/>
  <c r="K16" i="29"/>
  <c r="J16" i="29"/>
  <c r="E16" i="29"/>
  <c r="D16" i="29"/>
  <c r="C16" i="29"/>
  <c r="B16" i="29"/>
  <c r="L15" i="29"/>
  <c r="L14" i="29"/>
  <c r="L13" i="29"/>
  <c r="L12" i="29"/>
  <c r="L11" i="29"/>
  <c r="L10" i="29"/>
  <c r="L9" i="29"/>
  <c r="L8" i="29"/>
  <c r="L7" i="29"/>
  <c r="J79" i="28"/>
  <c r="C79" i="28"/>
  <c r="B79" i="28"/>
  <c r="B50" i="28"/>
  <c r="A50" i="28"/>
  <c r="N16" i="28"/>
  <c r="M16" i="28"/>
  <c r="K16" i="28"/>
  <c r="J16" i="28"/>
  <c r="E16" i="28"/>
  <c r="P58" i="28" s="1"/>
  <c r="D16" i="28"/>
  <c r="C16" i="28"/>
  <c r="B16" i="28"/>
  <c r="L15" i="28"/>
  <c r="L14" i="28"/>
  <c r="L13" i="28"/>
  <c r="L12" i="28"/>
  <c r="L11" i="28"/>
  <c r="L10" i="28"/>
  <c r="L9" i="28"/>
  <c r="L8" i="28"/>
  <c r="L7" i="28"/>
  <c r="M16" i="27"/>
  <c r="J79" i="27"/>
  <c r="C79" i="27"/>
  <c r="B79" i="27"/>
  <c r="B50" i="27"/>
  <c r="A50" i="27"/>
  <c r="N16" i="27"/>
  <c r="K16" i="27"/>
  <c r="J16" i="27"/>
  <c r="E16" i="27"/>
  <c r="D16" i="27"/>
  <c r="C16" i="27"/>
  <c r="B16" i="27"/>
  <c r="L15" i="27"/>
  <c r="L14" i="27"/>
  <c r="L10" i="27"/>
  <c r="L9" i="27"/>
  <c r="L8" i="27"/>
  <c r="L7" i="27"/>
  <c r="J80" i="26"/>
  <c r="C80" i="26"/>
  <c r="B80" i="26"/>
  <c r="B51" i="26"/>
  <c r="A51" i="26"/>
  <c r="N17" i="26"/>
  <c r="M17" i="26"/>
  <c r="K17" i="26"/>
  <c r="J17" i="26"/>
  <c r="E17" i="26"/>
  <c r="P59" i="26" s="1"/>
  <c r="D17" i="26"/>
  <c r="C17" i="26"/>
  <c r="B17" i="26"/>
  <c r="L16" i="26"/>
  <c r="L15" i="26"/>
  <c r="L14" i="26"/>
  <c r="L12" i="26"/>
  <c r="L11" i="26"/>
  <c r="L10" i="26"/>
  <c r="L9" i="26"/>
  <c r="L8" i="26"/>
  <c r="L7" i="26"/>
  <c r="J79" i="25"/>
  <c r="C79" i="25"/>
  <c r="B79" i="25"/>
  <c r="B50" i="25"/>
  <c r="A50" i="25"/>
  <c r="N16" i="25"/>
  <c r="M16" i="25"/>
  <c r="K16" i="25"/>
  <c r="J16" i="25"/>
  <c r="E16" i="25"/>
  <c r="P58" i="25" s="1"/>
  <c r="D16" i="25"/>
  <c r="C16" i="25"/>
  <c r="B16" i="25"/>
  <c r="L15" i="25"/>
  <c r="L14" i="25"/>
  <c r="L13" i="25"/>
  <c r="L12" i="25"/>
  <c r="L11" i="25"/>
  <c r="L10" i="25"/>
  <c r="L9" i="25"/>
  <c r="L8" i="25"/>
  <c r="L7" i="25"/>
  <c r="J81" i="24"/>
  <c r="C81" i="24"/>
  <c r="B81" i="24"/>
  <c r="B52" i="24"/>
  <c r="A52" i="24"/>
  <c r="N18" i="24"/>
  <c r="M18" i="24"/>
  <c r="K18" i="24"/>
  <c r="J18" i="24"/>
  <c r="E18" i="24"/>
  <c r="P60" i="24" s="1"/>
  <c r="D18" i="24"/>
  <c r="C18" i="24"/>
  <c r="B18" i="24"/>
  <c r="L17" i="24"/>
  <c r="L14" i="24"/>
  <c r="L13" i="24"/>
  <c r="L12" i="24"/>
  <c r="L9" i="24"/>
  <c r="L8" i="24"/>
  <c r="L7" i="24"/>
  <c r="J79" i="23"/>
  <c r="C79" i="23"/>
  <c r="B79" i="23"/>
  <c r="B50" i="23"/>
  <c r="A50" i="23"/>
  <c r="N16" i="23"/>
  <c r="M16" i="23"/>
  <c r="K16" i="23"/>
  <c r="J16" i="23"/>
  <c r="E16" i="23"/>
  <c r="P58" i="23" s="1"/>
  <c r="D16" i="23"/>
  <c r="C16" i="23"/>
  <c r="B16" i="23"/>
  <c r="L15" i="23"/>
  <c r="L14" i="23"/>
  <c r="L13" i="23"/>
  <c r="L12" i="23"/>
  <c r="L11" i="23"/>
  <c r="L10" i="23"/>
  <c r="L9" i="23"/>
  <c r="L8" i="23"/>
  <c r="L7" i="23"/>
  <c r="J79" i="22"/>
  <c r="C79" i="22"/>
  <c r="B79" i="22"/>
  <c r="B50" i="22"/>
  <c r="A50" i="22"/>
  <c r="N16" i="22"/>
  <c r="M16" i="22"/>
  <c r="K16" i="22"/>
  <c r="J16" i="22"/>
  <c r="E16" i="22"/>
  <c r="P58" i="22" s="1"/>
  <c r="D16" i="22"/>
  <c r="C16" i="22"/>
  <c r="B16" i="22"/>
  <c r="L15" i="22"/>
  <c r="L14" i="22"/>
  <c r="L13" i="22"/>
  <c r="L12" i="22"/>
  <c r="L11" i="22"/>
  <c r="L10" i="22"/>
  <c r="L9" i="22"/>
  <c r="L8" i="22"/>
  <c r="L7" i="22"/>
  <c r="J79" i="21"/>
  <c r="C79" i="21"/>
  <c r="B79" i="21"/>
  <c r="B50" i="21"/>
  <c r="A50" i="21"/>
  <c r="N16" i="21"/>
  <c r="M16" i="21"/>
  <c r="K16" i="21"/>
  <c r="J16" i="21"/>
  <c r="E16" i="21"/>
  <c r="P58" i="21" s="1"/>
  <c r="D16" i="21"/>
  <c r="C16" i="21"/>
  <c r="B16" i="21"/>
  <c r="L15" i="21"/>
  <c r="L14" i="21"/>
  <c r="L13" i="21"/>
  <c r="L12" i="21"/>
  <c r="L11" i="21"/>
  <c r="L10" i="21"/>
  <c r="L9" i="21"/>
  <c r="L8" i="21"/>
  <c r="L7" i="21"/>
  <c r="J79" i="20"/>
  <c r="C79" i="20"/>
  <c r="B79" i="20"/>
  <c r="B50" i="20"/>
  <c r="A50" i="20"/>
  <c r="N16" i="20"/>
  <c r="M16" i="20"/>
  <c r="K16" i="20"/>
  <c r="J16" i="20"/>
  <c r="E16" i="20"/>
  <c r="D16" i="20"/>
  <c r="C16" i="20"/>
  <c r="B16" i="20"/>
  <c r="L15" i="20"/>
  <c r="L14" i="20"/>
  <c r="L13" i="20"/>
  <c r="L12" i="20"/>
  <c r="L11" i="20"/>
  <c r="L10" i="20"/>
  <c r="L9" i="20"/>
  <c r="L8" i="20"/>
  <c r="L7" i="20"/>
  <c r="J79" i="19"/>
  <c r="C79" i="19"/>
  <c r="B79" i="19"/>
  <c r="B50" i="19"/>
  <c r="A50" i="19"/>
  <c r="N16" i="19"/>
  <c r="M16" i="19"/>
  <c r="K16" i="19"/>
  <c r="J16" i="19"/>
  <c r="E16" i="19"/>
  <c r="D16" i="19"/>
  <c r="C16" i="19"/>
  <c r="B16" i="19"/>
  <c r="L15" i="19"/>
  <c r="L14" i="19"/>
  <c r="L13" i="19"/>
  <c r="L12" i="19"/>
  <c r="L11" i="19"/>
  <c r="L10" i="19"/>
  <c r="L9" i="19"/>
  <c r="L8" i="19"/>
  <c r="L7" i="19"/>
  <c r="J79" i="18"/>
  <c r="C79" i="18"/>
  <c r="B79" i="18"/>
  <c r="B50" i="18"/>
  <c r="A50" i="18"/>
  <c r="N16" i="18"/>
  <c r="M16" i="18"/>
  <c r="K16" i="18"/>
  <c r="J16" i="18"/>
  <c r="E16" i="18"/>
  <c r="D16" i="18"/>
  <c r="C16" i="18"/>
  <c r="B16" i="18"/>
  <c r="L15" i="18"/>
  <c r="L14" i="18"/>
  <c r="L13" i="18"/>
  <c r="L12" i="18"/>
  <c r="L11" i="18"/>
  <c r="L10" i="18"/>
  <c r="L9" i="18"/>
  <c r="L8" i="18"/>
  <c r="L7" i="18"/>
  <c r="J79" i="17"/>
  <c r="C79" i="17"/>
  <c r="B79" i="17"/>
  <c r="B50" i="17"/>
  <c r="A50" i="17"/>
  <c r="N16" i="17"/>
  <c r="M16" i="17"/>
  <c r="K16" i="17"/>
  <c r="J16" i="17"/>
  <c r="E16" i="17"/>
  <c r="P58" i="17" s="1"/>
  <c r="D16" i="17"/>
  <c r="C16" i="17"/>
  <c r="B16" i="17"/>
  <c r="L15" i="17"/>
  <c r="L14" i="17"/>
  <c r="L13" i="17"/>
  <c r="L12" i="17"/>
  <c r="L11" i="17"/>
  <c r="L10" i="17"/>
  <c r="L9" i="17"/>
  <c r="L8" i="17"/>
  <c r="L7" i="17"/>
  <c r="J79" i="16"/>
  <c r="C79" i="16"/>
  <c r="B79" i="16"/>
  <c r="B50" i="16"/>
  <c r="A50" i="16"/>
  <c r="N16" i="16"/>
  <c r="M16" i="16"/>
  <c r="K16" i="16"/>
  <c r="J16" i="16"/>
  <c r="E16" i="16"/>
  <c r="P58" i="16" s="1"/>
  <c r="D16" i="16"/>
  <c r="C16" i="16"/>
  <c r="B16" i="16"/>
  <c r="L15" i="16"/>
  <c r="L14" i="16"/>
  <c r="L13" i="16"/>
  <c r="L12" i="16"/>
  <c r="L11" i="16"/>
  <c r="L10" i="16"/>
  <c r="L9" i="16"/>
  <c r="L8" i="16"/>
  <c r="L7" i="16"/>
  <c r="J79" i="15"/>
  <c r="C79" i="15"/>
  <c r="B79" i="15"/>
  <c r="B50" i="15"/>
  <c r="N16" i="15"/>
  <c r="M16" i="15"/>
  <c r="K16" i="15"/>
  <c r="J16" i="15"/>
  <c r="E16" i="15"/>
  <c r="P58" i="15" s="1"/>
  <c r="D16" i="15"/>
  <c r="C16" i="15"/>
  <c r="B16" i="15"/>
  <c r="L15" i="15"/>
  <c r="L14" i="15"/>
  <c r="L13" i="15"/>
  <c r="L12" i="15"/>
  <c r="L11" i="15"/>
  <c r="L10" i="15"/>
  <c r="L9" i="15"/>
  <c r="L8" i="15"/>
  <c r="L7" i="15"/>
  <c r="J79" i="14"/>
  <c r="C79" i="14"/>
  <c r="B79" i="14"/>
  <c r="B50" i="14"/>
  <c r="A50" i="14"/>
  <c r="N16" i="14"/>
  <c r="M16" i="14"/>
  <c r="K16" i="14"/>
  <c r="J16" i="14"/>
  <c r="E16" i="14"/>
  <c r="P58" i="14" s="1"/>
  <c r="D16" i="14"/>
  <c r="C16" i="14"/>
  <c r="B16" i="14"/>
  <c r="L15" i="14"/>
  <c r="L14" i="14"/>
  <c r="L13" i="14"/>
  <c r="L12" i="14"/>
  <c r="L11" i="14"/>
  <c r="L10" i="14"/>
  <c r="L9" i="14"/>
  <c r="L8" i="14"/>
  <c r="L7" i="14"/>
  <c r="J79" i="13"/>
  <c r="C79" i="13"/>
  <c r="B79" i="13"/>
  <c r="B50" i="13"/>
  <c r="A50" i="13"/>
  <c r="N16" i="13"/>
  <c r="M16" i="13"/>
  <c r="K16" i="13"/>
  <c r="J16" i="13"/>
  <c r="E16" i="13"/>
  <c r="D16" i="13"/>
  <c r="C16" i="13"/>
  <c r="B16" i="13"/>
  <c r="L15" i="13"/>
  <c r="L14" i="13"/>
  <c r="L13" i="13"/>
  <c r="L12" i="13"/>
  <c r="L11" i="13"/>
  <c r="L10" i="13"/>
  <c r="L9" i="13"/>
  <c r="L8" i="13"/>
  <c r="L7" i="13"/>
  <c r="J79" i="12"/>
  <c r="C79" i="12"/>
  <c r="B79" i="12"/>
  <c r="B50" i="12"/>
  <c r="A50" i="12"/>
  <c r="N16" i="12"/>
  <c r="M16" i="12"/>
  <c r="K16" i="12"/>
  <c r="J16" i="12"/>
  <c r="E16" i="12"/>
  <c r="D16" i="12"/>
  <c r="C16" i="12"/>
  <c r="B16" i="12"/>
  <c r="L15" i="12"/>
  <c r="L14" i="12"/>
  <c r="L13" i="12"/>
  <c r="L12" i="12"/>
  <c r="L11" i="12"/>
  <c r="L10" i="12"/>
  <c r="L9" i="12"/>
  <c r="L8" i="12"/>
  <c r="L7" i="12"/>
  <c r="J79" i="11"/>
  <c r="C79" i="11"/>
  <c r="B79" i="11"/>
  <c r="B50" i="11"/>
  <c r="A50" i="11"/>
  <c r="N16" i="11"/>
  <c r="M16" i="11"/>
  <c r="K16" i="11"/>
  <c r="J16" i="11"/>
  <c r="E16" i="11"/>
  <c r="P58" i="11" s="1"/>
  <c r="D16" i="11"/>
  <c r="C16" i="11"/>
  <c r="B16" i="11"/>
  <c r="L15" i="11"/>
  <c r="L14" i="11"/>
  <c r="L13" i="11"/>
  <c r="L12" i="11"/>
  <c r="L11" i="11"/>
  <c r="L10" i="11"/>
  <c r="L9" i="11"/>
  <c r="L8" i="11"/>
  <c r="L7" i="11"/>
  <c r="N31" i="6"/>
  <c r="N31" i="7" s="1"/>
  <c r="N31" i="8" s="1"/>
  <c r="N31" i="9" s="1"/>
  <c r="N31" i="10" s="1"/>
  <c r="N31" i="11" s="1"/>
  <c r="N31" i="12" s="1"/>
  <c r="N31" i="13" s="1"/>
  <c r="N31" i="14" s="1"/>
  <c r="N31" i="15" s="1"/>
  <c r="N31" i="16" s="1"/>
  <c r="N31" i="17" s="1"/>
  <c r="N31" i="18" s="1"/>
  <c r="N31" i="19" s="1"/>
  <c r="N31" i="20" s="1"/>
  <c r="N31" i="21" s="1"/>
  <c r="N31" i="22" s="1"/>
  <c r="N31" i="23" s="1"/>
  <c r="N33" i="24" s="1"/>
  <c r="N31" i="25" s="1"/>
  <c r="N32" i="26" s="1"/>
  <c r="N31" i="27" s="1"/>
  <c r="N31" i="28" s="1"/>
  <c r="N31" i="29" s="1"/>
  <c r="N31" i="30" s="1"/>
  <c r="N31" i="31" s="1"/>
  <c r="N31" i="32" s="1"/>
  <c r="N31" i="33" s="1"/>
  <c r="N31" i="34" s="1"/>
  <c r="N31" i="35" s="1"/>
  <c r="B43" i="36" s="1"/>
  <c r="O31" i="6"/>
  <c r="O31" i="7" s="1"/>
  <c r="O31" i="8" s="1"/>
  <c r="O31" i="9" s="1"/>
  <c r="O31" i="10" s="1"/>
  <c r="O31" i="11" s="1"/>
  <c r="O31" i="12" s="1"/>
  <c r="O31" i="13" s="1"/>
  <c r="O31" i="14" s="1"/>
  <c r="O31" i="15" s="1"/>
  <c r="O31" i="16" s="1"/>
  <c r="O31" i="17" s="1"/>
  <c r="O31" i="18" s="1"/>
  <c r="O31" i="19" s="1"/>
  <c r="O31" i="20" s="1"/>
  <c r="O31" i="21" s="1"/>
  <c r="O31" i="22" s="1"/>
  <c r="O31" i="23" s="1"/>
  <c r="O33" i="24" s="1"/>
  <c r="O31" i="25" s="1"/>
  <c r="O32" i="26" s="1"/>
  <c r="O31" i="27" s="1"/>
  <c r="O31" i="28" s="1"/>
  <c r="O31" i="29" s="1"/>
  <c r="O31" i="30" s="1"/>
  <c r="O31" i="31" s="1"/>
  <c r="O31" i="32" s="1"/>
  <c r="O31" i="33" s="1"/>
  <c r="O31" i="34" s="1"/>
  <c r="O31" i="35" s="1"/>
  <c r="C43" i="36" s="1"/>
  <c r="P31" i="6"/>
  <c r="P31" i="7" s="1"/>
  <c r="P31" i="8" s="1"/>
  <c r="P31" i="9" s="1"/>
  <c r="P31" i="10" s="1"/>
  <c r="P31" i="11" s="1"/>
  <c r="P31" i="12" s="1"/>
  <c r="P31" i="13" s="1"/>
  <c r="P31" i="14" s="1"/>
  <c r="P31" i="15" s="1"/>
  <c r="P31" i="16" s="1"/>
  <c r="P31" i="17" s="1"/>
  <c r="P31" i="18" s="1"/>
  <c r="P31" i="19" s="1"/>
  <c r="P31" i="20" s="1"/>
  <c r="P31" i="21" s="1"/>
  <c r="Q31" i="6"/>
  <c r="Q31" i="7" s="1"/>
  <c r="Q31" i="8" s="1"/>
  <c r="Q31" i="9" s="1"/>
  <c r="Q31" i="10" s="1"/>
  <c r="Q31" i="11" s="1"/>
  <c r="Q31" i="12" s="1"/>
  <c r="Q31" i="13" s="1"/>
  <c r="Q31" i="14" s="1"/>
  <c r="Q31" i="15" s="1"/>
  <c r="Q31" i="16" s="1"/>
  <c r="Q31" i="17" s="1"/>
  <c r="Q31" i="18" s="1"/>
  <c r="Q31" i="19" s="1"/>
  <c r="Q31" i="20" s="1"/>
  <c r="Q31" i="21" s="1"/>
  <c r="N32" i="6"/>
  <c r="N32" i="7" s="1"/>
  <c r="N32" i="8" s="1"/>
  <c r="N32" i="9" s="1"/>
  <c r="N32" i="10" s="1"/>
  <c r="N32" i="11" s="1"/>
  <c r="N32" i="12" s="1"/>
  <c r="N32" i="13" s="1"/>
  <c r="N32" i="14" s="1"/>
  <c r="N32" i="15" s="1"/>
  <c r="N32" i="16" s="1"/>
  <c r="N32" i="17" s="1"/>
  <c r="N32" i="18" s="1"/>
  <c r="N32" i="19" s="1"/>
  <c r="N32" i="20" s="1"/>
  <c r="N32" i="21" s="1"/>
  <c r="N32" i="22" s="1"/>
  <c r="N32" i="23" s="1"/>
  <c r="N34" i="24" s="1"/>
  <c r="N32" i="25" s="1"/>
  <c r="N33" i="26" s="1"/>
  <c r="N32" i="27" s="1"/>
  <c r="N32" i="28" s="1"/>
  <c r="N32" i="29" s="1"/>
  <c r="N32" i="30" s="1"/>
  <c r="N32" i="31" s="1"/>
  <c r="N32" i="32" s="1"/>
  <c r="N32" i="33" s="1"/>
  <c r="N32" i="34" s="1"/>
  <c r="N32" i="35" s="1"/>
  <c r="B44" i="36" s="1"/>
  <c r="O32" i="6"/>
  <c r="O32" i="7" s="1"/>
  <c r="O32" i="8" s="1"/>
  <c r="O32" i="9" s="1"/>
  <c r="O32" i="10" s="1"/>
  <c r="O32" i="11" s="1"/>
  <c r="O32" i="12" s="1"/>
  <c r="O32" i="13" s="1"/>
  <c r="O32" i="14" s="1"/>
  <c r="O32" i="15" s="1"/>
  <c r="O32" i="16" s="1"/>
  <c r="O32" i="17" s="1"/>
  <c r="O32" i="18" s="1"/>
  <c r="O32" i="19" s="1"/>
  <c r="O32" i="20" s="1"/>
  <c r="O32" i="21" s="1"/>
  <c r="O32" i="22" s="1"/>
  <c r="O32" i="23" s="1"/>
  <c r="O34" i="24" s="1"/>
  <c r="O32" i="25" s="1"/>
  <c r="O33" i="26" s="1"/>
  <c r="O32" i="27" s="1"/>
  <c r="O32" i="28" s="1"/>
  <c r="O32" i="29" s="1"/>
  <c r="O32" i="30" s="1"/>
  <c r="O32" i="31" s="1"/>
  <c r="O32" i="32" s="1"/>
  <c r="O32" i="33" s="1"/>
  <c r="O32" i="34" s="1"/>
  <c r="O32" i="35" s="1"/>
  <c r="C44" i="36" s="1"/>
  <c r="P32" i="6"/>
  <c r="P32" i="7" s="1"/>
  <c r="P32" i="8" s="1"/>
  <c r="P32" i="9" s="1"/>
  <c r="P32" i="10" s="1"/>
  <c r="P32" i="11" s="1"/>
  <c r="P32" i="12" s="1"/>
  <c r="P32" i="13" s="1"/>
  <c r="P32" i="14" s="1"/>
  <c r="P32" i="15" s="1"/>
  <c r="P32" i="16" s="1"/>
  <c r="P32" i="17" s="1"/>
  <c r="P32" i="18" s="1"/>
  <c r="P32" i="19" s="1"/>
  <c r="P32" i="20" s="1"/>
  <c r="P32" i="21" s="1"/>
  <c r="Q32" i="6"/>
  <c r="Q32" i="7" s="1"/>
  <c r="Q32" i="8" s="1"/>
  <c r="Q32" i="9" s="1"/>
  <c r="Q32" i="10" s="1"/>
  <c r="Q32" i="11" s="1"/>
  <c r="Q32" i="12" s="1"/>
  <c r="Q32" i="13" s="1"/>
  <c r="Q32" i="14" s="1"/>
  <c r="Q32" i="15" s="1"/>
  <c r="Q32" i="16" s="1"/>
  <c r="Q32" i="17" s="1"/>
  <c r="Q32" i="18" s="1"/>
  <c r="Q32" i="19" s="1"/>
  <c r="Q32" i="20" s="1"/>
  <c r="Q32" i="21" s="1"/>
  <c r="N33" i="6"/>
  <c r="N33" i="7" s="1"/>
  <c r="N33" i="8" s="1"/>
  <c r="N33" i="9" s="1"/>
  <c r="N33" i="10" s="1"/>
  <c r="N33" i="11" s="1"/>
  <c r="N33" i="12" s="1"/>
  <c r="N33" i="13" s="1"/>
  <c r="N33" i="14" s="1"/>
  <c r="N33" i="15" s="1"/>
  <c r="N33" i="16" s="1"/>
  <c r="N33" i="17" s="1"/>
  <c r="N33" i="18" s="1"/>
  <c r="N33" i="19" s="1"/>
  <c r="N33" i="20" s="1"/>
  <c r="N33" i="21" s="1"/>
  <c r="N33" i="22" s="1"/>
  <c r="N33" i="23" s="1"/>
  <c r="N35" i="24" s="1"/>
  <c r="N33" i="25" s="1"/>
  <c r="N34" i="26" s="1"/>
  <c r="N33" i="27" s="1"/>
  <c r="N33" i="28" s="1"/>
  <c r="N33" i="29" s="1"/>
  <c r="N33" i="30" s="1"/>
  <c r="N33" i="31" s="1"/>
  <c r="N33" i="32" s="1"/>
  <c r="N33" i="33" s="1"/>
  <c r="N33" i="34" s="1"/>
  <c r="N33" i="35" s="1"/>
  <c r="B45" i="36" s="1"/>
  <c r="O33" i="6"/>
  <c r="O33" i="7" s="1"/>
  <c r="O33" i="8" s="1"/>
  <c r="O33" i="9" s="1"/>
  <c r="O33" i="10" s="1"/>
  <c r="O33" i="11" s="1"/>
  <c r="O33" i="12" s="1"/>
  <c r="O33" i="13" s="1"/>
  <c r="O33" i="14" s="1"/>
  <c r="O33" i="15" s="1"/>
  <c r="O33" i="16" s="1"/>
  <c r="O33" i="17" s="1"/>
  <c r="O33" i="18" s="1"/>
  <c r="O33" i="19" s="1"/>
  <c r="O33" i="20" s="1"/>
  <c r="O33" i="21" s="1"/>
  <c r="O33" i="22" s="1"/>
  <c r="O33" i="23" s="1"/>
  <c r="O35" i="24" s="1"/>
  <c r="O33" i="25" s="1"/>
  <c r="O34" i="26" s="1"/>
  <c r="O33" i="27" s="1"/>
  <c r="O33" i="28" s="1"/>
  <c r="O33" i="29" s="1"/>
  <c r="O33" i="30" s="1"/>
  <c r="O33" i="31" s="1"/>
  <c r="O33" i="32" s="1"/>
  <c r="O33" i="33" s="1"/>
  <c r="O33" i="34" s="1"/>
  <c r="O33" i="35" s="1"/>
  <c r="C45" i="36" s="1"/>
  <c r="P33" i="6"/>
  <c r="P33" i="7" s="1"/>
  <c r="P33" i="8" s="1"/>
  <c r="P33" i="9" s="1"/>
  <c r="P33" i="10" s="1"/>
  <c r="P33" i="11" s="1"/>
  <c r="P33" i="12" s="1"/>
  <c r="P33" i="13" s="1"/>
  <c r="P33" i="14" s="1"/>
  <c r="P33" i="15" s="1"/>
  <c r="P33" i="16" s="1"/>
  <c r="P33" i="17" s="1"/>
  <c r="P33" i="18" s="1"/>
  <c r="P33" i="19" s="1"/>
  <c r="P33" i="20" s="1"/>
  <c r="P33" i="21" s="1"/>
  <c r="Q33" i="6"/>
  <c r="Q33" i="7" s="1"/>
  <c r="Q33" i="8" s="1"/>
  <c r="Q33" i="9" s="1"/>
  <c r="Q33" i="10" s="1"/>
  <c r="Q33" i="11" s="1"/>
  <c r="Q33" i="12" s="1"/>
  <c r="Q33" i="13" s="1"/>
  <c r="Q33" i="14" s="1"/>
  <c r="Q33" i="15" s="1"/>
  <c r="Q33" i="16" s="1"/>
  <c r="Q33" i="17" s="1"/>
  <c r="Q33" i="18" s="1"/>
  <c r="Q33" i="19" s="1"/>
  <c r="Q33" i="20" s="1"/>
  <c r="Q33" i="21" s="1"/>
  <c r="N34" i="6"/>
  <c r="N34" i="7" s="1"/>
  <c r="N34" i="8" s="1"/>
  <c r="N34" i="9" s="1"/>
  <c r="N34" i="10" s="1"/>
  <c r="N34" i="11" s="1"/>
  <c r="N34" i="12" s="1"/>
  <c r="N34" i="13" s="1"/>
  <c r="N34" i="14" s="1"/>
  <c r="N34" i="15" s="1"/>
  <c r="N34" i="16" s="1"/>
  <c r="N34" i="17" s="1"/>
  <c r="N34" i="18" s="1"/>
  <c r="N34" i="19" s="1"/>
  <c r="N34" i="20" s="1"/>
  <c r="N34" i="21" s="1"/>
  <c r="N34" i="22" s="1"/>
  <c r="N34" i="23" s="1"/>
  <c r="N36" i="24" s="1"/>
  <c r="N34" i="25" s="1"/>
  <c r="N35" i="26" s="1"/>
  <c r="N34" i="27" s="1"/>
  <c r="N34" i="28" s="1"/>
  <c r="N34" i="29" s="1"/>
  <c r="N34" i="30" s="1"/>
  <c r="N34" i="31" s="1"/>
  <c r="N34" i="32" s="1"/>
  <c r="N34" i="33" s="1"/>
  <c r="N34" i="34" s="1"/>
  <c r="N34" i="35" s="1"/>
  <c r="B46" i="36" s="1"/>
  <c r="O34" i="6"/>
  <c r="O34" i="7" s="1"/>
  <c r="O34" i="8" s="1"/>
  <c r="O34" i="9" s="1"/>
  <c r="O34" i="10" s="1"/>
  <c r="O34" i="11" s="1"/>
  <c r="O34" i="12" s="1"/>
  <c r="O34" i="13" s="1"/>
  <c r="O34" i="14" s="1"/>
  <c r="O34" i="15" s="1"/>
  <c r="O34" i="16" s="1"/>
  <c r="O34" i="17" s="1"/>
  <c r="O34" i="18" s="1"/>
  <c r="O34" i="19" s="1"/>
  <c r="O34" i="20" s="1"/>
  <c r="O34" i="21" s="1"/>
  <c r="O34" i="22" s="1"/>
  <c r="O34" i="23" s="1"/>
  <c r="O36" i="24" s="1"/>
  <c r="O34" i="25" s="1"/>
  <c r="O35" i="26" s="1"/>
  <c r="O34" i="27" s="1"/>
  <c r="O34" i="28" s="1"/>
  <c r="O34" i="29" s="1"/>
  <c r="O34" i="30" s="1"/>
  <c r="O34" i="31" s="1"/>
  <c r="O34" i="32" s="1"/>
  <c r="O34" i="33" s="1"/>
  <c r="O34" i="34" s="1"/>
  <c r="O34" i="35" s="1"/>
  <c r="C46" i="36" s="1"/>
  <c r="P34" i="6"/>
  <c r="P34" i="7" s="1"/>
  <c r="P34" i="8" s="1"/>
  <c r="P34" i="9" s="1"/>
  <c r="P34" i="10" s="1"/>
  <c r="P34" i="11" s="1"/>
  <c r="P34" i="12" s="1"/>
  <c r="P34" i="13" s="1"/>
  <c r="P34" i="14" s="1"/>
  <c r="P34" i="15" s="1"/>
  <c r="P34" i="16" s="1"/>
  <c r="P34" i="17" s="1"/>
  <c r="P34" i="18" s="1"/>
  <c r="P34" i="19" s="1"/>
  <c r="P34" i="20" s="1"/>
  <c r="P34" i="21" s="1"/>
  <c r="Q34" i="6"/>
  <c r="Q34" i="7" s="1"/>
  <c r="Q34" i="8" s="1"/>
  <c r="Q34" i="9" s="1"/>
  <c r="Q34" i="10" s="1"/>
  <c r="Q34" i="11" s="1"/>
  <c r="Q34" i="12" s="1"/>
  <c r="Q34" i="13" s="1"/>
  <c r="Q34" i="14" s="1"/>
  <c r="Q34" i="15" s="1"/>
  <c r="Q34" i="16" s="1"/>
  <c r="Q34" i="17" s="1"/>
  <c r="Q34" i="18" s="1"/>
  <c r="Q34" i="19" s="1"/>
  <c r="Q34" i="20" s="1"/>
  <c r="Q34" i="21" s="1"/>
  <c r="N35" i="6"/>
  <c r="N35" i="7" s="1"/>
  <c r="N35" i="8" s="1"/>
  <c r="N35" i="9" s="1"/>
  <c r="N35" i="10" s="1"/>
  <c r="N35" i="11" s="1"/>
  <c r="N35" i="12" s="1"/>
  <c r="N35" i="13" s="1"/>
  <c r="N35" i="14" s="1"/>
  <c r="N35" i="15" s="1"/>
  <c r="N35" i="16" s="1"/>
  <c r="N35" i="17" s="1"/>
  <c r="N35" i="18" s="1"/>
  <c r="N35" i="19" s="1"/>
  <c r="N35" i="20" s="1"/>
  <c r="N35" i="21" s="1"/>
  <c r="N35" i="22" s="1"/>
  <c r="N35" i="23" s="1"/>
  <c r="N37" i="24" s="1"/>
  <c r="N35" i="25" s="1"/>
  <c r="N36" i="26" s="1"/>
  <c r="N35" i="27" s="1"/>
  <c r="N35" i="28" s="1"/>
  <c r="N35" i="29" s="1"/>
  <c r="N35" i="30" s="1"/>
  <c r="N35" i="31" s="1"/>
  <c r="N35" i="32" s="1"/>
  <c r="N35" i="33" s="1"/>
  <c r="N35" i="34" s="1"/>
  <c r="N35" i="35" s="1"/>
  <c r="B47" i="36" s="1"/>
  <c r="O35" i="6"/>
  <c r="O35" i="7" s="1"/>
  <c r="O35" i="8" s="1"/>
  <c r="O35" i="9" s="1"/>
  <c r="O35" i="10" s="1"/>
  <c r="O35" i="11" s="1"/>
  <c r="O35" i="12" s="1"/>
  <c r="O35" i="13" s="1"/>
  <c r="O35" i="14" s="1"/>
  <c r="O35" i="15" s="1"/>
  <c r="O35" i="16" s="1"/>
  <c r="O35" i="17" s="1"/>
  <c r="O35" i="18" s="1"/>
  <c r="O35" i="19" s="1"/>
  <c r="O35" i="20" s="1"/>
  <c r="O35" i="21" s="1"/>
  <c r="O35" i="22" s="1"/>
  <c r="O35" i="23" s="1"/>
  <c r="O37" i="24" s="1"/>
  <c r="O35" i="25" s="1"/>
  <c r="O36" i="26" s="1"/>
  <c r="O35" i="27" s="1"/>
  <c r="O35" i="28" s="1"/>
  <c r="O35" i="29" s="1"/>
  <c r="O35" i="30" s="1"/>
  <c r="O35" i="31" s="1"/>
  <c r="O35" i="32" s="1"/>
  <c r="O35" i="33" s="1"/>
  <c r="O35" i="34" s="1"/>
  <c r="O35" i="35" s="1"/>
  <c r="C47" i="36" s="1"/>
  <c r="P35" i="6"/>
  <c r="P35" i="7" s="1"/>
  <c r="P35" i="8" s="1"/>
  <c r="P35" i="9" s="1"/>
  <c r="P35" i="10" s="1"/>
  <c r="P35" i="11" s="1"/>
  <c r="P35" i="12" s="1"/>
  <c r="P35" i="13" s="1"/>
  <c r="P35" i="14" s="1"/>
  <c r="P35" i="15" s="1"/>
  <c r="P35" i="16" s="1"/>
  <c r="P35" i="17" s="1"/>
  <c r="P35" i="18" s="1"/>
  <c r="P35" i="19" s="1"/>
  <c r="P35" i="20" s="1"/>
  <c r="P35" i="21" s="1"/>
  <c r="Q35" i="6"/>
  <c r="Q35" i="7" s="1"/>
  <c r="Q35" i="8" s="1"/>
  <c r="Q35" i="9" s="1"/>
  <c r="Q35" i="10" s="1"/>
  <c r="Q35" i="11" s="1"/>
  <c r="Q35" i="12" s="1"/>
  <c r="Q35" i="13" s="1"/>
  <c r="Q35" i="14" s="1"/>
  <c r="Q35" i="15" s="1"/>
  <c r="Q35" i="16" s="1"/>
  <c r="Q35" i="17" s="1"/>
  <c r="Q35" i="18" s="1"/>
  <c r="Q35" i="19" s="1"/>
  <c r="Q35" i="20" s="1"/>
  <c r="Q35" i="21" s="1"/>
  <c r="N36" i="6"/>
  <c r="N36" i="7" s="1"/>
  <c r="N36" i="8" s="1"/>
  <c r="N36" i="9" s="1"/>
  <c r="N36" i="10" s="1"/>
  <c r="N36" i="11" s="1"/>
  <c r="N36" i="12" s="1"/>
  <c r="N36" i="13" s="1"/>
  <c r="N36" i="14" s="1"/>
  <c r="N36" i="15" s="1"/>
  <c r="N36" i="16" s="1"/>
  <c r="N36" i="17" s="1"/>
  <c r="N36" i="18" s="1"/>
  <c r="N36" i="19" s="1"/>
  <c r="N36" i="20" s="1"/>
  <c r="N36" i="21" s="1"/>
  <c r="N36" i="22" s="1"/>
  <c r="N36" i="23" s="1"/>
  <c r="N38" i="24" s="1"/>
  <c r="N36" i="25" s="1"/>
  <c r="N37" i="26" s="1"/>
  <c r="N36" i="27" s="1"/>
  <c r="N36" i="28" s="1"/>
  <c r="N36" i="29" s="1"/>
  <c r="N36" i="30" s="1"/>
  <c r="N36" i="31" s="1"/>
  <c r="N36" i="32" s="1"/>
  <c r="N36" i="33" s="1"/>
  <c r="N36" i="34" s="1"/>
  <c r="N36" i="35" s="1"/>
  <c r="B48" i="36" s="1"/>
  <c r="O36" i="6"/>
  <c r="O36" i="7" s="1"/>
  <c r="O36" i="8" s="1"/>
  <c r="O36" i="9" s="1"/>
  <c r="O36" i="10" s="1"/>
  <c r="O36" i="11" s="1"/>
  <c r="O36" i="12" s="1"/>
  <c r="O36" i="13" s="1"/>
  <c r="O36" i="14" s="1"/>
  <c r="O36" i="15" s="1"/>
  <c r="O36" i="16" s="1"/>
  <c r="O36" i="17" s="1"/>
  <c r="O36" i="18" s="1"/>
  <c r="O36" i="19" s="1"/>
  <c r="O36" i="20" s="1"/>
  <c r="O36" i="21" s="1"/>
  <c r="O36" i="22" s="1"/>
  <c r="O36" i="23" s="1"/>
  <c r="O38" i="24" s="1"/>
  <c r="O36" i="25" s="1"/>
  <c r="O37" i="26" s="1"/>
  <c r="O36" i="27" s="1"/>
  <c r="O36" i="28" s="1"/>
  <c r="O36" i="29" s="1"/>
  <c r="O36" i="30" s="1"/>
  <c r="O36" i="31" s="1"/>
  <c r="O36" i="32" s="1"/>
  <c r="O36" i="33" s="1"/>
  <c r="O36" i="34" s="1"/>
  <c r="O36" i="35" s="1"/>
  <c r="C48" i="36" s="1"/>
  <c r="P36" i="6"/>
  <c r="P36" i="7" s="1"/>
  <c r="P36" i="8" s="1"/>
  <c r="P36" i="9" s="1"/>
  <c r="P36" i="10" s="1"/>
  <c r="P36" i="11" s="1"/>
  <c r="P36" i="12" s="1"/>
  <c r="P36" i="13" s="1"/>
  <c r="P36" i="14" s="1"/>
  <c r="P36" i="15" s="1"/>
  <c r="P36" i="16" s="1"/>
  <c r="P36" i="17" s="1"/>
  <c r="P36" i="18" s="1"/>
  <c r="P36" i="19" s="1"/>
  <c r="P36" i="20" s="1"/>
  <c r="P36" i="21" s="1"/>
  <c r="Q36" i="6"/>
  <c r="Q36" i="7" s="1"/>
  <c r="Q36" i="8" s="1"/>
  <c r="Q36" i="9" s="1"/>
  <c r="Q36" i="10" s="1"/>
  <c r="Q36" i="11" s="1"/>
  <c r="Q36" i="12" s="1"/>
  <c r="Q36" i="13" s="1"/>
  <c r="Q36" i="14" s="1"/>
  <c r="Q36" i="15" s="1"/>
  <c r="Q36" i="16" s="1"/>
  <c r="Q36" i="17" s="1"/>
  <c r="Q36" i="18" s="1"/>
  <c r="Q36" i="19" s="1"/>
  <c r="Q36" i="20" s="1"/>
  <c r="Q36" i="21" s="1"/>
  <c r="N37" i="6"/>
  <c r="N37" i="7" s="1"/>
  <c r="N37" i="8" s="1"/>
  <c r="N37" i="9" s="1"/>
  <c r="N37" i="10" s="1"/>
  <c r="N37" i="11" s="1"/>
  <c r="N37" i="12" s="1"/>
  <c r="N37" i="13" s="1"/>
  <c r="N37" i="14" s="1"/>
  <c r="N37" i="15" s="1"/>
  <c r="N37" i="16" s="1"/>
  <c r="N37" i="17" s="1"/>
  <c r="N37" i="18" s="1"/>
  <c r="N37" i="19" s="1"/>
  <c r="N37" i="20" s="1"/>
  <c r="N37" i="21" s="1"/>
  <c r="N37" i="22" s="1"/>
  <c r="N37" i="23" s="1"/>
  <c r="N39" i="24" s="1"/>
  <c r="N37" i="25" s="1"/>
  <c r="N38" i="26" s="1"/>
  <c r="N37" i="27" s="1"/>
  <c r="N37" i="28" s="1"/>
  <c r="N37" i="29" s="1"/>
  <c r="N37" i="30" s="1"/>
  <c r="N37" i="31" s="1"/>
  <c r="N37" i="32" s="1"/>
  <c r="N37" i="33" s="1"/>
  <c r="N37" i="34" s="1"/>
  <c r="N37" i="35" s="1"/>
  <c r="B49" i="36" s="1"/>
  <c r="O37" i="6"/>
  <c r="O37" i="7" s="1"/>
  <c r="O37" i="8" s="1"/>
  <c r="O37" i="9" s="1"/>
  <c r="O37" i="10" s="1"/>
  <c r="O37" i="11" s="1"/>
  <c r="O37" i="12" s="1"/>
  <c r="O37" i="13" s="1"/>
  <c r="O37" i="14" s="1"/>
  <c r="O37" i="15" s="1"/>
  <c r="O37" i="16" s="1"/>
  <c r="O37" i="17" s="1"/>
  <c r="O37" i="18" s="1"/>
  <c r="O37" i="19" s="1"/>
  <c r="O37" i="20" s="1"/>
  <c r="O37" i="21" s="1"/>
  <c r="O37" i="22" s="1"/>
  <c r="O37" i="23" s="1"/>
  <c r="O39" i="24" s="1"/>
  <c r="O37" i="25" s="1"/>
  <c r="O38" i="26" s="1"/>
  <c r="O37" i="27" s="1"/>
  <c r="O37" i="28" s="1"/>
  <c r="O37" i="29" s="1"/>
  <c r="O37" i="30" s="1"/>
  <c r="O37" i="31" s="1"/>
  <c r="O37" i="32" s="1"/>
  <c r="O37" i="33" s="1"/>
  <c r="O37" i="34" s="1"/>
  <c r="O37" i="35" s="1"/>
  <c r="C49" i="36" s="1"/>
  <c r="P37" i="6"/>
  <c r="P37" i="7" s="1"/>
  <c r="P37" i="8" s="1"/>
  <c r="P37" i="9" s="1"/>
  <c r="P37" i="10" s="1"/>
  <c r="P37" i="11" s="1"/>
  <c r="P37" i="12" s="1"/>
  <c r="P37" i="13" s="1"/>
  <c r="P37" i="14" s="1"/>
  <c r="P37" i="15" s="1"/>
  <c r="P37" i="16" s="1"/>
  <c r="P37" i="17" s="1"/>
  <c r="P37" i="18" s="1"/>
  <c r="P37" i="19" s="1"/>
  <c r="P37" i="20" s="1"/>
  <c r="P37" i="21" s="1"/>
  <c r="Q37" i="6"/>
  <c r="Q37" i="7" s="1"/>
  <c r="Q37" i="8" s="1"/>
  <c r="Q37" i="9" s="1"/>
  <c r="Q37" i="10" s="1"/>
  <c r="Q37" i="11" s="1"/>
  <c r="Q37" i="12" s="1"/>
  <c r="Q37" i="13" s="1"/>
  <c r="Q37" i="14" s="1"/>
  <c r="Q37" i="15" s="1"/>
  <c r="Q37" i="16" s="1"/>
  <c r="Q37" i="17" s="1"/>
  <c r="Q37" i="18" s="1"/>
  <c r="Q37" i="19" s="1"/>
  <c r="Q37" i="20" s="1"/>
  <c r="Q37" i="21" s="1"/>
  <c r="N38" i="6"/>
  <c r="N38" i="7" s="1"/>
  <c r="N38" i="8" s="1"/>
  <c r="N38" i="9" s="1"/>
  <c r="N38" i="10" s="1"/>
  <c r="N38" i="11" s="1"/>
  <c r="N38" i="12" s="1"/>
  <c r="N38" i="13" s="1"/>
  <c r="N38" i="14" s="1"/>
  <c r="N38" i="15" s="1"/>
  <c r="N38" i="16" s="1"/>
  <c r="N38" i="17" s="1"/>
  <c r="N38" i="18" s="1"/>
  <c r="N38" i="19" s="1"/>
  <c r="N38" i="20" s="1"/>
  <c r="N38" i="21" s="1"/>
  <c r="N38" i="22" s="1"/>
  <c r="N38" i="23" s="1"/>
  <c r="N40" i="24" s="1"/>
  <c r="N38" i="25" s="1"/>
  <c r="N39" i="26" s="1"/>
  <c r="N38" i="27" s="1"/>
  <c r="N38" i="28" s="1"/>
  <c r="N38" i="29" s="1"/>
  <c r="N38" i="30" s="1"/>
  <c r="N38" i="31" s="1"/>
  <c r="N38" i="32" s="1"/>
  <c r="N38" i="33" s="1"/>
  <c r="N38" i="34" s="1"/>
  <c r="N38" i="35" s="1"/>
  <c r="B50" i="36" s="1"/>
  <c r="O38" i="6"/>
  <c r="O38" i="7" s="1"/>
  <c r="O38" i="8" s="1"/>
  <c r="O38" i="9" s="1"/>
  <c r="O38" i="10" s="1"/>
  <c r="O38" i="11" s="1"/>
  <c r="O38" i="12" s="1"/>
  <c r="O38" i="13" s="1"/>
  <c r="O38" i="14" s="1"/>
  <c r="O38" i="15" s="1"/>
  <c r="O38" i="16" s="1"/>
  <c r="O38" i="17" s="1"/>
  <c r="O38" i="18" s="1"/>
  <c r="O38" i="19" s="1"/>
  <c r="O38" i="20" s="1"/>
  <c r="O38" i="21" s="1"/>
  <c r="O38" i="22" s="1"/>
  <c r="O38" i="23" s="1"/>
  <c r="O40" i="24" s="1"/>
  <c r="O38" i="25" s="1"/>
  <c r="O39" i="26" s="1"/>
  <c r="O38" i="27" s="1"/>
  <c r="O38" i="28" s="1"/>
  <c r="O38" i="29" s="1"/>
  <c r="O38" i="30" s="1"/>
  <c r="O38" i="31" s="1"/>
  <c r="O38" i="32" s="1"/>
  <c r="O38" i="33" s="1"/>
  <c r="O38" i="34" s="1"/>
  <c r="O38" i="35" s="1"/>
  <c r="C50" i="36" s="1"/>
  <c r="P38" i="6"/>
  <c r="P38" i="7" s="1"/>
  <c r="P38" i="8" s="1"/>
  <c r="P38" i="9" s="1"/>
  <c r="P38" i="10" s="1"/>
  <c r="P38" i="11" s="1"/>
  <c r="P38" i="12" s="1"/>
  <c r="P38" i="13" s="1"/>
  <c r="P38" i="14" s="1"/>
  <c r="P38" i="15" s="1"/>
  <c r="P38" i="16" s="1"/>
  <c r="P38" i="17" s="1"/>
  <c r="P38" i="18" s="1"/>
  <c r="P38" i="19" s="1"/>
  <c r="P38" i="20" s="1"/>
  <c r="P38" i="21" s="1"/>
  <c r="Q38" i="6"/>
  <c r="Q38" i="7" s="1"/>
  <c r="Q38" i="8" s="1"/>
  <c r="Q38" i="9" s="1"/>
  <c r="Q38" i="10" s="1"/>
  <c r="Q38" i="11" s="1"/>
  <c r="Q38" i="12" s="1"/>
  <c r="Q38" i="13" s="1"/>
  <c r="Q38" i="14" s="1"/>
  <c r="Q38" i="15" s="1"/>
  <c r="Q38" i="16" s="1"/>
  <c r="Q38" i="17" s="1"/>
  <c r="Q38" i="18" s="1"/>
  <c r="Q38" i="19" s="1"/>
  <c r="Q38" i="20" s="1"/>
  <c r="Q38" i="21" s="1"/>
  <c r="N39" i="6"/>
  <c r="N39" i="7" s="1"/>
  <c r="N39" i="8" s="1"/>
  <c r="N39" i="9" s="1"/>
  <c r="N39" i="10" s="1"/>
  <c r="N39" i="11" s="1"/>
  <c r="N39" i="12" s="1"/>
  <c r="N39" i="13" s="1"/>
  <c r="N39" i="14" s="1"/>
  <c r="N39" i="15" s="1"/>
  <c r="N39" i="16" s="1"/>
  <c r="N39" i="17" s="1"/>
  <c r="N39" i="18" s="1"/>
  <c r="N39" i="19" s="1"/>
  <c r="N39" i="20" s="1"/>
  <c r="N39" i="21" s="1"/>
  <c r="N39" i="22" s="1"/>
  <c r="N39" i="23" s="1"/>
  <c r="N41" i="24" s="1"/>
  <c r="N39" i="25" s="1"/>
  <c r="N40" i="26" s="1"/>
  <c r="N39" i="27" s="1"/>
  <c r="N39" i="28" s="1"/>
  <c r="N39" i="29" s="1"/>
  <c r="N39" i="30" s="1"/>
  <c r="N39" i="31" s="1"/>
  <c r="N39" i="32" s="1"/>
  <c r="N39" i="33" s="1"/>
  <c r="N39" i="34" s="1"/>
  <c r="N39" i="35" s="1"/>
  <c r="B51" i="36" s="1"/>
  <c r="O39" i="6"/>
  <c r="O39" i="7" s="1"/>
  <c r="O39" i="8" s="1"/>
  <c r="O39" i="9" s="1"/>
  <c r="O39" i="10" s="1"/>
  <c r="O39" i="11" s="1"/>
  <c r="O39" i="12" s="1"/>
  <c r="O39" i="13" s="1"/>
  <c r="O39" i="14" s="1"/>
  <c r="O39" i="15" s="1"/>
  <c r="O39" i="16" s="1"/>
  <c r="O39" i="17" s="1"/>
  <c r="O39" i="18" s="1"/>
  <c r="O39" i="19" s="1"/>
  <c r="O39" i="20" s="1"/>
  <c r="O39" i="21" s="1"/>
  <c r="O39" i="22" s="1"/>
  <c r="O39" i="23" s="1"/>
  <c r="O41" i="24" s="1"/>
  <c r="O39" i="25" s="1"/>
  <c r="O40" i="26" s="1"/>
  <c r="O39" i="27" s="1"/>
  <c r="O39" i="28" s="1"/>
  <c r="O39" i="29" s="1"/>
  <c r="O39" i="30" s="1"/>
  <c r="O39" i="31" s="1"/>
  <c r="O39" i="32" s="1"/>
  <c r="O39" i="33" s="1"/>
  <c r="O39" i="34" s="1"/>
  <c r="O39" i="35" s="1"/>
  <c r="C51" i="36" s="1"/>
  <c r="P39" i="6"/>
  <c r="P39" i="7" s="1"/>
  <c r="P39" i="8" s="1"/>
  <c r="P39" i="9" s="1"/>
  <c r="P39" i="10" s="1"/>
  <c r="P39" i="11" s="1"/>
  <c r="P39" i="12" s="1"/>
  <c r="P39" i="13" s="1"/>
  <c r="P39" i="14" s="1"/>
  <c r="P39" i="15" s="1"/>
  <c r="P39" i="16" s="1"/>
  <c r="P39" i="17" s="1"/>
  <c r="P39" i="18" s="1"/>
  <c r="P39" i="19" s="1"/>
  <c r="P39" i="20" s="1"/>
  <c r="P39" i="21" s="1"/>
  <c r="Q39" i="6"/>
  <c r="Q39" i="7" s="1"/>
  <c r="Q39" i="8" s="1"/>
  <c r="Q39" i="9" s="1"/>
  <c r="Q39" i="10" s="1"/>
  <c r="Q39" i="11" s="1"/>
  <c r="Q39" i="12" s="1"/>
  <c r="Q39" i="13" s="1"/>
  <c r="Q39" i="14" s="1"/>
  <c r="Q39" i="15" s="1"/>
  <c r="Q39" i="16" s="1"/>
  <c r="Q39" i="17" s="1"/>
  <c r="Q39" i="18" s="1"/>
  <c r="Q39" i="19" s="1"/>
  <c r="Q39" i="20" s="1"/>
  <c r="Q39" i="21" s="1"/>
  <c r="N40" i="6"/>
  <c r="N40" i="7" s="1"/>
  <c r="N40" i="8" s="1"/>
  <c r="N40" i="9" s="1"/>
  <c r="N40" i="10" s="1"/>
  <c r="N40" i="11" s="1"/>
  <c r="N40" i="12" s="1"/>
  <c r="N40" i="13" s="1"/>
  <c r="N40" i="14" s="1"/>
  <c r="N40" i="15" s="1"/>
  <c r="N40" i="16" s="1"/>
  <c r="N40" i="17" s="1"/>
  <c r="N40" i="18" s="1"/>
  <c r="N40" i="19" s="1"/>
  <c r="N40" i="20" s="1"/>
  <c r="N40" i="21" s="1"/>
  <c r="N40" i="22" s="1"/>
  <c r="N40" i="23" s="1"/>
  <c r="N42" i="24" s="1"/>
  <c r="N40" i="25" s="1"/>
  <c r="N41" i="26" s="1"/>
  <c r="N40" i="27" s="1"/>
  <c r="N40" i="28" s="1"/>
  <c r="N40" i="29" s="1"/>
  <c r="N40" i="30" s="1"/>
  <c r="N40" i="31" s="1"/>
  <c r="N40" i="32" s="1"/>
  <c r="N40" i="33" s="1"/>
  <c r="N40" i="34" s="1"/>
  <c r="N40" i="35" s="1"/>
  <c r="B52" i="36" s="1"/>
  <c r="O40" i="6"/>
  <c r="O40" i="7" s="1"/>
  <c r="O40" i="8" s="1"/>
  <c r="O40" i="9" s="1"/>
  <c r="O40" i="10" s="1"/>
  <c r="O40" i="11" s="1"/>
  <c r="O40" i="12" s="1"/>
  <c r="O40" i="13" s="1"/>
  <c r="O40" i="14" s="1"/>
  <c r="O40" i="15" s="1"/>
  <c r="O40" i="16" s="1"/>
  <c r="O40" i="17" s="1"/>
  <c r="O40" i="18" s="1"/>
  <c r="O40" i="19" s="1"/>
  <c r="O40" i="20" s="1"/>
  <c r="O40" i="21" s="1"/>
  <c r="O40" i="22" s="1"/>
  <c r="O40" i="23" s="1"/>
  <c r="O42" i="24" s="1"/>
  <c r="O40" i="25" s="1"/>
  <c r="O41" i="26" s="1"/>
  <c r="O40" i="27" s="1"/>
  <c r="O40" i="28" s="1"/>
  <c r="O40" i="29" s="1"/>
  <c r="O40" i="30" s="1"/>
  <c r="O40" i="31" s="1"/>
  <c r="O40" i="32" s="1"/>
  <c r="O40" i="33" s="1"/>
  <c r="O40" i="34" s="1"/>
  <c r="O40" i="35" s="1"/>
  <c r="C52" i="36" s="1"/>
  <c r="P40" i="6"/>
  <c r="P40" i="7" s="1"/>
  <c r="P40" i="8" s="1"/>
  <c r="P40" i="9" s="1"/>
  <c r="P40" i="10" s="1"/>
  <c r="P40" i="11" s="1"/>
  <c r="P40" i="12" s="1"/>
  <c r="P40" i="13" s="1"/>
  <c r="P40" i="14" s="1"/>
  <c r="P40" i="15" s="1"/>
  <c r="P40" i="16" s="1"/>
  <c r="P40" i="17" s="1"/>
  <c r="P40" i="18" s="1"/>
  <c r="P40" i="19" s="1"/>
  <c r="P40" i="20" s="1"/>
  <c r="P40" i="21" s="1"/>
  <c r="Q40" i="6"/>
  <c r="Q40" i="7" s="1"/>
  <c r="Q40" i="8" s="1"/>
  <c r="Q40" i="9" s="1"/>
  <c r="Q40" i="10" s="1"/>
  <c r="Q40" i="11" s="1"/>
  <c r="Q40" i="12" s="1"/>
  <c r="Q40" i="13" s="1"/>
  <c r="Q40" i="14" s="1"/>
  <c r="Q40" i="15" s="1"/>
  <c r="Q40" i="16" s="1"/>
  <c r="Q40" i="17" s="1"/>
  <c r="Q40" i="18" s="1"/>
  <c r="Q40" i="19" s="1"/>
  <c r="Q40" i="20" s="1"/>
  <c r="Q40" i="21" s="1"/>
  <c r="N41" i="6"/>
  <c r="N41" i="7" s="1"/>
  <c r="N41" i="8" s="1"/>
  <c r="N41" i="9" s="1"/>
  <c r="N41" i="10" s="1"/>
  <c r="N41" i="11" s="1"/>
  <c r="N41" i="12" s="1"/>
  <c r="N41" i="13" s="1"/>
  <c r="N41" i="14" s="1"/>
  <c r="N41" i="15" s="1"/>
  <c r="N41" i="16" s="1"/>
  <c r="N41" i="17" s="1"/>
  <c r="N41" i="18" s="1"/>
  <c r="N41" i="19" s="1"/>
  <c r="N41" i="20" s="1"/>
  <c r="N41" i="21" s="1"/>
  <c r="N41" i="22" s="1"/>
  <c r="N41" i="23" s="1"/>
  <c r="N43" i="24" s="1"/>
  <c r="N41" i="25" s="1"/>
  <c r="N42" i="26" s="1"/>
  <c r="N41" i="27" s="1"/>
  <c r="N41" i="28" s="1"/>
  <c r="N41" i="29" s="1"/>
  <c r="N41" i="30" s="1"/>
  <c r="N41" i="31" s="1"/>
  <c r="N41" i="32" s="1"/>
  <c r="N41" i="33" s="1"/>
  <c r="N41" i="34" s="1"/>
  <c r="N41" i="35" s="1"/>
  <c r="B53" i="36" s="1"/>
  <c r="O41" i="6"/>
  <c r="O41" i="7" s="1"/>
  <c r="O41" i="8" s="1"/>
  <c r="O41" i="9" s="1"/>
  <c r="O41" i="10" s="1"/>
  <c r="O41" i="11" s="1"/>
  <c r="O41" i="12" s="1"/>
  <c r="O41" i="13" s="1"/>
  <c r="O41" i="14" s="1"/>
  <c r="O41" i="15" s="1"/>
  <c r="O41" i="16" s="1"/>
  <c r="O41" i="17" s="1"/>
  <c r="O41" i="18" s="1"/>
  <c r="O41" i="19" s="1"/>
  <c r="O41" i="20" s="1"/>
  <c r="O41" i="21" s="1"/>
  <c r="O41" i="22" s="1"/>
  <c r="O41" i="23" s="1"/>
  <c r="O43" i="24" s="1"/>
  <c r="O41" i="25" s="1"/>
  <c r="O42" i="26" s="1"/>
  <c r="O41" i="27" s="1"/>
  <c r="O41" i="28" s="1"/>
  <c r="O41" i="29" s="1"/>
  <c r="O41" i="30" s="1"/>
  <c r="O41" i="31" s="1"/>
  <c r="O41" i="32" s="1"/>
  <c r="O41" i="33" s="1"/>
  <c r="O41" i="34" s="1"/>
  <c r="O41" i="35" s="1"/>
  <c r="C53" i="36" s="1"/>
  <c r="P41" i="6"/>
  <c r="P41" i="7" s="1"/>
  <c r="P41" i="8" s="1"/>
  <c r="P41" i="9" s="1"/>
  <c r="P41" i="10" s="1"/>
  <c r="P41" i="11" s="1"/>
  <c r="P41" i="12" s="1"/>
  <c r="P41" i="13" s="1"/>
  <c r="P41" i="14" s="1"/>
  <c r="P41" i="15" s="1"/>
  <c r="P41" i="16" s="1"/>
  <c r="P41" i="17" s="1"/>
  <c r="P41" i="18" s="1"/>
  <c r="P41" i="19" s="1"/>
  <c r="P41" i="20" s="1"/>
  <c r="P41" i="21" s="1"/>
  <c r="Q41" i="6"/>
  <c r="Q41" i="7" s="1"/>
  <c r="Q41" i="8" s="1"/>
  <c r="Q41" i="9" s="1"/>
  <c r="Q41" i="10" s="1"/>
  <c r="Q41" i="11" s="1"/>
  <c r="Q41" i="12" s="1"/>
  <c r="Q41" i="13" s="1"/>
  <c r="Q41" i="14" s="1"/>
  <c r="Q41" i="15" s="1"/>
  <c r="Q41" i="16" s="1"/>
  <c r="Q41" i="17" s="1"/>
  <c r="Q41" i="18" s="1"/>
  <c r="Q41" i="19" s="1"/>
  <c r="Q41" i="20" s="1"/>
  <c r="Q41" i="21" s="1"/>
  <c r="N42" i="6"/>
  <c r="N42" i="7" s="1"/>
  <c r="N42" i="8" s="1"/>
  <c r="N42" i="9" s="1"/>
  <c r="N42" i="10" s="1"/>
  <c r="N42" i="11" s="1"/>
  <c r="N42" i="12" s="1"/>
  <c r="N42" i="13" s="1"/>
  <c r="N42" i="14" s="1"/>
  <c r="N42" i="15" s="1"/>
  <c r="N42" i="16" s="1"/>
  <c r="N42" i="17" s="1"/>
  <c r="N42" i="18" s="1"/>
  <c r="N42" i="19" s="1"/>
  <c r="N42" i="20" s="1"/>
  <c r="N42" i="21" s="1"/>
  <c r="N42" i="22" s="1"/>
  <c r="N42" i="23" s="1"/>
  <c r="N44" i="24" s="1"/>
  <c r="N42" i="25" s="1"/>
  <c r="N43" i="26" s="1"/>
  <c r="N42" i="27" s="1"/>
  <c r="N42" i="28" s="1"/>
  <c r="N42" i="29" s="1"/>
  <c r="N42" i="30" s="1"/>
  <c r="N42" i="31" s="1"/>
  <c r="N42" i="32" s="1"/>
  <c r="N42" i="33" s="1"/>
  <c r="N42" i="34" s="1"/>
  <c r="N42" i="35" s="1"/>
  <c r="B54" i="36" s="1"/>
  <c r="O42" i="6"/>
  <c r="O42" i="7" s="1"/>
  <c r="O42" i="8" s="1"/>
  <c r="O42" i="9" s="1"/>
  <c r="O42" i="10" s="1"/>
  <c r="O42" i="11" s="1"/>
  <c r="O42" i="12" s="1"/>
  <c r="O42" i="13" s="1"/>
  <c r="O42" i="14" s="1"/>
  <c r="O42" i="15" s="1"/>
  <c r="O42" i="16" s="1"/>
  <c r="O42" i="17" s="1"/>
  <c r="O42" i="18" s="1"/>
  <c r="O42" i="19" s="1"/>
  <c r="O42" i="20" s="1"/>
  <c r="O42" i="21" s="1"/>
  <c r="O42" i="22" s="1"/>
  <c r="O42" i="23" s="1"/>
  <c r="O44" i="24" s="1"/>
  <c r="O42" i="25" s="1"/>
  <c r="O43" i="26" s="1"/>
  <c r="O42" i="27" s="1"/>
  <c r="O42" i="28" s="1"/>
  <c r="O42" i="29" s="1"/>
  <c r="O42" i="30" s="1"/>
  <c r="O42" i="31" s="1"/>
  <c r="O42" i="32" s="1"/>
  <c r="O42" i="33" s="1"/>
  <c r="O42" i="34" s="1"/>
  <c r="O42" i="35" s="1"/>
  <c r="C54" i="36" s="1"/>
  <c r="P42" i="6"/>
  <c r="P42" i="7" s="1"/>
  <c r="P42" i="8" s="1"/>
  <c r="P42" i="9" s="1"/>
  <c r="P42" i="10" s="1"/>
  <c r="P42" i="11" s="1"/>
  <c r="P42" i="12" s="1"/>
  <c r="P42" i="13" s="1"/>
  <c r="P42" i="14" s="1"/>
  <c r="P42" i="15" s="1"/>
  <c r="P42" i="16" s="1"/>
  <c r="P42" i="17" s="1"/>
  <c r="P42" i="18" s="1"/>
  <c r="P42" i="19" s="1"/>
  <c r="P42" i="20" s="1"/>
  <c r="P42" i="21" s="1"/>
  <c r="Q42" i="6"/>
  <c r="Q42" i="7" s="1"/>
  <c r="Q42" i="8" s="1"/>
  <c r="Q42" i="9" s="1"/>
  <c r="Q42" i="10" s="1"/>
  <c r="Q42" i="11" s="1"/>
  <c r="Q42" i="12" s="1"/>
  <c r="Q42" i="13" s="1"/>
  <c r="Q42" i="14" s="1"/>
  <c r="Q42" i="15" s="1"/>
  <c r="Q42" i="16" s="1"/>
  <c r="Q42" i="17" s="1"/>
  <c r="Q42" i="18" s="1"/>
  <c r="Q42" i="19" s="1"/>
  <c r="Q42" i="20" s="1"/>
  <c r="Q42" i="21" s="1"/>
  <c r="N43" i="6"/>
  <c r="N43" i="7" s="1"/>
  <c r="N43" i="8" s="1"/>
  <c r="N43" i="9" s="1"/>
  <c r="N43" i="10" s="1"/>
  <c r="N43" i="11" s="1"/>
  <c r="N43" i="12" s="1"/>
  <c r="N43" i="13" s="1"/>
  <c r="N43" i="14" s="1"/>
  <c r="N43" i="15" s="1"/>
  <c r="N43" i="16" s="1"/>
  <c r="N43" i="17" s="1"/>
  <c r="N43" i="18" s="1"/>
  <c r="N43" i="19" s="1"/>
  <c r="N43" i="20" s="1"/>
  <c r="N43" i="21" s="1"/>
  <c r="N43" i="22" s="1"/>
  <c r="N43" i="23" s="1"/>
  <c r="N45" i="24" s="1"/>
  <c r="N43" i="25" s="1"/>
  <c r="N44" i="26" s="1"/>
  <c r="N43" i="27" s="1"/>
  <c r="N43" i="28" s="1"/>
  <c r="N43" i="29" s="1"/>
  <c r="N43" i="30" s="1"/>
  <c r="N43" i="31" s="1"/>
  <c r="N43" i="32" s="1"/>
  <c r="N43" i="33" s="1"/>
  <c r="N43" i="34" s="1"/>
  <c r="N43" i="35" s="1"/>
  <c r="B55" i="36" s="1"/>
  <c r="O43" i="6"/>
  <c r="O43" i="7" s="1"/>
  <c r="O43" i="8" s="1"/>
  <c r="O43" i="9" s="1"/>
  <c r="O43" i="10" s="1"/>
  <c r="O43" i="11" s="1"/>
  <c r="O43" i="12" s="1"/>
  <c r="O43" i="13" s="1"/>
  <c r="O43" i="14" s="1"/>
  <c r="O43" i="15" s="1"/>
  <c r="O43" i="16" s="1"/>
  <c r="O43" i="17" s="1"/>
  <c r="O43" i="18" s="1"/>
  <c r="O43" i="19" s="1"/>
  <c r="O43" i="20" s="1"/>
  <c r="O43" i="21" s="1"/>
  <c r="O43" i="22" s="1"/>
  <c r="O43" i="23" s="1"/>
  <c r="O45" i="24" s="1"/>
  <c r="O43" i="25" s="1"/>
  <c r="O44" i="26" s="1"/>
  <c r="O43" i="27" s="1"/>
  <c r="O43" i="28" s="1"/>
  <c r="O43" i="29" s="1"/>
  <c r="O43" i="30" s="1"/>
  <c r="O43" i="31" s="1"/>
  <c r="O43" i="32" s="1"/>
  <c r="O43" i="33" s="1"/>
  <c r="O43" i="34" s="1"/>
  <c r="O43" i="35" s="1"/>
  <c r="C55" i="36" s="1"/>
  <c r="P43" i="6"/>
  <c r="P43" i="7" s="1"/>
  <c r="P43" i="8" s="1"/>
  <c r="P43" i="9" s="1"/>
  <c r="P43" i="10" s="1"/>
  <c r="P43" i="11" s="1"/>
  <c r="P43" i="12" s="1"/>
  <c r="P43" i="13" s="1"/>
  <c r="P43" i="14" s="1"/>
  <c r="P43" i="15" s="1"/>
  <c r="P43" i="16" s="1"/>
  <c r="P43" i="17" s="1"/>
  <c r="P43" i="18" s="1"/>
  <c r="P43" i="19" s="1"/>
  <c r="P43" i="20" s="1"/>
  <c r="P43" i="21" s="1"/>
  <c r="Q43" i="6"/>
  <c r="Q43" i="7" s="1"/>
  <c r="Q43" i="8" s="1"/>
  <c r="Q43" i="9" s="1"/>
  <c r="Q43" i="10" s="1"/>
  <c r="Q43" i="11" s="1"/>
  <c r="Q43" i="12" s="1"/>
  <c r="Q43" i="13" s="1"/>
  <c r="Q43" i="14" s="1"/>
  <c r="Q43" i="15" s="1"/>
  <c r="Q43" i="16" s="1"/>
  <c r="Q43" i="17" s="1"/>
  <c r="Q43" i="18" s="1"/>
  <c r="Q43" i="19" s="1"/>
  <c r="Q43" i="20" s="1"/>
  <c r="Q43" i="21" s="1"/>
  <c r="N44" i="6"/>
  <c r="N44" i="7" s="1"/>
  <c r="N44" i="8" s="1"/>
  <c r="N44" i="9" s="1"/>
  <c r="N44" i="10" s="1"/>
  <c r="N44" i="11" s="1"/>
  <c r="N44" i="12" s="1"/>
  <c r="N44" i="13" s="1"/>
  <c r="N44" i="14" s="1"/>
  <c r="N44" i="15" s="1"/>
  <c r="N44" i="16" s="1"/>
  <c r="N44" i="17" s="1"/>
  <c r="N44" i="18" s="1"/>
  <c r="N44" i="19" s="1"/>
  <c r="N44" i="20" s="1"/>
  <c r="N44" i="21" s="1"/>
  <c r="N44" i="22" s="1"/>
  <c r="N44" i="23" s="1"/>
  <c r="N46" i="24" s="1"/>
  <c r="N44" i="25" s="1"/>
  <c r="N45" i="26" s="1"/>
  <c r="N44" i="27" s="1"/>
  <c r="N44" i="28" s="1"/>
  <c r="N44" i="29" s="1"/>
  <c r="N44" i="30" s="1"/>
  <c r="N44" i="31" s="1"/>
  <c r="N44" i="32" s="1"/>
  <c r="N44" i="33" s="1"/>
  <c r="N44" i="34" s="1"/>
  <c r="N44" i="35" s="1"/>
  <c r="B56" i="36" s="1"/>
  <c r="O44" i="6"/>
  <c r="O44" i="7" s="1"/>
  <c r="O44" i="8" s="1"/>
  <c r="O44" i="9" s="1"/>
  <c r="O44" i="10" s="1"/>
  <c r="O44" i="11" s="1"/>
  <c r="O44" i="12" s="1"/>
  <c r="O44" i="13" s="1"/>
  <c r="O44" i="14" s="1"/>
  <c r="O44" i="15" s="1"/>
  <c r="O44" i="16" s="1"/>
  <c r="O44" i="17" s="1"/>
  <c r="O44" i="18" s="1"/>
  <c r="O44" i="19" s="1"/>
  <c r="O44" i="20" s="1"/>
  <c r="O44" i="21" s="1"/>
  <c r="O44" i="22" s="1"/>
  <c r="O44" i="23" s="1"/>
  <c r="O46" i="24" s="1"/>
  <c r="O44" i="25" s="1"/>
  <c r="O45" i="26" s="1"/>
  <c r="O44" i="27" s="1"/>
  <c r="O44" i="28" s="1"/>
  <c r="O44" i="29" s="1"/>
  <c r="O44" i="30" s="1"/>
  <c r="O44" i="31" s="1"/>
  <c r="O44" i="32" s="1"/>
  <c r="O44" i="33" s="1"/>
  <c r="O44" i="34" s="1"/>
  <c r="O44" i="35" s="1"/>
  <c r="C56" i="36" s="1"/>
  <c r="P44" i="6"/>
  <c r="P44" i="7" s="1"/>
  <c r="P44" i="8" s="1"/>
  <c r="P44" i="9" s="1"/>
  <c r="P44" i="10" s="1"/>
  <c r="P44" i="11" s="1"/>
  <c r="P44" i="12" s="1"/>
  <c r="P44" i="13" s="1"/>
  <c r="P44" i="14" s="1"/>
  <c r="P44" i="15" s="1"/>
  <c r="P44" i="16" s="1"/>
  <c r="P44" i="17" s="1"/>
  <c r="P44" i="18" s="1"/>
  <c r="P44" i="19" s="1"/>
  <c r="P44" i="20" s="1"/>
  <c r="P44" i="21" s="1"/>
  <c r="Q44" i="6"/>
  <c r="Q44" i="7" s="1"/>
  <c r="Q44" i="8" s="1"/>
  <c r="Q44" i="9" s="1"/>
  <c r="Q44" i="10" s="1"/>
  <c r="Q44" i="11" s="1"/>
  <c r="Q44" i="12" s="1"/>
  <c r="Q44" i="13" s="1"/>
  <c r="Q44" i="14" s="1"/>
  <c r="Q44" i="15" s="1"/>
  <c r="Q44" i="16" s="1"/>
  <c r="Q44" i="17" s="1"/>
  <c r="Q44" i="18" s="1"/>
  <c r="Q44" i="19" s="1"/>
  <c r="Q44" i="20" s="1"/>
  <c r="Q44" i="21" s="1"/>
  <c r="N45" i="6"/>
  <c r="N45" i="7" s="1"/>
  <c r="N45" i="8" s="1"/>
  <c r="N45" i="9" s="1"/>
  <c r="N45" i="10" s="1"/>
  <c r="N45" i="11" s="1"/>
  <c r="N45" i="12" s="1"/>
  <c r="N45" i="13" s="1"/>
  <c r="N45" i="14" s="1"/>
  <c r="N45" i="15" s="1"/>
  <c r="N45" i="16" s="1"/>
  <c r="N45" i="17" s="1"/>
  <c r="N45" i="18" s="1"/>
  <c r="N45" i="19" s="1"/>
  <c r="N45" i="20" s="1"/>
  <c r="N45" i="21" s="1"/>
  <c r="N45" i="22" s="1"/>
  <c r="N45" i="23" s="1"/>
  <c r="N47" i="24" s="1"/>
  <c r="N45" i="25" s="1"/>
  <c r="N46" i="26" s="1"/>
  <c r="N45" i="27" s="1"/>
  <c r="N45" i="28" s="1"/>
  <c r="N45" i="29" s="1"/>
  <c r="N45" i="30" s="1"/>
  <c r="N45" i="31" s="1"/>
  <c r="N45" i="32" s="1"/>
  <c r="N45" i="33" s="1"/>
  <c r="N45" i="34" s="1"/>
  <c r="N45" i="35" s="1"/>
  <c r="B57" i="36" s="1"/>
  <c r="O45" i="6"/>
  <c r="O45" i="7" s="1"/>
  <c r="O45" i="8" s="1"/>
  <c r="O45" i="9" s="1"/>
  <c r="O45" i="10" s="1"/>
  <c r="O45" i="11" s="1"/>
  <c r="O45" i="12" s="1"/>
  <c r="O45" i="13" s="1"/>
  <c r="O45" i="14" s="1"/>
  <c r="O45" i="15" s="1"/>
  <c r="O45" i="16" s="1"/>
  <c r="O45" i="17" s="1"/>
  <c r="O45" i="18" s="1"/>
  <c r="O45" i="19" s="1"/>
  <c r="O45" i="20" s="1"/>
  <c r="O45" i="21" s="1"/>
  <c r="O45" i="22" s="1"/>
  <c r="O45" i="23" s="1"/>
  <c r="O47" i="24" s="1"/>
  <c r="O45" i="25" s="1"/>
  <c r="O46" i="26" s="1"/>
  <c r="O45" i="27" s="1"/>
  <c r="O45" i="28" s="1"/>
  <c r="O45" i="29" s="1"/>
  <c r="O45" i="30" s="1"/>
  <c r="O45" i="31" s="1"/>
  <c r="O45" i="32" s="1"/>
  <c r="O45" i="33" s="1"/>
  <c r="O45" i="34" s="1"/>
  <c r="O45" i="35" s="1"/>
  <c r="C57" i="36" s="1"/>
  <c r="P45" i="6"/>
  <c r="P45" i="7" s="1"/>
  <c r="P45" i="8" s="1"/>
  <c r="P45" i="9" s="1"/>
  <c r="P45" i="10" s="1"/>
  <c r="P45" i="11" s="1"/>
  <c r="P45" i="12" s="1"/>
  <c r="P45" i="13" s="1"/>
  <c r="P45" i="14" s="1"/>
  <c r="P45" i="15" s="1"/>
  <c r="P45" i="16" s="1"/>
  <c r="P45" i="17" s="1"/>
  <c r="P45" i="18" s="1"/>
  <c r="P45" i="19" s="1"/>
  <c r="P45" i="20" s="1"/>
  <c r="P45" i="21" s="1"/>
  <c r="Q45" i="6"/>
  <c r="Q45" i="7" s="1"/>
  <c r="Q45" i="8" s="1"/>
  <c r="Q45" i="9" s="1"/>
  <c r="Q45" i="10" s="1"/>
  <c r="Q45" i="11" s="1"/>
  <c r="Q45" i="12" s="1"/>
  <c r="Q45" i="13" s="1"/>
  <c r="Q45" i="14" s="1"/>
  <c r="Q45" i="15" s="1"/>
  <c r="Q45" i="16" s="1"/>
  <c r="Q45" i="17" s="1"/>
  <c r="Q45" i="18" s="1"/>
  <c r="Q45" i="19" s="1"/>
  <c r="Q45" i="20" s="1"/>
  <c r="Q45" i="21" s="1"/>
  <c r="N46" i="6"/>
  <c r="N46" i="7" s="1"/>
  <c r="N46" i="8" s="1"/>
  <c r="N46" i="9" s="1"/>
  <c r="N46" i="10" s="1"/>
  <c r="N46" i="11" s="1"/>
  <c r="N46" i="12" s="1"/>
  <c r="N46" i="13" s="1"/>
  <c r="N46" i="14" s="1"/>
  <c r="N46" i="15" s="1"/>
  <c r="N46" i="16" s="1"/>
  <c r="N46" i="17" s="1"/>
  <c r="N46" i="18" s="1"/>
  <c r="N46" i="19" s="1"/>
  <c r="N46" i="20" s="1"/>
  <c r="N46" i="21" s="1"/>
  <c r="N46" i="22" s="1"/>
  <c r="N46" i="23" s="1"/>
  <c r="N48" i="24" s="1"/>
  <c r="N46" i="25" s="1"/>
  <c r="N47" i="26" s="1"/>
  <c r="N46" i="27" s="1"/>
  <c r="N46" i="28" s="1"/>
  <c r="N46" i="29" s="1"/>
  <c r="N46" i="30" s="1"/>
  <c r="N46" i="31" s="1"/>
  <c r="N46" i="32" s="1"/>
  <c r="N46" i="33" s="1"/>
  <c r="N46" i="34" s="1"/>
  <c r="N46" i="35" s="1"/>
  <c r="B58" i="36" s="1"/>
  <c r="O46" i="6"/>
  <c r="O46" i="7" s="1"/>
  <c r="O46" i="8" s="1"/>
  <c r="O46" i="9" s="1"/>
  <c r="O46" i="10" s="1"/>
  <c r="O46" i="11" s="1"/>
  <c r="O46" i="12" s="1"/>
  <c r="O46" i="13" s="1"/>
  <c r="O46" i="14" s="1"/>
  <c r="O46" i="15" s="1"/>
  <c r="O46" i="16" s="1"/>
  <c r="O46" i="17" s="1"/>
  <c r="O46" i="18" s="1"/>
  <c r="O46" i="19" s="1"/>
  <c r="O46" i="20" s="1"/>
  <c r="O46" i="21" s="1"/>
  <c r="O46" i="22" s="1"/>
  <c r="O46" i="23" s="1"/>
  <c r="O48" i="24" s="1"/>
  <c r="O46" i="25" s="1"/>
  <c r="O47" i="26" s="1"/>
  <c r="O46" i="27" s="1"/>
  <c r="O46" i="28" s="1"/>
  <c r="O46" i="29" s="1"/>
  <c r="O46" i="30" s="1"/>
  <c r="O46" i="31" s="1"/>
  <c r="O46" i="32" s="1"/>
  <c r="O46" i="33" s="1"/>
  <c r="O46" i="34" s="1"/>
  <c r="O46" i="35" s="1"/>
  <c r="C58" i="36" s="1"/>
  <c r="P46" i="6"/>
  <c r="P46" i="7" s="1"/>
  <c r="P46" i="8" s="1"/>
  <c r="P46" i="9" s="1"/>
  <c r="P46" i="10" s="1"/>
  <c r="P46" i="11" s="1"/>
  <c r="P46" i="12" s="1"/>
  <c r="P46" i="13" s="1"/>
  <c r="P46" i="14" s="1"/>
  <c r="P46" i="15" s="1"/>
  <c r="P46" i="16" s="1"/>
  <c r="P46" i="17" s="1"/>
  <c r="P46" i="18" s="1"/>
  <c r="P46" i="19" s="1"/>
  <c r="P46" i="20" s="1"/>
  <c r="P46" i="21" s="1"/>
  <c r="Q46" i="6"/>
  <c r="Q46" i="7" s="1"/>
  <c r="Q46" i="8" s="1"/>
  <c r="Q46" i="9" s="1"/>
  <c r="Q46" i="10" s="1"/>
  <c r="Q46" i="11" s="1"/>
  <c r="Q46" i="12" s="1"/>
  <c r="Q46" i="13" s="1"/>
  <c r="Q46" i="14" s="1"/>
  <c r="Q46" i="15" s="1"/>
  <c r="Q46" i="16" s="1"/>
  <c r="Q46" i="17" s="1"/>
  <c r="Q46" i="18" s="1"/>
  <c r="Q46" i="19" s="1"/>
  <c r="Q46" i="20" s="1"/>
  <c r="Q46" i="21" s="1"/>
  <c r="N47" i="6"/>
  <c r="N47" i="7" s="1"/>
  <c r="N47" i="8" s="1"/>
  <c r="N47" i="9" s="1"/>
  <c r="N47" i="10" s="1"/>
  <c r="N47" i="11" s="1"/>
  <c r="N47" i="12" s="1"/>
  <c r="N47" i="13" s="1"/>
  <c r="N47" i="14" s="1"/>
  <c r="N47" i="15" s="1"/>
  <c r="N47" i="16" s="1"/>
  <c r="N47" i="17" s="1"/>
  <c r="N47" i="18" s="1"/>
  <c r="N47" i="19" s="1"/>
  <c r="N47" i="20" s="1"/>
  <c r="N47" i="21" s="1"/>
  <c r="N47" i="22" s="1"/>
  <c r="N47" i="23" s="1"/>
  <c r="N49" i="24" s="1"/>
  <c r="N47" i="25" s="1"/>
  <c r="N48" i="26" s="1"/>
  <c r="N47" i="27" s="1"/>
  <c r="N47" i="28" s="1"/>
  <c r="N47" i="29" s="1"/>
  <c r="N47" i="30" s="1"/>
  <c r="N47" i="31" s="1"/>
  <c r="N47" i="32" s="1"/>
  <c r="N47" i="33" s="1"/>
  <c r="N47" i="34" s="1"/>
  <c r="N47" i="35" s="1"/>
  <c r="B59" i="36" s="1"/>
  <c r="O47" i="6"/>
  <c r="O47" i="7" s="1"/>
  <c r="O47" i="8" s="1"/>
  <c r="O47" i="9" s="1"/>
  <c r="O47" i="10" s="1"/>
  <c r="O47" i="11" s="1"/>
  <c r="O47" i="12" s="1"/>
  <c r="O47" i="13" s="1"/>
  <c r="O47" i="14" s="1"/>
  <c r="O47" i="15" s="1"/>
  <c r="O47" i="16" s="1"/>
  <c r="O47" i="17" s="1"/>
  <c r="O47" i="18" s="1"/>
  <c r="O47" i="19" s="1"/>
  <c r="O47" i="20" s="1"/>
  <c r="O47" i="21" s="1"/>
  <c r="O47" i="22" s="1"/>
  <c r="O47" i="23" s="1"/>
  <c r="O49" i="24" s="1"/>
  <c r="O47" i="25" s="1"/>
  <c r="O48" i="26" s="1"/>
  <c r="O47" i="27" s="1"/>
  <c r="O47" i="28" s="1"/>
  <c r="O47" i="29" s="1"/>
  <c r="O47" i="30" s="1"/>
  <c r="O47" i="31" s="1"/>
  <c r="O47" i="32" s="1"/>
  <c r="O47" i="33" s="1"/>
  <c r="O47" i="34" s="1"/>
  <c r="O47" i="35" s="1"/>
  <c r="C59" i="36" s="1"/>
  <c r="P47" i="6"/>
  <c r="P47" i="7" s="1"/>
  <c r="P47" i="8" s="1"/>
  <c r="P47" i="9" s="1"/>
  <c r="P47" i="10" s="1"/>
  <c r="P47" i="11" s="1"/>
  <c r="P47" i="12" s="1"/>
  <c r="P47" i="13" s="1"/>
  <c r="P47" i="14" s="1"/>
  <c r="P47" i="15" s="1"/>
  <c r="P47" i="16" s="1"/>
  <c r="P47" i="17" s="1"/>
  <c r="P47" i="18" s="1"/>
  <c r="P47" i="19" s="1"/>
  <c r="P47" i="20" s="1"/>
  <c r="P47" i="21" s="1"/>
  <c r="Q47" i="6"/>
  <c r="Q47" i="7" s="1"/>
  <c r="Q47" i="8" s="1"/>
  <c r="Q47" i="9" s="1"/>
  <c r="Q47" i="10" s="1"/>
  <c r="Q47" i="11" s="1"/>
  <c r="Q47" i="12" s="1"/>
  <c r="Q47" i="13" s="1"/>
  <c r="Q47" i="14" s="1"/>
  <c r="Q47" i="15" s="1"/>
  <c r="Q47" i="16" s="1"/>
  <c r="Q47" i="17" s="1"/>
  <c r="Q47" i="18" s="1"/>
  <c r="Q47" i="19" s="1"/>
  <c r="Q47" i="20" s="1"/>
  <c r="Q47" i="21" s="1"/>
  <c r="N48" i="6"/>
  <c r="N48" i="7" s="1"/>
  <c r="N48" i="8" s="1"/>
  <c r="N48" i="9" s="1"/>
  <c r="N48" i="10" s="1"/>
  <c r="N48" i="11" s="1"/>
  <c r="N48" i="12" s="1"/>
  <c r="N48" i="13" s="1"/>
  <c r="N48" i="14" s="1"/>
  <c r="N48" i="15" s="1"/>
  <c r="N48" i="16" s="1"/>
  <c r="N48" i="17" s="1"/>
  <c r="N48" i="18" s="1"/>
  <c r="N48" i="19" s="1"/>
  <c r="N48" i="20" s="1"/>
  <c r="N48" i="21" s="1"/>
  <c r="N48" i="22" s="1"/>
  <c r="N48" i="23" s="1"/>
  <c r="N50" i="24" s="1"/>
  <c r="N48" i="25" s="1"/>
  <c r="N49" i="26" s="1"/>
  <c r="N48" i="27" s="1"/>
  <c r="N48" i="28" s="1"/>
  <c r="N48" i="29" s="1"/>
  <c r="N48" i="30" s="1"/>
  <c r="N48" i="31" s="1"/>
  <c r="N48" i="32" s="1"/>
  <c r="N48" i="33" s="1"/>
  <c r="N48" i="34" s="1"/>
  <c r="N48" i="35" s="1"/>
  <c r="B60" i="36" s="1"/>
  <c r="O48" i="6"/>
  <c r="O48" i="7" s="1"/>
  <c r="O48" i="8" s="1"/>
  <c r="O48" i="9" s="1"/>
  <c r="O48" i="10" s="1"/>
  <c r="O48" i="11" s="1"/>
  <c r="O48" i="12" s="1"/>
  <c r="O48" i="13" s="1"/>
  <c r="O48" i="14" s="1"/>
  <c r="O48" i="15" s="1"/>
  <c r="O48" i="16" s="1"/>
  <c r="O48" i="17" s="1"/>
  <c r="O48" i="18" s="1"/>
  <c r="O48" i="19" s="1"/>
  <c r="O48" i="20" s="1"/>
  <c r="O48" i="21" s="1"/>
  <c r="O48" i="22" s="1"/>
  <c r="O48" i="23" s="1"/>
  <c r="O50" i="24" s="1"/>
  <c r="O48" i="25" s="1"/>
  <c r="O49" i="26" s="1"/>
  <c r="O48" i="27" s="1"/>
  <c r="O48" i="28" s="1"/>
  <c r="O48" i="29" s="1"/>
  <c r="O48" i="30" s="1"/>
  <c r="O48" i="31" s="1"/>
  <c r="O48" i="32" s="1"/>
  <c r="O48" i="33" s="1"/>
  <c r="O48" i="34" s="1"/>
  <c r="O48" i="35" s="1"/>
  <c r="C60" i="36" s="1"/>
  <c r="P48" i="6"/>
  <c r="P48" i="7" s="1"/>
  <c r="P48" i="8" s="1"/>
  <c r="P48" i="9" s="1"/>
  <c r="P48" i="10" s="1"/>
  <c r="P48" i="11" s="1"/>
  <c r="P48" i="12" s="1"/>
  <c r="P48" i="13" s="1"/>
  <c r="P48" i="14" s="1"/>
  <c r="P48" i="15" s="1"/>
  <c r="P48" i="16" s="1"/>
  <c r="P48" i="17" s="1"/>
  <c r="P48" i="18" s="1"/>
  <c r="P48" i="19" s="1"/>
  <c r="P48" i="20" s="1"/>
  <c r="P48" i="21" s="1"/>
  <c r="Q48" i="6"/>
  <c r="Q48" i="7" s="1"/>
  <c r="Q48" i="8" s="1"/>
  <c r="Q48" i="9" s="1"/>
  <c r="Q48" i="10" s="1"/>
  <c r="Q48" i="11" s="1"/>
  <c r="Q48" i="12" s="1"/>
  <c r="Q48" i="13" s="1"/>
  <c r="Q48" i="14" s="1"/>
  <c r="Q48" i="15" s="1"/>
  <c r="Q48" i="16" s="1"/>
  <c r="Q48" i="17" s="1"/>
  <c r="Q48" i="18" s="1"/>
  <c r="Q48" i="19" s="1"/>
  <c r="Q48" i="20" s="1"/>
  <c r="Q48" i="21" s="1"/>
  <c r="N49" i="6"/>
  <c r="N49" i="7" s="1"/>
  <c r="N49" i="8" s="1"/>
  <c r="N49" i="9" s="1"/>
  <c r="N49" i="10" s="1"/>
  <c r="N49" i="11" s="1"/>
  <c r="N49" i="12" s="1"/>
  <c r="N49" i="13" s="1"/>
  <c r="N49" i="14" s="1"/>
  <c r="N49" i="15" s="1"/>
  <c r="N49" i="16" s="1"/>
  <c r="N49" i="17" s="1"/>
  <c r="N49" i="18" s="1"/>
  <c r="N49" i="19" s="1"/>
  <c r="N49" i="20" s="1"/>
  <c r="N49" i="21" s="1"/>
  <c r="N49" i="22" s="1"/>
  <c r="N49" i="23" s="1"/>
  <c r="N51" i="24" s="1"/>
  <c r="N49" i="25" s="1"/>
  <c r="N50" i="26" s="1"/>
  <c r="N49" i="27" s="1"/>
  <c r="N49" i="28" s="1"/>
  <c r="N49" i="29" s="1"/>
  <c r="N49" i="30" s="1"/>
  <c r="N49" i="31" s="1"/>
  <c r="N49" i="32" s="1"/>
  <c r="N49" i="33" s="1"/>
  <c r="N49" i="34" s="1"/>
  <c r="N49" i="35" s="1"/>
  <c r="B61" i="36" s="1"/>
  <c r="O49" i="6"/>
  <c r="O49" i="7" s="1"/>
  <c r="O49" i="8" s="1"/>
  <c r="O49" i="9" s="1"/>
  <c r="O49" i="10" s="1"/>
  <c r="O49" i="11" s="1"/>
  <c r="O49" i="12" s="1"/>
  <c r="O49" i="13" s="1"/>
  <c r="O49" i="14" s="1"/>
  <c r="O49" i="15" s="1"/>
  <c r="O49" i="16" s="1"/>
  <c r="O49" i="17" s="1"/>
  <c r="O49" i="18" s="1"/>
  <c r="O49" i="19" s="1"/>
  <c r="O49" i="20" s="1"/>
  <c r="O49" i="21" s="1"/>
  <c r="O49" i="22" s="1"/>
  <c r="O49" i="23" s="1"/>
  <c r="O51" i="24" s="1"/>
  <c r="O49" i="25" s="1"/>
  <c r="O50" i="26" s="1"/>
  <c r="O49" i="27" s="1"/>
  <c r="O49" i="28" s="1"/>
  <c r="O49" i="29" s="1"/>
  <c r="O49" i="30" s="1"/>
  <c r="O49" i="31" s="1"/>
  <c r="O49" i="32" s="1"/>
  <c r="O49" i="33" s="1"/>
  <c r="O49" i="34" s="1"/>
  <c r="O49" i="35" s="1"/>
  <c r="C61" i="36" s="1"/>
  <c r="P49" i="6"/>
  <c r="P49" i="7" s="1"/>
  <c r="P49" i="8" s="1"/>
  <c r="P49" i="9" s="1"/>
  <c r="P49" i="10" s="1"/>
  <c r="P49" i="11" s="1"/>
  <c r="P49" i="12" s="1"/>
  <c r="P49" i="13" s="1"/>
  <c r="P49" i="14" s="1"/>
  <c r="P49" i="15" s="1"/>
  <c r="P49" i="16" s="1"/>
  <c r="P49" i="17" s="1"/>
  <c r="P49" i="18" s="1"/>
  <c r="P49" i="19" s="1"/>
  <c r="P49" i="20" s="1"/>
  <c r="P49" i="21" s="1"/>
  <c r="Q49" i="6"/>
  <c r="Q49" i="7" s="1"/>
  <c r="Q49" i="8" s="1"/>
  <c r="Q49" i="9" s="1"/>
  <c r="Q49" i="10" s="1"/>
  <c r="Q49" i="11" s="1"/>
  <c r="Q49" i="12" s="1"/>
  <c r="Q49" i="13" s="1"/>
  <c r="Q49" i="14" s="1"/>
  <c r="Q49" i="15" s="1"/>
  <c r="Q49" i="16" s="1"/>
  <c r="Q49" i="17" s="1"/>
  <c r="Q49" i="18" s="1"/>
  <c r="Q49" i="19" s="1"/>
  <c r="Q49" i="20" s="1"/>
  <c r="Q49" i="21" s="1"/>
  <c r="H31" i="6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9" s="1"/>
  <c r="H31" i="20" s="1"/>
  <c r="H31" i="21" s="1"/>
  <c r="H31" i="22" s="1"/>
  <c r="H31" i="23" s="1"/>
  <c r="H33" i="24" s="1"/>
  <c r="H31" i="25" s="1"/>
  <c r="H32" i="26" s="1"/>
  <c r="H31" i="27" s="1"/>
  <c r="H31" i="28" s="1"/>
  <c r="H31" i="29" s="1"/>
  <c r="H31" i="30" s="1"/>
  <c r="H31" i="31" s="1"/>
  <c r="H31" i="32" s="1"/>
  <c r="H31" i="33" s="1"/>
  <c r="H31" i="34" s="1"/>
  <c r="H31" i="35" s="1"/>
  <c r="B23" i="36" s="1"/>
  <c r="I31" i="6"/>
  <c r="I31" i="7" s="1"/>
  <c r="I31" i="8" s="1"/>
  <c r="I31" i="9" s="1"/>
  <c r="I31" i="10" s="1"/>
  <c r="I31" i="11" s="1"/>
  <c r="I31" i="12" s="1"/>
  <c r="I31" i="13" s="1"/>
  <c r="I31" i="14" s="1"/>
  <c r="I31" i="15" s="1"/>
  <c r="I31" i="16" s="1"/>
  <c r="I31" i="17" s="1"/>
  <c r="I31" i="19" s="1"/>
  <c r="I31" i="20" s="1"/>
  <c r="I31" i="21" s="1"/>
  <c r="I31" i="22" s="1"/>
  <c r="I31" i="23" s="1"/>
  <c r="I33" i="24" s="1"/>
  <c r="I31" i="25" s="1"/>
  <c r="I32" i="26" s="1"/>
  <c r="I31" i="27" s="1"/>
  <c r="I31" i="28" s="1"/>
  <c r="I31" i="29" s="1"/>
  <c r="I31" i="30" s="1"/>
  <c r="I31" i="31" s="1"/>
  <c r="I31" i="32" s="1"/>
  <c r="I31" i="33" s="1"/>
  <c r="I31" i="34" s="1"/>
  <c r="I31" i="35" s="1"/>
  <c r="C23" i="36" s="1"/>
  <c r="J31" i="6"/>
  <c r="J31" i="7" s="1"/>
  <c r="J31" i="8" s="1"/>
  <c r="J31" i="9" s="1"/>
  <c r="J31" i="10" s="1"/>
  <c r="J31" i="11" s="1"/>
  <c r="J31" i="12" s="1"/>
  <c r="J31" i="13" s="1"/>
  <c r="J31" i="14" s="1"/>
  <c r="J31" i="15" s="1"/>
  <c r="J31" i="16" s="1"/>
  <c r="J31" i="17" s="1"/>
  <c r="J31" i="19" s="1"/>
  <c r="J31" i="20" s="1"/>
  <c r="J31" i="21" s="1"/>
  <c r="J31" i="22" s="1"/>
  <c r="J31" i="23" s="1"/>
  <c r="J33" i="24" s="1"/>
  <c r="J31" i="25" s="1"/>
  <c r="J32" i="26" s="1"/>
  <c r="J31" i="27" s="1"/>
  <c r="J31" i="28" s="1"/>
  <c r="J31" i="29" s="1"/>
  <c r="J31" i="30" s="1"/>
  <c r="J31" i="31" s="1"/>
  <c r="J31" i="32" s="1"/>
  <c r="J31" i="33" s="1"/>
  <c r="J31" i="34" s="1"/>
  <c r="J31" i="35" s="1"/>
  <c r="D23" i="36" s="1"/>
  <c r="K31" i="6"/>
  <c r="K31" i="7" s="1"/>
  <c r="K31" i="8" s="1"/>
  <c r="K31" i="9" s="1"/>
  <c r="K31" i="10" s="1"/>
  <c r="K31" i="11" s="1"/>
  <c r="K31" i="12" s="1"/>
  <c r="K31" i="13" s="1"/>
  <c r="K31" i="14" s="1"/>
  <c r="K31" i="15" s="1"/>
  <c r="K31" i="16" s="1"/>
  <c r="K31" i="17" s="1"/>
  <c r="K31" i="19" s="1"/>
  <c r="K31" i="20" s="1"/>
  <c r="K31" i="21" s="1"/>
  <c r="K31" i="22" s="1"/>
  <c r="K31" i="23" s="1"/>
  <c r="K33" i="24" s="1"/>
  <c r="K31" i="25" s="1"/>
  <c r="K32" i="26" s="1"/>
  <c r="K31" i="27" s="1"/>
  <c r="K31" i="28" s="1"/>
  <c r="K31" i="29" s="1"/>
  <c r="K31" i="30" s="1"/>
  <c r="K31" i="31" s="1"/>
  <c r="K31" i="32" s="1"/>
  <c r="K31" i="33" s="1"/>
  <c r="K31" i="34" s="1"/>
  <c r="K31" i="35" s="1"/>
  <c r="E23" i="36" s="1"/>
  <c r="H32" i="6"/>
  <c r="H32" i="7" s="1"/>
  <c r="H32" i="8" s="1"/>
  <c r="H32" i="9" s="1"/>
  <c r="H32" i="10" s="1"/>
  <c r="H32" i="11" s="1"/>
  <c r="H32" i="12" s="1"/>
  <c r="H32" i="13" s="1"/>
  <c r="H32" i="14" s="1"/>
  <c r="H32" i="15" s="1"/>
  <c r="H32" i="16" s="1"/>
  <c r="H32" i="17" s="1"/>
  <c r="H32" i="19" s="1"/>
  <c r="H32" i="20" s="1"/>
  <c r="H32" i="21" s="1"/>
  <c r="H32" i="22" s="1"/>
  <c r="H32" i="23" s="1"/>
  <c r="H34" i="24" s="1"/>
  <c r="H32" i="25" s="1"/>
  <c r="H33" i="26" s="1"/>
  <c r="H32" i="27" s="1"/>
  <c r="H32" i="28" s="1"/>
  <c r="H32" i="29" s="1"/>
  <c r="H32" i="30" s="1"/>
  <c r="H32" i="31" s="1"/>
  <c r="H32" i="32" s="1"/>
  <c r="H32" i="33" s="1"/>
  <c r="H32" i="34" s="1"/>
  <c r="H32" i="35" s="1"/>
  <c r="B24" i="36" s="1"/>
  <c r="I32" i="6"/>
  <c r="I32" i="7" s="1"/>
  <c r="I32" i="8" s="1"/>
  <c r="I32" i="9" s="1"/>
  <c r="I32" i="10" s="1"/>
  <c r="I32" i="11" s="1"/>
  <c r="I32" i="12" s="1"/>
  <c r="I32" i="13" s="1"/>
  <c r="I32" i="14" s="1"/>
  <c r="I32" i="15" s="1"/>
  <c r="I32" i="16" s="1"/>
  <c r="I32" i="17" s="1"/>
  <c r="I32" i="19" s="1"/>
  <c r="I32" i="20" s="1"/>
  <c r="I32" i="21" s="1"/>
  <c r="I32" i="22" s="1"/>
  <c r="I32" i="23" s="1"/>
  <c r="I34" i="24" s="1"/>
  <c r="I32" i="25" s="1"/>
  <c r="I33" i="26" s="1"/>
  <c r="I32" i="27" s="1"/>
  <c r="I32" i="28" s="1"/>
  <c r="I32" i="29" s="1"/>
  <c r="I32" i="30" s="1"/>
  <c r="I32" i="31" s="1"/>
  <c r="I32" i="32" s="1"/>
  <c r="I32" i="33" s="1"/>
  <c r="I32" i="34" s="1"/>
  <c r="I32" i="35" s="1"/>
  <c r="C24" i="36" s="1"/>
  <c r="J32" i="6"/>
  <c r="J32" i="7" s="1"/>
  <c r="J32" i="8" s="1"/>
  <c r="J32" i="9" s="1"/>
  <c r="J32" i="10" s="1"/>
  <c r="J32" i="11" s="1"/>
  <c r="J32" i="12" s="1"/>
  <c r="J32" i="13" s="1"/>
  <c r="J32" i="14" s="1"/>
  <c r="J32" i="15" s="1"/>
  <c r="J32" i="16" s="1"/>
  <c r="J32" i="17" s="1"/>
  <c r="J32" i="20" s="1"/>
  <c r="J32" i="21" s="1"/>
  <c r="J32" i="22" s="1"/>
  <c r="J32" i="23" s="1"/>
  <c r="J33" i="26" s="1"/>
  <c r="J32" i="27" s="1"/>
  <c r="J32" i="28" s="1"/>
  <c r="J32" i="29" s="1"/>
  <c r="J32" i="30" s="1"/>
  <c r="J32" i="31" s="1"/>
  <c r="J32" i="32" s="1"/>
  <c r="J32" i="33" s="1"/>
  <c r="J32" i="34" s="1"/>
  <c r="J32" i="35" s="1"/>
  <c r="D24" i="36" s="1"/>
  <c r="K32" i="6"/>
  <c r="K32" i="7" s="1"/>
  <c r="K32" i="8" s="1"/>
  <c r="K32" i="9" s="1"/>
  <c r="K32" i="10" s="1"/>
  <c r="K32" i="11" s="1"/>
  <c r="K32" i="12" s="1"/>
  <c r="K32" i="13" s="1"/>
  <c r="K32" i="14" s="1"/>
  <c r="K32" i="15" s="1"/>
  <c r="K32" i="16" s="1"/>
  <c r="K32" i="17" s="1"/>
  <c r="K32" i="20" s="1"/>
  <c r="K32" i="21" s="1"/>
  <c r="K32" i="22" s="1"/>
  <c r="K32" i="23" s="1"/>
  <c r="K33" i="26" s="1"/>
  <c r="K32" i="27" s="1"/>
  <c r="K32" i="28" s="1"/>
  <c r="K32" i="29" s="1"/>
  <c r="K32" i="30" s="1"/>
  <c r="K32" i="31" s="1"/>
  <c r="K32" i="32" s="1"/>
  <c r="K32" i="33" s="1"/>
  <c r="K32" i="34" s="1"/>
  <c r="K32" i="35" s="1"/>
  <c r="E24" i="36" s="1"/>
  <c r="H33" i="6"/>
  <c r="H33" i="7" s="1"/>
  <c r="H33" i="8" s="1"/>
  <c r="H33" i="9" s="1"/>
  <c r="H33" i="10" s="1"/>
  <c r="H33" i="11" s="1"/>
  <c r="H33" i="12" s="1"/>
  <c r="H33" i="13" s="1"/>
  <c r="H33" i="14" s="1"/>
  <c r="H33" i="15" s="1"/>
  <c r="H33" i="16" s="1"/>
  <c r="H33" i="17" s="1"/>
  <c r="H33" i="18" s="1"/>
  <c r="H33" i="19" s="1"/>
  <c r="H33" i="21" s="1"/>
  <c r="H33" i="22" s="1"/>
  <c r="H33" i="23" s="1"/>
  <c r="H35" i="24" s="1"/>
  <c r="H33" i="25" s="1"/>
  <c r="H34" i="26" s="1"/>
  <c r="H33" i="27" s="1"/>
  <c r="H33" i="28" s="1"/>
  <c r="H33" i="29" s="1"/>
  <c r="H33" i="30" s="1"/>
  <c r="H33" i="31" s="1"/>
  <c r="H33" i="32" s="1"/>
  <c r="H33" i="33" s="1"/>
  <c r="H33" i="34" s="1"/>
  <c r="H33" i="35" s="1"/>
  <c r="B25" i="36" s="1"/>
  <c r="I33" i="6"/>
  <c r="I33" i="7" s="1"/>
  <c r="I33" i="8" s="1"/>
  <c r="I33" i="9" s="1"/>
  <c r="I33" i="10" s="1"/>
  <c r="I33" i="11" s="1"/>
  <c r="I33" i="12" s="1"/>
  <c r="I33" i="13" s="1"/>
  <c r="I33" i="14" s="1"/>
  <c r="I33" i="15" s="1"/>
  <c r="I33" i="16" s="1"/>
  <c r="I33" i="17" s="1"/>
  <c r="I33" i="18" s="1"/>
  <c r="I33" i="19" s="1"/>
  <c r="I33" i="21" s="1"/>
  <c r="I33" i="22" s="1"/>
  <c r="I33" i="23" s="1"/>
  <c r="I35" i="24" s="1"/>
  <c r="I33" i="25" s="1"/>
  <c r="I34" i="26" s="1"/>
  <c r="I33" i="27" s="1"/>
  <c r="I33" i="28" s="1"/>
  <c r="I33" i="29" s="1"/>
  <c r="I33" i="30" s="1"/>
  <c r="I33" i="31" s="1"/>
  <c r="I33" i="32" s="1"/>
  <c r="I33" i="33" s="1"/>
  <c r="I33" i="34" s="1"/>
  <c r="I33" i="35" s="1"/>
  <c r="C25" i="36" s="1"/>
  <c r="J33" i="6"/>
  <c r="J33" i="7" s="1"/>
  <c r="J33" i="8" s="1"/>
  <c r="J33" i="9" s="1"/>
  <c r="J33" i="10" s="1"/>
  <c r="J33" i="11" s="1"/>
  <c r="J33" i="12" s="1"/>
  <c r="J33" i="13" s="1"/>
  <c r="J33" i="14" s="1"/>
  <c r="J33" i="15" s="1"/>
  <c r="J33" i="16" s="1"/>
  <c r="J33" i="17" s="1"/>
  <c r="J33" i="18" s="1"/>
  <c r="J33" i="19" s="1"/>
  <c r="J33" i="21" s="1"/>
  <c r="J33" i="22" s="1"/>
  <c r="J33" i="23" s="1"/>
  <c r="J35" i="24" s="1"/>
  <c r="J33" i="25" s="1"/>
  <c r="J34" i="26" s="1"/>
  <c r="J33" i="27" s="1"/>
  <c r="J33" i="28" s="1"/>
  <c r="J33" i="29" s="1"/>
  <c r="J33" i="30" s="1"/>
  <c r="J33" i="31" s="1"/>
  <c r="J33" i="32" s="1"/>
  <c r="J33" i="33" s="1"/>
  <c r="J33" i="34" s="1"/>
  <c r="J33" i="35" s="1"/>
  <c r="D25" i="36" s="1"/>
  <c r="K33" i="6"/>
  <c r="K33" i="7" s="1"/>
  <c r="K33" i="8" s="1"/>
  <c r="K33" i="9" s="1"/>
  <c r="K33" i="10" s="1"/>
  <c r="K33" i="11" s="1"/>
  <c r="K33" i="12" s="1"/>
  <c r="K33" i="13" s="1"/>
  <c r="K33" i="14" s="1"/>
  <c r="K33" i="15" s="1"/>
  <c r="K33" i="16" s="1"/>
  <c r="K33" i="17" s="1"/>
  <c r="K33" i="18" s="1"/>
  <c r="K33" i="19" s="1"/>
  <c r="K33" i="21" s="1"/>
  <c r="K33" i="22" s="1"/>
  <c r="K33" i="23" s="1"/>
  <c r="K35" i="24" s="1"/>
  <c r="K33" i="25" s="1"/>
  <c r="K34" i="26" s="1"/>
  <c r="K33" i="27" s="1"/>
  <c r="K33" i="28" s="1"/>
  <c r="K33" i="29" s="1"/>
  <c r="K33" i="30" s="1"/>
  <c r="K33" i="31" s="1"/>
  <c r="K33" i="32" s="1"/>
  <c r="K33" i="33" s="1"/>
  <c r="K33" i="34" s="1"/>
  <c r="K33" i="35" s="1"/>
  <c r="E25" i="36" s="1"/>
  <c r="H34" i="6"/>
  <c r="H34" i="7" s="1"/>
  <c r="H34" i="8" s="1"/>
  <c r="H34" i="9" s="1"/>
  <c r="H34" i="10" s="1"/>
  <c r="H34" i="11" s="1"/>
  <c r="H34" i="12" s="1"/>
  <c r="H34" i="13" s="1"/>
  <c r="H34" i="14" s="1"/>
  <c r="H34" i="15" s="1"/>
  <c r="H34" i="16" s="1"/>
  <c r="H34" i="17" s="1"/>
  <c r="H34" i="18" s="1"/>
  <c r="H34" i="19" s="1"/>
  <c r="H34" i="20" s="1"/>
  <c r="H34" i="22" s="1"/>
  <c r="H34" i="23" s="1"/>
  <c r="H36" i="24" s="1"/>
  <c r="H34" i="25" s="1"/>
  <c r="H35" i="26" s="1"/>
  <c r="H34" i="27" s="1"/>
  <c r="H34" i="28" s="1"/>
  <c r="H34" i="29" s="1"/>
  <c r="H34" i="30" s="1"/>
  <c r="H34" i="31" s="1"/>
  <c r="H34" i="32" s="1"/>
  <c r="H34" i="33" s="1"/>
  <c r="H34" i="34" s="1"/>
  <c r="H34" i="35" s="1"/>
  <c r="B26" i="36" s="1"/>
  <c r="I34" i="6"/>
  <c r="I34" i="7" s="1"/>
  <c r="I34" i="8" s="1"/>
  <c r="I34" i="9" s="1"/>
  <c r="I34" i="10" s="1"/>
  <c r="I34" i="11" s="1"/>
  <c r="I34" i="12" s="1"/>
  <c r="I34" i="13" s="1"/>
  <c r="I34" i="14" s="1"/>
  <c r="I34" i="15" s="1"/>
  <c r="I34" i="16" s="1"/>
  <c r="I34" i="17" s="1"/>
  <c r="I34" i="18" s="1"/>
  <c r="I34" i="19" s="1"/>
  <c r="I34" i="20" s="1"/>
  <c r="I34" i="22" s="1"/>
  <c r="I34" i="23" s="1"/>
  <c r="I36" i="24" s="1"/>
  <c r="I34" i="25" s="1"/>
  <c r="I35" i="26" s="1"/>
  <c r="I34" i="27" s="1"/>
  <c r="I34" i="28" s="1"/>
  <c r="I34" i="29" s="1"/>
  <c r="I34" i="30" s="1"/>
  <c r="I34" i="31" s="1"/>
  <c r="I34" i="32" s="1"/>
  <c r="I34" i="33" s="1"/>
  <c r="I34" i="34" s="1"/>
  <c r="I34" i="35" s="1"/>
  <c r="C26" i="36" s="1"/>
  <c r="J34" i="6"/>
  <c r="J34" i="7" s="1"/>
  <c r="J34" i="8" s="1"/>
  <c r="J34" i="9" s="1"/>
  <c r="J34" i="10" s="1"/>
  <c r="J34" i="11" s="1"/>
  <c r="J34" i="12" s="1"/>
  <c r="J34" i="13" s="1"/>
  <c r="J34" i="14" s="1"/>
  <c r="J34" i="15" s="1"/>
  <c r="J34" i="16" s="1"/>
  <c r="J34" i="17" s="1"/>
  <c r="J34" i="18" s="1"/>
  <c r="J34" i="19" s="1"/>
  <c r="J34" i="20" s="1"/>
  <c r="J34" i="22" s="1"/>
  <c r="J34" i="23" s="1"/>
  <c r="J36" i="24" s="1"/>
  <c r="J34" i="25" s="1"/>
  <c r="J35" i="26" s="1"/>
  <c r="J34" i="27" s="1"/>
  <c r="J34" i="28" s="1"/>
  <c r="J34" i="29" s="1"/>
  <c r="J34" i="30" s="1"/>
  <c r="J34" i="31" s="1"/>
  <c r="J34" i="32" s="1"/>
  <c r="J34" i="33" s="1"/>
  <c r="J34" i="34" s="1"/>
  <c r="J34" i="35" s="1"/>
  <c r="D26" i="36" s="1"/>
  <c r="K34" i="6"/>
  <c r="K34" i="7" s="1"/>
  <c r="K34" i="8" s="1"/>
  <c r="K34" i="9" s="1"/>
  <c r="K34" i="10" s="1"/>
  <c r="K34" i="11" s="1"/>
  <c r="K34" i="12" s="1"/>
  <c r="K34" i="13" s="1"/>
  <c r="K34" i="14" s="1"/>
  <c r="K34" i="15" s="1"/>
  <c r="K34" i="16" s="1"/>
  <c r="K34" i="17" s="1"/>
  <c r="K34" i="18" s="1"/>
  <c r="K34" i="19" s="1"/>
  <c r="K34" i="20" s="1"/>
  <c r="K34" i="22" s="1"/>
  <c r="K34" i="23" s="1"/>
  <c r="K36" i="24" s="1"/>
  <c r="K34" i="25" s="1"/>
  <c r="K35" i="26" s="1"/>
  <c r="K34" i="27" s="1"/>
  <c r="K34" i="28" s="1"/>
  <c r="K34" i="29" s="1"/>
  <c r="K34" i="30" s="1"/>
  <c r="K34" i="31" s="1"/>
  <c r="K34" i="32" s="1"/>
  <c r="K34" i="33" s="1"/>
  <c r="K34" i="34" s="1"/>
  <c r="K34" i="35" s="1"/>
  <c r="E26" i="36" s="1"/>
  <c r="H35" i="6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3" s="1"/>
  <c r="H37" i="24" s="1"/>
  <c r="H35" i="25" s="1"/>
  <c r="H36" i="26" s="1"/>
  <c r="H35" i="27" s="1"/>
  <c r="H35" i="28" s="1"/>
  <c r="H35" i="29" s="1"/>
  <c r="H35" i="30" s="1"/>
  <c r="H35" i="31" s="1"/>
  <c r="H35" i="32" s="1"/>
  <c r="H35" i="33" s="1"/>
  <c r="H35" i="34" s="1"/>
  <c r="H35" i="35" s="1"/>
  <c r="B27" i="36" s="1"/>
  <c r="I35" i="6"/>
  <c r="I35" i="7" s="1"/>
  <c r="I35" i="8" s="1"/>
  <c r="I35" i="9" s="1"/>
  <c r="I35" i="10" s="1"/>
  <c r="I35" i="11" s="1"/>
  <c r="I35" i="12" s="1"/>
  <c r="I35" i="13" s="1"/>
  <c r="I35" i="14" s="1"/>
  <c r="I35" i="15" s="1"/>
  <c r="I35" i="16" s="1"/>
  <c r="I35" i="17" s="1"/>
  <c r="I35" i="18" s="1"/>
  <c r="I35" i="19" s="1"/>
  <c r="I35" i="20" s="1"/>
  <c r="I35" i="21" s="1"/>
  <c r="I35" i="23" s="1"/>
  <c r="I37" i="24" s="1"/>
  <c r="I35" i="25" s="1"/>
  <c r="I36" i="26" s="1"/>
  <c r="I35" i="27" s="1"/>
  <c r="I35" i="28" s="1"/>
  <c r="I35" i="29" s="1"/>
  <c r="I35" i="30" s="1"/>
  <c r="I35" i="31" s="1"/>
  <c r="I35" i="32" s="1"/>
  <c r="I35" i="33" s="1"/>
  <c r="I35" i="34" s="1"/>
  <c r="I35" i="35" s="1"/>
  <c r="C27" i="36" s="1"/>
  <c r="J35" i="6"/>
  <c r="J35" i="7" s="1"/>
  <c r="J35" i="8" s="1"/>
  <c r="J35" i="9" s="1"/>
  <c r="J35" i="10" s="1"/>
  <c r="J35" i="11" s="1"/>
  <c r="J35" i="12" s="1"/>
  <c r="J35" i="13" s="1"/>
  <c r="J35" i="14" s="1"/>
  <c r="J35" i="15" s="1"/>
  <c r="J35" i="16" s="1"/>
  <c r="J35" i="17" s="1"/>
  <c r="J35" i="18" s="1"/>
  <c r="J35" i="19" s="1"/>
  <c r="J35" i="20" s="1"/>
  <c r="J35" i="21" s="1"/>
  <c r="J35" i="23" s="1"/>
  <c r="J35" i="25" s="1"/>
  <c r="J36" i="26" s="1"/>
  <c r="J35" i="27" s="1"/>
  <c r="J35" i="28" s="1"/>
  <c r="J35" i="29" s="1"/>
  <c r="J35" i="30" s="1"/>
  <c r="J35" i="31" s="1"/>
  <c r="J35" i="32" s="1"/>
  <c r="J35" i="33" s="1"/>
  <c r="J35" i="34" s="1"/>
  <c r="J35" i="35" s="1"/>
  <c r="D27" i="36" s="1"/>
  <c r="K35" i="6"/>
  <c r="K35" i="7" s="1"/>
  <c r="K35" i="8" s="1"/>
  <c r="K35" i="9" s="1"/>
  <c r="K35" i="10" s="1"/>
  <c r="K35" i="11" s="1"/>
  <c r="K35" i="12" s="1"/>
  <c r="K35" i="13" s="1"/>
  <c r="K35" i="14" s="1"/>
  <c r="K35" i="15" s="1"/>
  <c r="K35" i="16" s="1"/>
  <c r="K35" i="17" s="1"/>
  <c r="K35" i="18" s="1"/>
  <c r="K35" i="19" s="1"/>
  <c r="K35" i="20" s="1"/>
  <c r="K35" i="21" s="1"/>
  <c r="K35" i="23" s="1"/>
  <c r="K35" i="25" s="1"/>
  <c r="K36" i="26" s="1"/>
  <c r="K35" i="27" s="1"/>
  <c r="K35" i="28" s="1"/>
  <c r="K35" i="29" s="1"/>
  <c r="K35" i="30" s="1"/>
  <c r="K35" i="31" s="1"/>
  <c r="K35" i="32" s="1"/>
  <c r="K35" i="33" s="1"/>
  <c r="K35" i="34" s="1"/>
  <c r="K35" i="35" s="1"/>
  <c r="E27" i="36" s="1"/>
  <c r="H36" i="6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3" s="1"/>
  <c r="H38" i="24" s="1"/>
  <c r="H36" i="25" s="1"/>
  <c r="H37" i="26" s="1"/>
  <c r="H36" i="27" s="1"/>
  <c r="H36" i="28" s="1"/>
  <c r="H36" i="29" s="1"/>
  <c r="H36" i="30" s="1"/>
  <c r="H36" i="31" s="1"/>
  <c r="H36" i="32" s="1"/>
  <c r="H36" i="33" s="1"/>
  <c r="H36" i="34" s="1"/>
  <c r="H36" i="35" s="1"/>
  <c r="B28" i="36" s="1"/>
  <c r="I36" i="6"/>
  <c r="I36" i="7" s="1"/>
  <c r="I36" i="8" s="1"/>
  <c r="I36" i="9" s="1"/>
  <c r="I36" i="10" s="1"/>
  <c r="I36" i="11" s="1"/>
  <c r="I36" i="12" s="1"/>
  <c r="I36" i="13" s="1"/>
  <c r="I36" i="14" s="1"/>
  <c r="I36" i="15" s="1"/>
  <c r="I36" i="16" s="1"/>
  <c r="I36" i="17" s="1"/>
  <c r="I36" i="18" s="1"/>
  <c r="I36" i="19" s="1"/>
  <c r="I36" i="20" s="1"/>
  <c r="I36" i="21" s="1"/>
  <c r="I36" i="23" s="1"/>
  <c r="I38" i="24" s="1"/>
  <c r="I36" i="25" s="1"/>
  <c r="I37" i="26" s="1"/>
  <c r="I36" i="27" s="1"/>
  <c r="I36" i="28" s="1"/>
  <c r="I36" i="29" s="1"/>
  <c r="I36" i="30" s="1"/>
  <c r="I36" i="31" s="1"/>
  <c r="I36" i="32" s="1"/>
  <c r="I36" i="33" s="1"/>
  <c r="I36" i="34" s="1"/>
  <c r="I36" i="35" s="1"/>
  <c r="C28" i="36" s="1"/>
  <c r="J36" i="6"/>
  <c r="J36" i="7" s="1"/>
  <c r="J36" i="8" s="1"/>
  <c r="J36" i="9" s="1"/>
  <c r="J36" i="10" s="1"/>
  <c r="J36" i="11" s="1"/>
  <c r="J36" i="12" s="1"/>
  <c r="J36" i="13" s="1"/>
  <c r="J36" i="14" s="1"/>
  <c r="J36" i="15" s="1"/>
  <c r="J36" i="16" s="1"/>
  <c r="J36" i="17" s="1"/>
  <c r="J36" i="18" s="1"/>
  <c r="J36" i="19" s="1"/>
  <c r="J36" i="20" s="1"/>
  <c r="J36" i="21" s="1"/>
  <c r="J36" i="23" s="1"/>
  <c r="J38" i="24" s="1"/>
  <c r="J36" i="25" s="1"/>
  <c r="J37" i="26" s="1"/>
  <c r="J36" i="27" s="1"/>
  <c r="J36" i="28" s="1"/>
  <c r="J36" i="29" s="1"/>
  <c r="J36" i="30" s="1"/>
  <c r="J36" i="31" s="1"/>
  <c r="J36" i="32" s="1"/>
  <c r="J36" i="33" s="1"/>
  <c r="J36" i="34" s="1"/>
  <c r="J36" i="35" s="1"/>
  <c r="D28" i="36" s="1"/>
  <c r="K36" i="6"/>
  <c r="K36" i="7" s="1"/>
  <c r="K36" i="8" s="1"/>
  <c r="K36" i="9" s="1"/>
  <c r="K36" i="10" s="1"/>
  <c r="K36" i="11" s="1"/>
  <c r="K36" i="12" s="1"/>
  <c r="K36" i="13" s="1"/>
  <c r="K36" i="14" s="1"/>
  <c r="K36" i="15" s="1"/>
  <c r="K36" i="16" s="1"/>
  <c r="K36" i="17" s="1"/>
  <c r="K36" i="18" s="1"/>
  <c r="K36" i="19" s="1"/>
  <c r="K36" i="20" s="1"/>
  <c r="K36" i="21" s="1"/>
  <c r="K36" i="23" s="1"/>
  <c r="K38" i="24" s="1"/>
  <c r="K36" i="25" s="1"/>
  <c r="K37" i="26" s="1"/>
  <c r="K36" i="27" s="1"/>
  <c r="K36" i="28" s="1"/>
  <c r="K36" i="29" s="1"/>
  <c r="K36" i="30" s="1"/>
  <c r="K36" i="31" s="1"/>
  <c r="K36" i="32" s="1"/>
  <c r="K36" i="33" s="1"/>
  <c r="K36" i="34" s="1"/>
  <c r="K36" i="35" s="1"/>
  <c r="E28" i="36" s="1"/>
  <c r="H37" i="6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9" i="24" s="1"/>
  <c r="H37" i="25" s="1"/>
  <c r="H38" i="26" s="1"/>
  <c r="H37" i="27" s="1"/>
  <c r="H37" i="28" s="1"/>
  <c r="H37" i="29" s="1"/>
  <c r="H37" i="30" s="1"/>
  <c r="H37" i="31" s="1"/>
  <c r="H37" i="32" s="1"/>
  <c r="H37" i="33" s="1"/>
  <c r="H37" i="34" s="1"/>
  <c r="H37" i="35" s="1"/>
  <c r="B29" i="36" s="1"/>
  <c r="I37" i="6"/>
  <c r="I37" i="7" s="1"/>
  <c r="I37" i="8" s="1"/>
  <c r="I37" i="9" s="1"/>
  <c r="I37" i="10" s="1"/>
  <c r="I37" i="11" s="1"/>
  <c r="I37" i="12" s="1"/>
  <c r="I37" i="13" s="1"/>
  <c r="I37" i="14" s="1"/>
  <c r="I37" i="15" s="1"/>
  <c r="I37" i="16" s="1"/>
  <c r="I37" i="17" s="1"/>
  <c r="I37" i="18" s="1"/>
  <c r="I37" i="19" s="1"/>
  <c r="I37" i="20" s="1"/>
  <c r="I37" i="21" s="1"/>
  <c r="I37" i="22" s="1"/>
  <c r="I39" i="24" s="1"/>
  <c r="I37" i="25" s="1"/>
  <c r="I38" i="26" s="1"/>
  <c r="I37" i="27" s="1"/>
  <c r="I37" i="28" s="1"/>
  <c r="I37" i="29" s="1"/>
  <c r="I37" i="30" s="1"/>
  <c r="I37" i="31" s="1"/>
  <c r="I37" i="32" s="1"/>
  <c r="I37" i="33" s="1"/>
  <c r="I37" i="34" s="1"/>
  <c r="I37" i="35" s="1"/>
  <c r="C29" i="36" s="1"/>
  <c r="J37" i="6"/>
  <c r="J37" i="7" s="1"/>
  <c r="J37" i="8" s="1"/>
  <c r="J37" i="9" s="1"/>
  <c r="J37" i="10" s="1"/>
  <c r="J37" i="11" s="1"/>
  <c r="J37" i="12" s="1"/>
  <c r="J37" i="13" s="1"/>
  <c r="J37" i="14" s="1"/>
  <c r="J37" i="15" s="1"/>
  <c r="J37" i="16" s="1"/>
  <c r="J37" i="17" s="1"/>
  <c r="J37" i="18" s="1"/>
  <c r="J37" i="19" s="1"/>
  <c r="J37" i="20" s="1"/>
  <c r="J37" i="21" s="1"/>
  <c r="J37" i="22" s="1"/>
  <c r="J37" i="25" s="1"/>
  <c r="J38" i="26" s="1"/>
  <c r="J37" i="27" s="1"/>
  <c r="J37" i="28" s="1"/>
  <c r="J37" i="29" s="1"/>
  <c r="J37" i="30" s="1"/>
  <c r="J37" i="31" s="1"/>
  <c r="J37" i="32" s="1"/>
  <c r="J37" i="33" s="1"/>
  <c r="J37" i="34" s="1"/>
  <c r="J37" i="35" s="1"/>
  <c r="D29" i="36" s="1"/>
  <c r="K37" i="6"/>
  <c r="K37" i="7" s="1"/>
  <c r="K37" i="8" s="1"/>
  <c r="K37" i="9" s="1"/>
  <c r="K37" i="10" s="1"/>
  <c r="K37" i="11" s="1"/>
  <c r="K37" i="12" s="1"/>
  <c r="K37" i="13" s="1"/>
  <c r="K37" i="14" s="1"/>
  <c r="K37" i="15" s="1"/>
  <c r="K37" i="16" s="1"/>
  <c r="K37" i="17" s="1"/>
  <c r="K37" i="18" s="1"/>
  <c r="K37" i="19" s="1"/>
  <c r="K37" i="20" s="1"/>
  <c r="K37" i="21" s="1"/>
  <c r="K37" i="22" s="1"/>
  <c r="K37" i="25" s="1"/>
  <c r="K38" i="26" s="1"/>
  <c r="K37" i="27" s="1"/>
  <c r="K37" i="28" s="1"/>
  <c r="K37" i="29" s="1"/>
  <c r="K37" i="30" s="1"/>
  <c r="K37" i="31" s="1"/>
  <c r="K37" i="32" s="1"/>
  <c r="K37" i="33" s="1"/>
  <c r="K37" i="34" s="1"/>
  <c r="K37" i="35" s="1"/>
  <c r="E29" i="36" s="1"/>
  <c r="H38" i="6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5" s="1"/>
  <c r="H39" i="26" s="1"/>
  <c r="H38" i="27" s="1"/>
  <c r="H38" i="28" s="1"/>
  <c r="H38" i="29" s="1"/>
  <c r="H38" i="30" s="1"/>
  <c r="H38" i="31" s="1"/>
  <c r="H38" i="32" s="1"/>
  <c r="H38" i="33" s="1"/>
  <c r="H38" i="34" s="1"/>
  <c r="H38" i="35" s="1"/>
  <c r="B30" i="36" s="1"/>
  <c r="I38" i="6"/>
  <c r="I38" i="7" s="1"/>
  <c r="I38" i="8" s="1"/>
  <c r="I38" i="9" s="1"/>
  <c r="I38" i="10" s="1"/>
  <c r="I38" i="11" s="1"/>
  <c r="I38" i="12" s="1"/>
  <c r="I38" i="13" s="1"/>
  <c r="I38" i="14" s="1"/>
  <c r="I38" i="15" s="1"/>
  <c r="I38" i="16" s="1"/>
  <c r="I38" i="17" s="1"/>
  <c r="I38" i="18" s="1"/>
  <c r="I38" i="19" s="1"/>
  <c r="I38" i="20" s="1"/>
  <c r="I38" i="21" s="1"/>
  <c r="I38" i="22" s="1"/>
  <c r="I38" i="23" s="1"/>
  <c r="I38" i="25" s="1"/>
  <c r="I39" i="26" s="1"/>
  <c r="I38" i="27" s="1"/>
  <c r="I38" i="28" s="1"/>
  <c r="I38" i="29" s="1"/>
  <c r="I38" i="30" s="1"/>
  <c r="I38" i="31" s="1"/>
  <c r="I38" i="32" s="1"/>
  <c r="I38" i="33" s="1"/>
  <c r="I38" i="34" s="1"/>
  <c r="I38" i="35" s="1"/>
  <c r="C30" i="36" s="1"/>
  <c r="J38" i="6"/>
  <c r="J38" i="7" s="1"/>
  <c r="J38" i="8" s="1"/>
  <c r="J38" i="9" s="1"/>
  <c r="J38" i="10" s="1"/>
  <c r="J38" i="11" s="1"/>
  <c r="J38" i="12" s="1"/>
  <c r="J38" i="13" s="1"/>
  <c r="J38" i="14" s="1"/>
  <c r="J38" i="15" s="1"/>
  <c r="J38" i="16" s="1"/>
  <c r="J38" i="17" s="1"/>
  <c r="J38" i="18" s="1"/>
  <c r="J38" i="19" s="1"/>
  <c r="J38" i="20" s="1"/>
  <c r="J38" i="21" s="1"/>
  <c r="J38" i="22" s="1"/>
  <c r="J38" i="23" s="1"/>
  <c r="J38" i="25" s="1"/>
  <c r="J39" i="26" s="1"/>
  <c r="J38" i="27" s="1"/>
  <c r="J38" i="28" s="1"/>
  <c r="J38" i="29" s="1"/>
  <c r="J38" i="30" s="1"/>
  <c r="J38" i="31" s="1"/>
  <c r="J38" i="32" s="1"/>
  <c r="J38" i="33" s="1"/>
  <c r="J38" i="34" s="1"/>
  <c r="J38" i="35" s="1"/>
  <c r="D30" i="36" s="1"/>
  <c r="K38" i="6"/>
  <c r="K38" i="7" s="1"/>
  <c r="K38" i="8" s="1"/>
  <c r="K38" i="9" s="1"/>
  <c r="K38" i="10" s="1"/>
  <c r="K38" i="11" s="1"/>
  <c r="K38" i="12" s="1"/>
  <c r="K38" i="13" s="1"/>
  <c r="K38" i="14" s="1"/>
  <c r="K38" i="15" s="1"/>
  <c r="K38" i="16" s="1"/>
  <c r="K38" i="17" s="1"/>
  <c r="K38" i="18" s="1"/>
  <c r="K38" i="19" s="1"/>
  <c r="K38" i="20" s="1"/>
  <c r="K38" i="21" s="1"/>
  <c r="K38" i="22" s="1"/>
  <c r="K38" i="23" s="1"/>
  <c r="K38" i="25" s="1"/>
  <c r="K39" i="26" s="1"/>
  <c r="K38" i="27" s="1"/>
  <c r="K38" i="28" s="1"/>
  <c r="K38" i="29" s="1"/>
  <c r="K38" i="30" s="1"/>
  <c r="K38" i="31" s="1"/>
  <c r="K38" i="32" s="1"/>
  <c r="K38" i="33" s="1"/>
  <c r="K38" i="34" s="1"/>
  <c r="K38" i="35" s="1"/>
  <c r="E30" i="36" s="1"/>
  <c r="H39" i="6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5" s="1"/>
  <c r="H40" i="26" s="1"/>
  <c r="H39" i="27" s="1"/>
  <c r="H39" i="28" s="1"/>
  <c r="H39" i="29" s="1"/>
  <c r="H39" i="30" s="1"/>
  <c r="H39" i="31" s="1"/>
  <c r="H39" i="32" s="1"/>
  <c r="H39" i="33" s="1"/>
  <c r="H39" i="34" s="1"/>
  <c r="H39" i="35" s="1"/>
  <c r="B31" i="36" s="1"/>
  <c r="I39" i="6"/>
  <c r="I39" i="7" s="1"/>
  <c r="I39" i="8" s="1"/>
  <c r="I39" i="9" s="1"/>
  <c r="I39" i="10" s="1"/>
  <c r="I39" i="11" s="1"/>
  <c r="I39" i="12" s="1"/>
  <c r="I39" i="13" s="1"/>
  <c r="I39" i="14" s="1"/>
  <c r="I39" i="15" s="1"/>
  <c r="I39" i="16" s="1"/>
  <c r="I39" i="17" s="1"/>
  <c r="I39" i="18" s="1"/>
  <c r="I39" i="19" s="1"/>
  <c r="I39" i="20" s="1"/>
  <c r="I39" i="21" s="1"/>
  <c r="I39" i="22" s="1"/>
  <c r="I39" i="23" s="1"/>
  <c r="I39" i="25" s="1"/>
  <c r="I40" i="26" s="1"/>
  <c r="I39" i="27" s="1"/>
  <c r="I39" i="28" s="1"/>
  <c r="I39" i="29" s="1"/>
  <c r="I39" i="30" s="1"/>
  <c r="I39" i="31" s="1"/>
  <c r="I39" i="32" s="1"/>
  <c r="I39" i="33" s="1"/>
  <c r="I39" i="34" s="1"/>
  <c r="I39" i="35" s="1"/>
  <c r="C31" i="36" s="1"/>
  <c r="J39" i="6"/>
  <c r="J39" i="7" s="1"/>
  <c r="J39" i="8" s="1"/>
  <c r="J39" i="9" s="1"/>
  <c r="J39" i="10" s="1"/>
  <c r="J39" i="11" s="1"/>
  <c r="J39" i="12" s="1"/>
  <c r="J39" i="13" s="1"/>
  <c r="J39" i="14" s="1"/>
  <c r="J39" i="15" s="1"/>
  <c r="J39" i="16" s="1"/>
  <c r="J39" i="17" s="1"/>
  <c r="J39" i="18" s="1"/>
  <c r="J39" i="19" s="1"/>
  <c r="J39" i="20" s="1"/>
  <c r="J39" i="21" s="1"/>
  <c r="J39" i="22" s="1"/>
  <c r="J39" i="23" s="1"/>
  <c r="J39" i="25" s="1"/>
  <c r="J40" i="26" s="1"/>
  <c r="J39" i="27" s="1"/>
  <c r="J39" i="28" s="1"/>
  <c r="J39" i="29" s="1"/>
  <c r="J39" i="30" s="1"/>
  <c r="J39" i="31" s="1"/>
  <c r="J39" i="32" s="1"/>
  <c r="J39" i="33" s="1"/>
  <c r="J39" i="34" s="1"/>
  <c r="J39" i="35" s="1"/>
  <c r="D31" i="36" s="1"/>
  <c r="K39" i="6"/>
  <c r="K39" i="7" s="1"/>
  <c r="K39" i="8" s="1"/>
  <c r="K39" i="9" s="1"/>
  <c r="K39" i="10" s="1"/>
  <c r="K39" i="11" s="1"/>
  <c r="K39" i="12" s="1"/>
  <c r="K39" i="13" s="1"/>
  <c r="K39" i="14" s="1"/>
  <c r="K39" i="15" s="1"/>
  <c r="K39" i="16" s="1"/>
  <c r="K39" i="17" s="1"/>
  <c r="K39" i="18" s="1"/>
  <c r="K39" i="19" s="1"/>
  <c r="K39" i="20" s="1"/>
  <c r="K39" i="21" s="1"/>
  <c r="K39" i="22" s="1"/>
  <c r="K39" i="23" s="1"/>
  <c r="K39" i="25" s="1"/>
  <c r="K40" i="26" s="1"/>
  <c r="K39" i="27" s="1"/>
  <c r="K39" i="28" s="1"/>
  <c r="K39" i="29" s="1"/>
  <c r="K39" i="30" s="1"/>
  <c r="K39" i="31" s="1"/>
  <c r="K39" i="32" s="1"/>
  <c r="K39" i="33" s="1"/>
  <c r="K39" i="34" s="1"/>
  <c r="K39" i="35" s="1"/>
  <c r="E31" i="36" s="1"/>
  <c r="H40" i="6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5" s="1"/>
  <c r="H41" i="26" s="1"/>
  <c r="H40" i="27" s="1"/>
  <c r="H40" i="28" s="1"/>
  <c r="H40" i="29" s="1"/>
  <c r="H40" i="30" s="1"/>
  <c r="H40" i="31" s="1"/>
  <c r="H40" i="32" s="1"/>
  <c r="H40" i="33" s="1"/>
  <c r="H40" i="34" s="1"/>
  <c r="H40" i="35" s="1"/>
  <c r="B32" i="36" s="1"/>
  <c r="I40" i="6"/>
  <c r="I40" i="7" s="1"/>
  <c r="I40" i="8" s="1"/>
  <c r="I40" i="9" s="1"/>
  <c r="I40" i="10" s="1"/>
  <c r="I40" i="11" s="1"/>
  <c r="I40" i="12" s="1"/>
  <c r="I40" i="13" s="1"/>
  <c r="I40" i="14" s="1"/>
  <c r="I40" i="15" s="1"/>
  <c r="I40" i="16" s="1"/>
  <c r="I40" i="17" s="1"/>
  <c r="I40" i="18" s="1"/>
  <c r="I40" i="19" s="1"/>
  <c r="I40" i="20" s="1"/>
  <c r="I40" i="21" s="1"/>
  <c r="I40" i="22" s="1"/>
  <c r="I40" i="23" s="1"/>
  <c r="I40" i="25" s="1"/>
  <c r="I41" i="26" s="1"/>
  <c r="I40" i="27" s="1"/>
  <c r="I40" i="28" s="1"/>
  <c r="I40" i="29" s="1"/>
  <c r="I40" i="30" s="1"/>
  <c r="I40" i="31" s="1"/>
  <c r="I40" i="32" s="1"/>
  <c r="I40" i="33" s="1"/>
  <c r="I40" i="34" s="1"/>
  <c r="I40" i="35" s="1"/>
  <c r="C32" i="36" s="1"/>
  <c r="J40" i="6"/>
  <c r="J40" i="7" s="1"/>
  <c r="J40" i="8" s="1"/>
  <c r="J40" i="9" s="1"/>
  <c r="J40" i="10" s="1"/>
  <c r="J40" i="11" s="1"/>
  <c r="J40" i="12" s="1"/>
  <c r="J40" i="13" s="1"/>
  <c r="J40" i="14" s="1"/>
  <c r="J40" i="15" s="1"/>
  <c r="J40" i="16" s="1"/>
  <c r="J40" i="17" s="1"/>
  <c r="J40" i="18" s="1"/>
  <c r="J40" i="19" s="1"/>
  <c r="J40" i="20" s="1"/>
  <c r="J40" i="21" s="1"/>
  <c r="J40" i="22" s="1"/>
  <c r="J40" i="23" s="1"/>
  <c r="J40" i="25" s="1"/>
  <c r="J41" i="26" s="1"/>
  <c r="J40" i="27" s="1"/>
  <c r="J40" i="28" s="1"/>
  <c r="J40" i="29" s="1"/>
  <c r="J40" i="30" s="1"/>
  <c r="J40" i="31" s="1"/>
  <c r="J40" i="32" s="1"/>
  <c r="J40" i="33" s="1"/>
  <c r="J40" i="34" s="1"/>
  <c r="J40" i="35" s="1"/>
  <c r="D32" i="36" s="1"/>
  <c r="K40" i="6"/>
  <c r="K40" i="7" s="1"/>
  <c r="K40" i="8" s="1"/>
  <c r="K40" i="9" s="1"/>
  <c r="K40" i="10" s="1"/>
  <c r="K40" i="11" s="1"/>
  <c r="K40" i="12" s="1"/>
  <c r="K40" i="13" s="1"/>
  <c r="K40" i="14" s="1"/>
  <c r="K40" i="15" s="1"/>
  <c r="K40" i="16" s="1"/>
  <c r="K40" i="17" s="1"/>
  <c r="K40" i="18" s="1"/>
  <c r="K40" i="19" s="1"/>
  <c r="K40" i="20" s="1"/>
  <c r="K40" i="21" s="1"/>
  <c r="K40" i="22" s="1"/>
  <c r="K40" i="23" s="1"/>
  <c r="K40" i="25" s="1"/>
  <c r="K41" i="26" s="1"/>
  <c r="K40" i="27" s="1"/>
  <c r="K40" i="28" s="1"/>
  <c r="K40" i="29" s="1"/>
  <c r="K40" i="30" s="1"/>
  <c r="K40" i="31" s="1"/>
  <c r="K40" i="32" s="1"/>
  <c r="K40" i="33" s="1"/>
  <c r="K40" i="34" s="1"/>
  <c r="K40" i="35" s="1"/>
  <c r="E32" i="36" s="1"/>
  <c r="H41" i="6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5" s="1"/>
  <c r="H42" i="26" s="1"/>
  <c r="H41" i="27" s="1"/>
  <c r="H41" i="28" s="1"/>
  <c r="H41" i="29" s="1"/>
  <c r="H41" i="30" s="1"/>
  <c r="H41" i="31" s="1"/>
  <c r="H41" i="32" s="1"/>
  <c r="H41" i="33" s="1"/>
  <c r="H41" i="34" s="1"/>
  <c r="H41" i="35" s="1"/>
  <c r="B33" i="36" s="1"/>
  <c r="I41" i="6"/>
  <c r="I41" i="7" s="1"/>
  <c r="I41" i="8" s="1"/>
  <c r="I41" i="9" s="1"/>
  <c r="I41" i="10" s="1"/>
  <c r="I41" i="11" s="1"/>
  <c r="I41" i="12" s="1"/>
  <c r="I41" i="13" s="1"/>
  <c r="I41" i="14" s="1"/>
  <c r="I41" i="15" s="1"/>
  <c r="I41" i="16" s="1"/>
  <c r="I41" i="17" s="1"/>
  <c r="I41" i="18" s="1"/>
  <c r="I41" i="19" s="1"/>
  <c r="I41" i="20" s="1"/>
  <c r="I41" i="21" s="1"/>
  <c r="I41" i="22" s="1"/>
  <c r="I41" i="23" s="1"/>
  <c r="I41" i="25" s="1"/>
  <c r="I42" i="26" s="1"/>
  <c r="I41" i="27" s="1"/>
  <c r="I41" i="28" s="1"/>
  <c r="I41" i="29" s="1"/>
  <c r="I41" i="30" s="1"/>
  <c r="I41" i="31" s="1"/>
  <c r="I41" i="32" s="1"/>
  <c r="I41" i="33" s="1"/>
  <c r="I41" i="34" s="1"/>
  <c r="I41" i="35" s="1"/>
  <c r="C33" i="36" s="1"/>
  <c r="J41" i="6"/>
  <c r="J41" i="7" s="1"/>
  <c r="J41" i="8" s="1"/>
  <c r="J41" i="9" s="1"/>
  <c r="J41" i="10" s="1"/>
  <c r="J41" i="11" s="1"/>
  <c r="J41" i="12" s="1"/>
  <c r="J41" i="13" s="1"/>
  <c r="J41" i="14" s="1"/>
  <c r="J41" i="15" s="1"/>
  <c r="J41" i="16" s="1"/>
  <c r="J41" i="17" s="1"/>
  <c r="J41" i="18" s="1"/>
  <c r="J41" i="19" s="1"/>
  <c r="J41" i="20" s="1"/>
  <c r="J41" i="21" s="1"/>
  <c r="J41" i="22" s="1"/>
  <c r="J41" i="23" s="1"/>
  <c r="J41" i="25" s="1"/>
  <c r="J42" i="26" s="1"/>
  <c r="J41" i="27" s="1"/>
  <c r="J41" i="28" s="1"/>
  <c r="J41" i="29" s="1"/>
  <c r="J41" i="30" s="1"/>
  <c r="J41" i="31" s="1"/>
  <c r="J41" i="32" s="1"/>
  <c r="J41" i="33" s="1"/>
  <c r="J41" i="34" s="1"/>
  <c r="J41" i="35" s="1"/>
  <c r="D33" i="36" s="1"/>
  <c r="K41" i="6"/>
  <c r="K41" i="7" s="1"/>
  <c r="K41" i="8" s="1"/>
  <c r="K41" i="9" s="1"/>
  <c r="K41" i="10" s="1"/>
  <c r="K41" i="11" s="1"/>
  <c r="K41" i="12" s="1"/>
  <c r="K41" i="13" s="1"/>
  <c r="K41" i="14" s="1"/>
  <c r="K41" i="15" s="1"/>
  <c r="K41" i="16" s="1"/>
  <c r="K41" i="17" s="1"/>
  <c r="K41" i="18" s="1"/>
  <c r="K41" i="19" s="1"/>
  <c r="K41" i="20" s="1"/>
  <c r="K41" i="21" s="1"/>
  <c r="K41" i="22" s="1"/>
  <c r="K41" i="23" s="1"/>
  <c r="K41" i="25" s="1"/>
  <c r="K42" i="26" s="1"/>
  <c r="K41" i="27" s="1"/>
  <c r="K41" i="28" s="1"/>
  <c r="K41" i="29" s="1"/>
  <c r="K41" i="30" s="1"/>
  <c r="K41" i="31" s="1"/>
  <c r="K41" i="32" s="1"/>
  <c r="K41" i="33" s="1"/>
  <c r="K41" i="34" s="1"/>
  <c r="K41" i="35" s="1"/>
  <c r="E33" i="36" s="1"/>
  <c r="H42" i="6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4" i="24" s="1"/>
  <c r="H43" i="26" s="1"/>
  <c r="H42" i="27" s="1"/>
  <c r="H42" i="28" s="1"/>
  <c r="H42" i="29" s="1"/>
  <c r="H42" i="30" s="1"/>
  <c r="H42" i="31" s="1"/>
  <c r="H42" i="32" s="1"/>
  <c r="H42" i="33" s="1"/>
  <c r="H42" i="34" s="1"/>
  <c r="H42" i="35" s="1"/>
  <c r="B34" i="36" s="1"/>
  <c r="I42" i="6"/>
  <c r="I42" i="7" s="1"/>
  <c r="I42" i="8" s="1"/>
  <c r="I42" i="9" s="1"/>
  <c r="I42" i="10" s="1"/>
  <c r="I42" i="11" s="1"/>
  <c r="I42" i="12" s="1"/>
  <c r="I42" i="13" s="1"/>
  <c r="I42" i="14" s="1"/>
  <c r="I42" i="15" s="1"/>
  <c r="I42" i="16" s="1"/>
  <c r="I42" i="17" s="1"/>
  <c r="I42" i="18" s="1"/>
  <c r="I42" i="19" s="1"/>
  <c r="I42" i="20" s="1"/>
  <c r="I42" i="21" s="1"/>
  <c r="I42" i="22" s="1"/>
  <c r="I42" i="23" s="1"/>
  <c r="I44" i="24" s="1"/>
  <c r="I43" i="26" s="1"/>
  <c r="I42" i="27" s="1"/>
  <c r="I42" i="28" s="1"/>
  <c r="I42" i="29" s="1"/>
  <c r="I42" i="30" s="1"/>
  <c r="I42" i="31" s="1"/>
  <c r="I42" i="32" s="1"/>
  <c r="I42" i="33" s="1"/>
  <c r="I42" i="34" s="1"/>
  <c r="I42" i="35" s="1"/>
  <c r="C34" i="36" s="1"/>
  <c r="J42" i="6"/>
  <c r="J42" i="7" s="1"/>
  <c r="J42" i="8" s="1"/>
  <c r="J42" i="9" s="1"/>
  <c r="J42" i="10" s="1"/>
  <c r="J42" i="11" s="1"/>
  <c r="J42" i="12" s="1"/>
  <c r="J42" i="13" s="1"/>
  <c r="J42" i="14" s="1"/>
  <c r="J42" i="15" s="1"/>
  <c r="J42" i="16" s="1"/>
  <c r="J42" i="17" s="1"/>
  <c r="J42" i="18" s="1"/>
  <c r="J42" i="19" s="1"/>
  <c r="J42" i="20" s="1"/>
  <c r="J42" i="21" s="1"/>
  <c r="J42" i="22" s="1"/>
  <c r="J42" i="23" s="1"/>
  <c r="J44" i="24" s="1"/>
  <c r="J43" i="26" s="1"/>
  <c r="J42" i="27" s="1"/>
  <c r="J42" i="28" s="1"/>
  <c r="J42" i="29" s="1"/>
  <c r="J42" i="30" s="1"/>
  <c r="J42" i="31" s="1"/>
  <c r="J42" i="32" s="1"/>
  <c r="J42" i="33" s="1"/>
  <c r="J42" i="34" s="1"/>
  <c r="J42" i="35" s="1"/>
  <c r="D34" i="36" s="1"/>
  <c r="K42" i="6"/>
  <c r="K42" i="7" s="1"/>
  <c r="K42" i="8" s="1"/>
  <c r="K42" i="9" s="1"/>
  <c r="K42" i="10" s="1"/>
  <c r="K42" i="11" s="1"/>
  <c r="K42" i="12" s="1"/>
  <c r="K42" i="13" s="1"/>
  <c r="K42" i="14" s="1"/>
  <c r="K42" i="15" s="1"/>
  <c r="K42" i="16" s="1"/>
  <c r="K42" i="17" s="1"/>
  <c r="K42" i="18" s="1"/>
  <c r="K42" i="19" s="1"/>
  <c r="K42" i="20" s="1"/>
  <c r="K42" i="21" s="1"/>
  <c r="K42" i="22" s="1"/>
  <c r="K42" i="23" s="1"/>
  <c r="K44" i="24" s="1"/>
  <c r="K43" i="26" s="1"/>
  <c r="K42" i="27" s="1"/>
  <c r="K42" i="28" s="1"/>
  <c r="K42" i="29" s="1"/>
  <c r="K42" i="30" s="1"/>
  <c r="K42" i="31" s="1"/>
  <c r="K42" i="32" s="1"/>
  <c r="K42" i="33" s="1"/>
  <c r="K42" i="34" s="1"/>
  <c r="K42" i="35" s="1"/>
  <c r="E34" i="36" s="1"/>
  <c r="H43" i="6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5" i="24" s="1"/>
  <c r="H43" i="25" s="1"/>
  <c r="H43" i="27" s="1"/>
  <c r="H43" i="28" s="1"/>
  <c r="H43" i="29" s="1"/>
  <c r="H43" i="30" s="1"/>
  <c r="H43" i="31" s="1"/>
  <c r="H43" i="32" s="1"/>
  <c r="H43" i="33" s="1"/>
  <c r="H43" i="34" s="1"/>
  <c r="H43" i="35" s="1"/>
  <c r="B35" i="36" s="1"/>
  <c r="I43" i="6"/>
  <c r="I43" i="7" s="1"/>
  <c r="I43" i="8" s="1"/>
  <c r="I43" i="9" s="1"/>
  <c r="I43" i="10" s="1"/>
  <c r="I43" i="11" s="1"/>
  <c r="I43" i="12" s="1"/>
  <c r="I43" i="13" s="1"/>
  <c r="I43" i="14" s="1"/>
  <c r="I43" i="15" s="1"/>
  <c r="I43" i="16" s="1"/>
  <c r="I43" i="17" s="1"/>
  <c r="I43" i="18" s="1"/>
  <c r="I43" i="19" s="1"/>
  <c r="I43" i="20" s="1"/>
  <c r="I43" i="21" s="1"/>
  <c r="I43" i="22" s="1"/>
  <c r="I43" i="23" s="1"/>
  <c r="I45" i="24" s="1"/>
  <c r="I43" i="25" s="1"/>
  <c r="I43" i="27" s="1"/>
  <c r="I43" i="28" s="1"/>
  <c r="I43" i="29" s="1"/>
  <c r="I43" i="30" s="1"/>
  <c r="I43" i="31" s="1"/>
  <c r="I43" i="32" s="1"/>
  <c r="I43" i="33" s="1"/>
  <c r="I43" i="34" s="1"/>
  <c r="I43" i="35" s="1"/>
  <c r="C35" i="36" s="1"/>
  <c r="J43" i="6"/>
  <c r="J43" i="7" s="1"/>
  <c r="J43" i="8" s="1"/>
  <c r="J43" i="9" s="1"/>
  <c r="J43" i="10" s="1"/>
  <c r="J43" i="11" s="1"/>
  <c r="J43" i="12" s="1"/>
  <c r="J43" i="13" s="1"/>
  <c r="J43" i="14" s="1"/>
  <c r="J43" i="15" s="1"/>
  <c r="J43" i="16" s="1"/>
  <c r="J43" i="17" s="1"/>
  <c r="J43" i="18" s="1"/>
  <c r="J43" i="19" s="1"/>
  <c r="J43" i="20" s="1"/>
  <c r="J43" i="21" s="1"/>
  <c r="J43" i="22" s="1"/>
  <c r="J43" i="23" s="1"/>
  <c r="J45" i="24" s="1"/>
  <c r="J43" i="25" s="1"/>
  <c r="J43" i="27" s="1"/>
  <c r="J43" i="28" s="1"/>
  <c r="J43" i="29" s="1"/>
  <c r="J43" i="30" s="1"/>
  <c r="J43" i="31" s="1"/>
  <c r="J43" i="32" s="1"/>
  <c r="J43" i="33" s="1"/>
  <c r="J43" i="34" s="1"/>
  <c r="J43" i="35" s="1"/>
  <c r="D35" i="36" s="1"/>
  <c r="K43" i="6"/>
  <c r="K43" i="7" s="1"/>
  <c r="K43" i="8" s="1"/>
  <c r="K43" i="9" s="1"/>
  <c r="K43" i="10" s="1"/>
  <c r="K43" i="11" s="1"/>
  <c r="K43" i="12" s="1"/>
  <c r="K43" i="13" s="1"/>
  <c r="K43" i="14" s="1"/>
  <c r="K43" i="15" s="1"/>
  <c r="K43" i="16" s="1"/>
  <c r="K43" i="17" s="1"/>
  <c r="K43" i="18" s="1"/>
  <c r="K43" i="19" s="1"/>
  <c r="K43" i="20" s="1"/>
  <c r="K43" i="21" s="1"/>
  <c r="K43" i="22" s="1"/>
  <c r="K43" i="23" s="1"/>
  <c r="K45" i="24" s="1"/>
  <c r="K43" i="25" s="1"/>
  <c r="K43" i="27" s="1"/>
  <c r="K43" i="28" s="1"/>
  <c r="K43" i="29" s="1"/>
  <c r="K43" i="30" s="1"/>
  <c r="K43" i="31" s="1"/>
  <c r="K43" i="32" s="1"/>
  <c r="K43" i="33" s="1"/>
  <c r="K43" i="34" s="1"/>
  <c r="K43" i="35" s="1"/>
  <c r="E35" i="36" s="1"/>
  <c r="H44" i="6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6" i="24" s="1"/>
  <c r="H44" i="25" s="1"/>
  <c r="H44" i="27" s="1"/>
  <c r="H44" i="28" s="1"/>
  <c r="H44" i="29" s="1"/>
  <c r="H44" i="30" s="1"/>
  <c r="H44" i="31" s="1"/>
  <c r="H44" i="32" s="1"/>
  <c r="H44" i="33" s="1"/>
  <c r="H44" i="34" s="1"/>
  <c r="H44" i="35" s="1"/>
  <c r="B36" i="36" s="1"/>
  <c r="I44" i="6"/>
  <c r="I44" i="7" s="1"/>
  <c r="I44" i="8" s="1"/>
  <c r="I44" i="9" s="1"/>
  <c r="I44" i="10" s="1"/>
  <c r="I44" i="11" s="1"/>
  <c r="I44" i="12" s="1"/>
  <c r="I44" i="13" s="1"/>
  <c r="I44" i="14" s="1"/>
  <c r="I44" i="15" s="1"/>
  <c r="I44" i="16" s="1"/>
  <c r="I44" i="17" s="1"/>
  <c r="I44" i="18" s="1"/>
  <c r="I44" i="19" s="1"/>
  <c r="I44" i="20" s="1"/>
  <c r="I44" i="21" s="1"/>
  <c r="I44" i="22" s="1"/>
  <c r="I44" i="23" s="1"/>
  <c r="I46" i="24" s="1"/>
  <c r="I44" i="25" s="1"/>
  <c r="I44" i="27" s="1"/>
  <c r="I44" i="28" s="1"/>
  <c r="I44" i="29" s="1"/>
  <c r="I44" i="30" s="1"/>
  <c r="I44" i="31" s="1"/>
  <c r="I44" i="32" s="1"/>
  <c r="I44" i="33" s="1"/>
  <c r="I44" i="34" s="1"/>
  <c r="I44" i="35" s="1"/>
  <c r="C36" i="36" s="1"/>
  <c r="J44" i="6"/>
  <c r="J44" i="7" s="1"/>
  <c r="J44" i="8" s="1"/>
  <c r="J44" i="9" s="1"/>
  <c r="J44" i="10" s="1"/>
  <c r="J44" i="11" s="1"/>
  <c r="J44" i="12" s="1"/>
  <c r="J44" i="13" s="1"/>
  <c r="J44" i="14" s="1"/>
  <c r="J44" i="15" s="1"/>
  <c r="J44" i="16" s="1"/>
  <c r="J44" i="17" s="1"/>
  <c r="J44" i="18" s="1"/>
  <c r="J44" i="19" s="1"/>
  <c r="J44" i="20" s="1"/>
  <c r="J44" i="21" s="1"/>
  <c r="J44" i="22" s="1"/>
  <c r="J44" i="23" s="1"/>
  <c r="J46" i="24" s="1"/>
  <c r="J44" i="25" s="1"/>
  <c r="J44" i="27" s="1"/>
  <c r="J44" i="28" s="1"/>
  <c r="J44" i="29" s="1"/>
  <c r="J44" i="30" s="1"/>
  <c r="J44" i="31" s="1"/>
  <c r="J44" i="32" s="1"/>
  <c r="J44" i="33" s="1"/>
  <c r="J44" i="34" s="1"/>
  <c r="J44" i="35" s="1"/>
  <c r="D36" i="36" s="1"/>
  <c r="K44" i="6"/>
  <c r="K44" i="7" s="1"/>
  <c r="K44" i="8" s="1"/>
  <c r="K44" i="9" s="1"/>
  <c r="K44" i="10" s="1"/>
  <c r="K44" i="11" s="1"/>
  <c r="K44" i="12" s="1"/>
  <c r="K44" i="13" s="1"/>
  <c r="K44" i="14" s="1"/>
  <c r="K44" i="15" s="1"/>
  <c r="K44" i="16" s="1"/>
  <c r="K44" i="17" s="1"/>
  <c r="K44" i="18" s="1"/>
  <c r="K44" i="19" s="1"/>
  <c r="K44" i="20" s="1"/>
  <c r="K44" i="21" s="1"/>
  <c r="K44" i="22" s="1"/>
  <c r="K44" i="23" s="1"/>
  <c r="K46" i="24" s="1"/>
  <c r="K44" i="25" s="1"/>
  <c r="K44" i="27" s="1"/>
  <c r="K44" i="28" s="1"/>
  <c r="K44" i="29" s="1"/>
  <c r="K44" i="30" s="1"/>
  <c r="K44" i="31" s="1"/>
  <c r="K44" i="32" s="1"/>
  <c r="K44" i="33" s="1"/>
  <c r="K44" i="34" s="1"/>
  <c r="K44" i="35" s="1"/>
  <c r="E36" i="36" s="1"/>
  <c r="H45" i="6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7" i="24" s="1"/>
  <c r="H45" i="25" s="1"/>
  <c r="H45" i="27" s="1"/>
  <c r="H45" i="28" s="1"/>
  <c r="H45" i="29" s="1"/>
  <c r="H45" i="30" s="1"/>
  <c r="H45" i="31" s="1"/>
  <c r="H45" i="32" s="1"/>
  <c r="H45" i="33" s="1"/>
  <c r="H45" i="34" s="1"/>
  <c r="H45" i="35" s="1"/>
  <c r="B37" i="36" s="1"/>
  <c r="I45" i="6"/>
  <c r="I45" i="7" s="1"/>
  <c r="I45" i="8" s="1"/>
  <c r="I45" i="9" s="1"/>
  <c r="I45" i="10" s="1"/>
  <c r="I45" i="11" s="1"/>
  <c r="I45" i="12" s="1"/>
  <c r="I45" i="13" s="1"/>
  <c r="I45" i="14" s="1"/>
  <c r="I45" i="15" s="1"/>
  <c r="I45" i="16" s="1"/>
  <c r="I45" i="17" s="1"/>
  <c r="I45" i="18" s="1"/>
  <c r="I45" i="19" s="1"/>
  <c r="I45" i="20" s="1"/>
  <c r="I45" i="21" s="1"/>
  <c r="I45" i="22" s="1"/>
  <c r="I45" i="23" s="1"/>
  <c r="I47" i="24" s="1"/>
  <c r="I45" i="25" s="1"/>
  <c r="I45" i="27" s="1"/>
  <c r="I45" i="28" s="1"/>
  <c r="I45" i="29" s="1"/>
  <c r="I45" i="30" s="1"/>
  <c r="I45" i="31" s="1"/>
  <c r="I45" i="32" s="1"/>
  <c r="I45" i="33" s="1"/>
  <c r="I45" i="34" s="1"/>
  <c r="I45" i="35" s="1"/>
  <c r="C37" i="36" s="1"/>
  <c r="J45" i="6"/>
  <c r="J45" i="7" s="1"/>
  <c r="J45" i="8" s="1"/>
  <c r="J45" i="9" s="1"/>
  <c r="J45" i="10" s="1"/>
  <c r="J45" i="11" s="1"/>
  <c r="J45" i="12" s="1"/>
  <c r="J45" i="13" s="1"/>
  <c r="J45" i="14" s="1"/>
  <c r="J45" i="15" s="1"/>
  <c r="J45" i="16" s="1"/>
  <c r="J45" i="17" s="1"/>
  <c r="J45" i="18" s="1"/>
  <c r="J45" i="19" s="1"/>
  <c r="J45" i="20" s="1"/>
  <c r="J45" i="21" s="1"/>
  <c r="J45" i="22" s="1"/>
  <c r="J45" i="23" s="1"/>
  <c r="J47" i="24" s="1"/>
  <c r="J45" i="25" s="1"/>
  <c r="J45" i="27" s="1"/>
  <c r="J45" i="28" s="1"/>
  <c r="J45" i="29" s="1"/>
  <c r="J45" i="30" s="1"/>
  <c r="J45" i="31" s="1"/>
  <c r="J45" i="32" s="1"/>
  <c r="J45" i="33" s="1"/>
  <c r="J45" i="34" s="1"/>
  <c r="J45" i="35" s="1"/>
  <c r="D37" i="36" s="1"/>
  <c r="K45" i="6"/>
  <c r="K45" i="7" s="1"/>
  <c r="K45" i="8" s="1"/>
  <c r="K45" i="9" s="1"/>
  <c r="K45" i="10" s="1"/>
  <c r="K45" i="11" s="1"/>
  <c r="K45" i="12" s="1"/>
  <c r="K45" i="13" s="1"/>
  <c r="K45" i="14" s="1"/>
  <c r="K45" i="15" s="1"/>
  <c r="K45" i="16" s="1"/>
  <c r="K45" i="17" s="1"/>
  <c r="K45" i="18" s="1"/>
  <c r="K45" i="19" s="1"/>
  <c r="K45" i="20" s="1"/>
  <c r="K45" i="21" s="1"/>
  <c r="K45" i="22" s="1"/>
  <c r="K45" i="23" s="1"/>
  <c r="K47" i="24" s="1"/>
  <c r="K45" i="25" s="1"/>
  <c r="K45" i="27" s="1"/>
  <c r="K45" i="28" s="1"/>
  <c r="K45" i="29" s="1"/>
  <c r="K45" i="30" s="1"/>
  <c r="K45" i="31" s="1"/>
  <c r="K45" i="32" s="1"/>
  <c r="K45" i="33" s="1"/>
  <c r="K45" i="34" s="1"/>
  <c r="K45" i="35" s="1"/>
  <c r="E37" i="36" s="1"/>
  <c r="H46" i="6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8" i="24" s="1"/>
  <c r="H46" i="25" s="1"/>
  <c r="H47" i="26" s="1"/>
  <c r="H46" i="28" s="1"/>
  <c r="H46" i="29" s="1"/>
  <c r="H46" i="30" s="1"/>
  <c r="H46" i="31" s="1"/>
  <c r="H46" i="32" s="1"/>
  <c r="H46" i="33" s="1"/>
  <c r="H46" i="34" s="1"/>
  <c r="H46" i="35" s="1"/>
  <c r="B38" i="36" s="1"/>
  <c r="I46" i="6"/>
  <c r="I46" i="7" s="1"/>
  <c r="I46" i="8" s="1"/>
  <c r="I46" i="9" s="1"/>
  <c r="I46" i="10" s="1"/>
  <c r="I46" i="11" s="1"/>
  <c r="I46" i="12" s="1"/>
  <c r="I46" i="13" s="1"/>
  <c r="I46" i="14" s="1"/>
  <c r="I46" i="15" s="1"/>
  <c r="I46" i="16" s="1"/>
  <c r="I46" i="17" s="1"/>
  <c r="I46" i="18" s="1"/>
  <c r="I46" i="19" s="1"/>
  <c r="I46" i="20" s="1"/>
  <c r="I46" i="21" s="1"/>
  <c r="I46" i="22" s="1"/>
  <c r="I46" i="23" s="1"/>
  <c r="I48" i="24" s="1"/>
  <c r="I46" i="25" s="1"/>
  <c r="I47" i="26" s="1"/>
  <c r="I46" i="28" s="1"/>
  <c r="I46" i="29" s="1"/>
  <c r="I46" i="30" s="1"/>
  <c r="I46" i="31" s="1"/>
  <c r="I46" i="32" s="1"/>
  <c r="I46" i="33" s="1"/>
  <c r="I46" i="34" s="1"/>
  <c r="I46" i="35" s="1"/>
  <c r="C38" i="36" s="1"/>
  <c r="J46" i="6"/>
  <c r="J46" i="7" s="1"/>
  <c r="J46" i="8" s="1"/>
  <c r="J46" i="9" s="1"/>
  <c r="J46" i="10" s="1"/>
  <c r="J46" i="11" s="1"/>
  <c r="J46" i="12" s="1"/>
  <c r="J46" i="13" s="1"/>
  <c r="J46" i="14" s="1"/>
  <c r="J46" i="15" s="1"/>
  <c r="J46" i="16" s="1"/>
  <c r="J46" i="17" s="1"/>
  <c r="J46" i="18" s="1"/>
  <c r="J46" i="19" s="1"/>
  <c r="J46" i="20" s="1"/>
  <c r="J46" i="21" s="1"/>
  <c r="J46" i="22" s="1"/>
  <c r="J46" i="23" s="1"/>
  <c r="J48" i="24" s="1"/>
  <c r="J46" i="25" s="1"/>
  <c r="J47" i="26" s="1"/>
  <c r="J46" i="28" s="1"/>
  <c r="J46" i="29" s="1"/>
  <c r="J46" i="30" s="1"/>
  <c r="J46" i="31" s="1"/>
  <c r="J46" i="32" s="1"/>
  <c r="J46" i="33" s="1"/>
  <c r="J46" i="34" s="1"/>
  <c r="J46" i="35" s="1"/>
  <c r="D38" i="36" s="1"/>
  <c r="K46" i="6"/>
  <c r="K46" i="7" s="1"/>
  <c r="K46" i="8" s="1"/>
  <c r="K46" i="9" s="1"/>
  <c r="K46" i="10" s="1"/>
  <c r="K46" i="11" s="1"/>
  <c r="K46" i="12" s="1"/>
  <c r="K46" i="13" s="1"/>
  <c r="K46" i="14" s="1"/>
  <c r="K46" i="15" s="1"/>
  <c r="K46" i="16" s="1"/>
  <c r="K46" i="17" s="1"/>
  <c r="K46" i="18" s="1"/>
  <c r="K46" i="19" s="1"/>
  <c r="K46" i="20" s="1"/>
  <c r="K46" i="21" s="1"/>
  <c r="K46" i="22" s="1"/>
  <c r="K46" i="23" s="1"/>
  <c r="K48" i="24" s="1"/>
  <c r="K46" i="25" s="1"/>
  <c r="K47" i="26" s="1"/>
  <c r="K46" i="28" s="1"/>
  <c r="K46" i="29" s="1"/>
  <c r="K46" i="30" s="1"/>
  <c r="K46" i="31" s="1"/>
  <c r="K46" i="32" s="1"/>
  <c r="K46" i="33" s="1"/>
  <c r="K46" i="34" s="1"/>
  <c r="K46" i="35" s="1"/>
  <c r="E38" i="36" s="1"/>
  <c r="H47" i="6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9" i="24" s="1"/>
  <c r="H47" i="25" s="1"/>
  <c r="H48" i="26" s="1"/>
  <c r="H47" i="28" s="1"/>
  <c r="H47" i="29" s="1"/>
  <c r="H47" i="30" s="1"/>
  <c r="H47" i="31" s="1"/>
  <c r="H47" i="32" s="1"/>
  <c r="H47" i="33" s="1"/>
  <c r="H47" i="34" s="1"/>
  <c r="H47" i="35" s="1"/>
  <c r="B39" i="36" s="1"/>
  <c r="I47" i="6"/>
  <c r="I47" i="7" s="1"/>
  <c r="I47" i="8" s="1"/>
  <c r="I47" i="9" s="1"/>
  <c r="I47" i="10" s="1"/>
  <c r="I47" i="11" s="1"/>
  <c r="I47" i="12" s="1"/>
  <c r="I47" i="13" s="1"/>
  <c r="I47" i="14" s="1"/>
  <c r="I47" i="15" s="1"/>
  <c r="I47" i="16" s="1"/>
  <c r="I47" i="17" s="1"/>
  <c r="I47" i="18" s="1"/>
  <c r="I47" i="19" s="1"/>
  <c r="I47" i="20" s="1"/>
  <c r="I47" i="21" s="1"/>
  <c r="I47" i="22" s="1"/>
  <c r="I47" i="23" s="1"/>
  <c r="I49" i="24" s="1"/>
  <c r="I47" i="25" s="1"/>
  <c r="I48" i="26" s="1"/>
  <c r="I47" i="28" s="1"/>
  <c r="I47" i="29" s="1"/>
  <c r="I47" i="30" s="1"/>
  <c r="I47" i="31" s="1"/>
  <c r="I47" i="32" s="1"/>
  <c r="I47" i="33" s="1"/>
  <c r="I47" i="34" s="1"/>
  <c r="I47" i="35" s="1"/>
  <c r="C39" i="36" s="1"/>
  <c r="J47" i="6"/>
  <c r="J47" i="7" s="1"/>
  <c r="J47" i="8" s="1"/>
  <c r="J47" i="9" s="1"/>
  <c r="J47" i="10" s="1"/>
  <c r="J47" i="11" s="1"/>
  <c r="J47" i="12" s="1"/>
  <c r="J47" i="13" s="1"/>
  <c r="J47" i="14" s="1"/>
  <c r="J47" i="15" s="1"/>
  <c r="J47" i="16" s="1"/>
  <c r="J47" i="17" s="1"/>
  <c r="J47" i="18" s="1"/>
  <c r="J47" i="19" s="1"/>
  <c r="J47" i="20" s="1"/>
  <c r="J47" i="21" s="1"/>
  <c r="J47" i="22" s="1"/>
  <c r="J47" i="23" s="1"/>
  <c r="J49" i="24" s="1"/>
  <c r="J47" i="25" s="1"/>
  <c r="J48" i="26" s="1"/>
  <c r="J47" i="28" s="1"/>
  <c r="J47" i="29" s="1"/>
  <c r="J47" i="30" s="1"/>
  <c r="J47" i="31" s="1"/>
  <c r="J47" i="32" s="1"/>
  <c r="J47" i="33" s="1"/>
  <c r="J47" i="34" s="1"/>
  <c r="J47" i="35" s="1"/>
  <c r="D39" i="36" s="1"/>
  <c r="K47" i="6"/>
  <c r="K47" i="7" s="1"/>
  <c r="K47" i="8" s="1"/>
  <c r="K47" i="9" s="1"/>
  <c r="K47" i="10" s="1"/>
  <c r="K47" i="11" s="1"/>
  <c r="K47" i="12" s="1"/>
  <c r="K47" i="13" s="1"/>
  <c r="K47" i="14" s="1"/>
  <c r="K47" i="15" s="1"/>
  <c r="K47" i="16" s="1"/>
  <c r="K47" i="17" s="1"/>
  <c r="K47" i="18" s="1"/>
  <c r="K47" i="19" s="1"/>
  <c r="K47" i="20" s="1"/>
  <c r="K47" i="21" s="1"/>
  <c r="K47" i="22" s="1"/>
  <c r="K47" i="23" s="1"/>
  <c r="K49" i="24" s="1"/>
  <c r="K47" i="25" s="1"/>
  <c r="K48" i="26" s="1"/>
  <c r="K47" i="28" s="1"/>
  <c r="K47" i="29" s="1"/>
  <c r="K47" i="30" s="1"/>
  <c r="K47" i="31" s="1"/>
  <c r="K47" i="32" s="1"/>
  <c r="K47" i="33" s="1"/>
  <c r="K47" i="34" s="1"/>
  <c r="K47" i="35" s="1"/>
  <c r="E39" i="36" s="1"/>
  <c r="H48" i="6"/>
  <c r="H48" i="7" s="1"/>
  <c r="H48" i="8" s="1"/>
  <c r="H48" i="9" s="1"/>
  <c r="H48" i="10" s="1"/>
  <c r="H48" i="11" s="1"/>
  <c r="H48" i="12" s="1"/>
  <c r="H48" i="13" s="1"/>
  <c r="H48" i="14" s="1"/>
  <c r="H48" i="15" s="1"/>
  <c r="H48" i="16" s="1"/>
  <c r="H48" i="17" s="1"/>
  <c r="H48" i="18" s="1"/>
  <c r="H48" i="19" s="1"/>
  <c r="H48" i="20" s="1"/>
  <c r="H48" i="21" s="1"/>
  <c r="H48" i="22" s="1"/>
  <c r="H48" i="23" s="1"/>
  <c r="H50" i="24" s="1"/>
  <c r="H48" i="25" s="1"/>
  <c r="H49" i="26" s="1"/>
  <c r="H48" i="27" s="1"/>
  <c r="H48" i="28" s="1"/>
  <c r="H48" i="30" s="1"/>
  <c r="H48" i="31" s="1"/>
  <c r="H48" i="32" s="1"/>
  <c r="H48" i="33" s="1"/>
  <c r="H48" i="34" s="1"/>
  <c r="H48" i="35" s="1"/>
  <c r="B40" i="36" s="1"/>
  <c r="I48" i="6"/>
  <c r="I48" i="7" s="1"/>
  <c r="I48" i="8" s="1"/>
  <c r="I48" i="9" s="1"/>
  <c r="I48" i="10" s="1"/>
  <c r="I48" i="11" s="1"/>
  <c r="I48" i="12" s="1"/>
  <c r="I48" i="13" s="1"/>
  <c r="I48" i="14" s="1"/>
  <c r="I48" i="15" s="1"/>
  <c r="I48" i="16" s="1"/>
  <c r="I48" i="17" s="1"/>
  <c r="I48" i="18" s="1"/>
  <c r="I48" i="19" s="1"/>
  <c r="I48" i="20" s="1"/>
  <c r="I48" i="21" s="1"/>
  <c r="I48" i="22" s="1"/>
  <c r="I48" i="23" s="1"/>
  <c r="I50" i="24" s="1"/>
  <c r="I48" i="25" s="1"/>
  <c r="I49" i="26" s="1"/>
  <c r="I48" i="27" s="1"/>
  <c r="I48" i="28" s="1"/>
  <c r="I48" i="30" s="1"/>
  <c r="I48" i="31" s="1"/>
  <c r="I48" i="32" s="1"/>
  <c r="I48" i="33" s="1"/>
  <c r="I48" i="34" s="1"/>
  <c r="I48" i="35" s="1"/>
  <c r="C40" i="36" s="1"/>
  <c r="J48" i="6"/>
  <c r="J48" i="7" s="1"/>
  <c r="J48" i="8" s="1"/>
  <c r="J48" i="9" s="1"/>
  <c r="J48" i="10" s="1"/>
  <c r="J48" i="11" s="1"/>
  <c r="J48" i="12" s="1"/>
  <c r="J48" i="13" s="1"/>
  <c r="J48" i="14" s="1"/>
  <c r="J48" i="15" s="1"/>
  <c r="J48" i="16" s="1"/>
  <c r="J48" i="17" s="1"/>
  <c r="J48" i="18" s="1"/>
  <c r="J48" i="19" s="1"/>
  <c r="J48" i="20" s="1"/>
  <c r="J48" i="21" s="1"/>
  <c r="J48" i="22" s="1"/>
  <c r="J48" i="23" s="1"/>
  <c r="J50" i="24" s="1"/>
  <c r="J48" i="25" s="1"/>
  <c r="J49" i="26" s="1"/>
  <c r="J48" i="27" s="1"/>
  <c r="J48" i="28" s="1"/>
  <c r="J48" i="30" s="1"/>
  <c r="J48" i="31" s="1"/>
  <c r="J48" i="32" s="1"/>
  <c r="J48" i="33" s="1"/>
  <c r="J48" i="34" s="1"/>
  <c r="J48" i="35" s="1"/>
  <c r="D40" i="36" s="1"/>
  <c r="K48" i="6"/>
  <c r="K48" i="7" s="1"/>
  <c r="K48" i="8" s="1"/>
  <c r="K48" i="9" s="1"/>
  <c r="K48" i="10" s="1"/>
  <c r="K48" i="11" s="1"/>
  <c r="K48" i="12" s="1"/>
  <c r="K48" i="13" s="1"/>
  <c r="K48" i="14" s="1"/>
  <c r="K48" i="15" s="1"/>
  <c r="K48" i="16" s="1"/>
  <c r="K48" i="17" s="1"/>
  <c r="K48" i="18" s="1"/>
  <c r="K48" i="19" s="1"/>
  <c r="K48" i="20" s="1"/>
  <c r="K48" i="21" s="1"/>
  <c r="K48" i="22" s="1"/>
  <c r="K48" i="23" s="1"/>
  <c r="K50" i="24" s="1"/>
  <c r="K48" i="25" s="1"/>
  <c r="K49" i="26" s="1"/>
  <c r="K48" i="27" s="1"/>
  <c r="K48" i="28" s="1"/>
  <c r="K48" i="30" s="1"/>
  <c r="K48" i="31" s="1"/>
  <c r="K48" i="32" s="1"/>
  <c r="K48" i="33" s="1"/>
  <c r="K48" i="34" s="1"/>
  <c r="K48" i="35" s="1"/>
  <c r="E40" i="36" s="1"/>
  <c r="H49" i="6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51" i="24" s="1"/>
  <c r="H49" i="25" s="1"/>
  <c r="H50" i="26" s="1"/>
  <c r="H49" i="27" s="1"/>
  <c r="H49" i="28" s="1"/>
  <c r="H49" i="30" s="1"/>
  <c r="H49" i="31" s="1"/>
  <c r="H49" i="32" s="1"/>
  <c r="H49" i="33" s="1"/>
  <c r="H49" i="34" s="1"/>
  <c r="H49" i="35" s="1"/>
  <c r="B41" i="36" s="1"/>
  <c r="I49" i="6"/>
  <c r="I49" i="7" s="1"/>
  <c r="I49" i="8" s="1"/>
  <c r="I49" i="9" s="1"/>
  <c r="I49" i="10" s="1"/>
  <c r="I49" i="11" s="1"/>
  <c r="I49" i="12" s="1"/>
  <c r="I49" i="13" s="1"/>
  <c r="I49" i="14" s="1"/>
  <c r="I49" i="15" s="1"/>
  <c r="I49" i="16" s="1"/>
  <c r="I49" i="17" s="1"/>
  <c r="I49" i="18" s="1"/>
  <c r="I49" i="19" s="1"/>
  <c r="I49" i="20" s="1"/>
  <c r="I49" i="21" s="1"/>
  <c r="I49" i="22" s="1"/>
  <c r="I49" i="23" s="1"/>
  <c r="I51" i="24" s="1"/>
  <c r="I49" i="25" s="1"/>
  <c r="I50" i="26" s="1"/>
  <c r="I49" i="27" s="1"/>
  <c r="I49" i="28" s="1"/>
  <c r="I49" i="30" s="1"/>
  <c r="I49" i="31" s="1"/>
  <c r="I49" i="32" s="1"/>
  <c r="I49" i="33" s="1"/>
  <c r="I49" i="34" s="1"/>
  <c r="I49" i="35" s="1"/>
  <c r="C41" i="36" s="1"/>
  <c r="J49" i="6"/>
  <c r="J49" i="7" s="1"/>
  <c r="J49" i="8" s="1"/>
  <c r="J49" i="9" s="1"/>
  <c r="J49" i="10" s="1"/>
  <c r="J49" i="11" s="1"/>
  <c r="J49" i="12" s="1"/>
  <c r="J49" i="13" s="1"/>
  <c r="J49" i="14" s="1"/>
  <c r="J49" i="15" s="1"/>
  <c r="J49" i="16" s="1"/>
  <c r="J49" i="17" s="1"/>
  <c r="J49" i="18" s="1"/>
  <c r="J49" i="19" s="1"/>
  <c r="J49" i="20" s="1"/>
  <c r="J49" i="21" s="1"/>
  <c r="J49" i="22" s="1"/>
  <c r="J49" i="23" s="1"/>
  <c r="J51" i="24" s="1"/>
  <c r="J49" i="25" s="1"/>
  <c r="J50" i="26" s="1"/>
  <c r="J49" i="27" s="1"/>
  <c r="J49" i="28" s="1"/>
  <c r="J49" i="30" s="1"/>
  <c r="J49" i="31" s="1"/>
  <c r="J49" i="32" s="1"/>
  <c r="J49" i="33" s="1"/>
  <c r="J49" i="34" s="1"/>
  <c r="J49" i="35" s="1"/>
  <c r="D41" i="36" s="1"/>
  <c r="K49" i="6"/>
  <c r="K49" i="7" s="1"/>
  <c r="K49" i="8" s="1"/>
  <c r="K49" i="9" s="1"/>
  <c r="K49" i="10" s="1"/>
  <c r="K49" i="11" s="1"/>
  <c r="K49" i="12" s="1"/>
  <c r="K49" i="13" s="1"/>
  <c r="K49" i="14" s="1"/>
  <c r="K49" i="15" s="1"/>
  <c r="K49" i="16" s="1"/>
  <c r="K49" i="17" s="1"/>
  <c r="K49" i="18" s="1"/>
  <c r="K49" i="19" s="1"/>
  <c r="K49" i="20" s="1"/>
  <c r="K49" i="21" s="1"/>
  <c r="K49" i="22" s="1"/>
  <c r="K49" i="23" s="1"/>
  <c r="K51" i="24" s="1"/>
  <c r="K49" i="25" s="1"/>
  <c r="K50" i="26" s="1"/>
  <c r="K49" i="27" s="1"/>
  <c r="K49" i="28" s="1"/>
  <c r="K49" i="30" s="1"/>
  <c r="K49" i="31" s="1"/>
  <c r="K49" i="32" s="1"/>
  <c r="K49" i="33" s="1"/>
  <c r="K49" i="34" s="1"/>
  <c r="K49" i="35" s="1"/>
  <c r="E41" i="36" s="1"/>
  <c r="Q30" i="6"/>
  <c r="Q30" i="7" s="1"/>
  <c r="Q30" i="8" s="1"/>
  <c r="Q30" i="9" s="1"/>
  <c r="Q30" i="10" s="1"/>
  <c r="Q30" i="11" s="1"/>
  <c r="Q30" i="12" s="1"/>
  <c r="Q30" i="13" s="1"/>
  <c r="Q30" i="14" s="1"/>
  <c r="Q30" i="15" s="1"/>
  <c r="Q30" i="16" s="1"/>
  <c r="Q30" i="17" s="1"/>
  <c r="Q30" i="18" s="1"/>
  <c r="Q30" i="19" s="1"/>
  <c r="Q30" i="20" s="1"/>
  <c r="Q30" i="21" s="1"/>
  <c r="P30" i="6"/>
  <c r="P30" i="7" s="1"/>
  <c r="P30" i="8" s="1"/>
  <c r="P30" i="9" s="1"/>
  <c r="P30" i="10" s="1"/>
  <c r="P30" i="11" s="1"/>
  <c r="P30" i="12" s="1"/>
  <c r="P30" i="13" s="1"/>
  <c r="P30" i="14" s="1"/>
  <c r="P30" i="15" s="1"/>
  <c r="P30" i="16" s="1"/>
  <c r="P30" i="17" s="1"/>
  <c r="P30" i="18" s="1"/>
  <c r="P30" i="19" s="1"/>
  <c r="P30" i="20" s="1"/>
  <c r="P30" i="21" s="1"/>
  <c r="O30" i="6"/>
  <c r="O30" i="7" s="1"/>
  <c r="O30" i="8" s="1"/>
  <c r="O30" i="9" s="1"/>
  <c r="O30" i="10" s="1"/>
  <c r="O30" i="11" s="1"/>
  <c r="O30" i="12" s="1"/>
  <c r="O30" i="13" s="1"/>
  <c r="O30" i="14" s="1"/>
  <c r="O30" i="15" s="1"/>
  <c r="O30" i="16" s="1"/>
  <c r="O30" i="17" s="1"/>
  <c r="O30" i="18" s="1"/>
  <c r="O30" i="19" s="1"/>
  <c r="O30" i="20" s="1"/>
  <c r="O30" i="21" s="1"/>
  <c r="O30" i="22" s="1"/>
  <c r="O30" i="23" s="1"/>
  <c r="O32" i="24" s="1"/>
  <c r="O30" i="25" s="1"/>
  <c r="O31" i="26" s="1"/>
  <c r="O30" i="27" s="1"/>
  <c r="O30" i="28" s="1"/>
  <c r="O30" i="29" s="1"/>
  <c r="O30" i="30" s="1"/>
  <c r="O30" i="31" s="1"/>
  <c r="O30" i="32" s="1"/>
  <c r="O30" i="33" s="1"/>
  <c r="O30" i="34" s="1"/>
  <c r="O30" i="35" s="1"/>
  <c r="C42" i="36" s="1"/>
  <c r="N30" i="6"/>
  <c r="N30" i="7" s="1"/>
  <c r="N30" i="8" s="1"/>
  <c r="N30" i="9" s="1"/>
  <c r="N30" i="10" s="1"/>
  <c r="N30" i="11" s="1"/>
  <c r="N30" i="12" s="1"/>
  <c r="N30" i="13" s="1"/>
  <c r="N30" i="14" s="1"/>
  <c r="N30" i="15" s="1"/>
  <c r="N30" i="16" s="1"/>
  <c r="N30" i="17" s="1"/>
  <c r="N30" i="18" s="1"/>
  <c r="N30" i="19" s="1"/>
  <c r="N30" i="20" s="1"/>
  <c r="N30" i="21" s="1"/>
  <c r="N30" i="22" s="1"/>
  <c r="N30" i="23" s="1"/>
  <c r="N32" i="24" s="1"/>
  <c r="N30" i="25" s="1"/>
  <c r="N31" i="26" s="1"/>
  <c r="N30" i="27" s="1"/>
  <c r="N30" i="28" s="1"/>
  <c r="N30" i="29" s="1"/>
  <c r="N30" i="30" s="1"/>
  <c r="N30" i="31" s="1"/>
  <c r="N30" i="32" s="1"/>
  <c r="N30" i="33" s="1"/>
  <c r="N30" i="34" s="1"/>
  <c r="N30" i="35" s="1"/>
  <c r="B42" i="36" s="1"/>
  <c r="K30" i="6"/>
  <c r="K30" i="7" s="1"/>
  <c r="K30" i="8" s="1"/>
  <c r="K30" i="9" s="1"/>
  <c r="K30" i="10" s="1"/>
  <c r="K30" i="11" s="1"/>
  <c r="K30" i="12" s="1"/>
  <c r="K30" i="13" s="1"/>
  <c r="K30" i="14" s="1"/>
  <c r="K30" i="15" s="1"/>
  <c r="K30" i="16" s="1"/>
  <c r="K30" i="17" s="1"/>
  <c r="K30" i="19" s="1"/>
  <c r="K30" i="20" s="1"/>
  <c r="K30" i="21" s="1"/>
  <c r="K30" i="22" s="1"/>
  <c r="K30" i="23" s="1"/>
  <c r="K32" i="24" s="1"/>
  <c r="K30" i="25" s="1"/>
  <c r="K31" i="26" s="1"/>
  <c r="K30" i="27" s="1"/>
  <c r="K30" i="28" s="1"/>
  <c r="K30" i="29" s="1"/>
  <c r="K30" i="30" s="1"/>
  <c r="K30" i="31" s="1"/>
  <c r="K30" i="32" s="1"/>
  <c r="K30" i="33" s="1"/>
  <c r="K30" i="34" s="1"/>
  <c r="K30" i="35" s="1"/>
  <c r="E22" i="36" s="1"/>
  <c r="J30" i="6"/>
  <c r="J30" i="7" s="1"/>
  <c r="J30" i="8" s="1"/>
  <c r="J30" i="9" s="1"/>
  <c r="J30" i="10" s="1"/>
  <c r="J30" i="11" s="1"/>
  <c r="J30" i="12" s="1"/>
  <c r="J30" i="13" s="1"/>
  <c r="J30" i="14" s="1"/>
  <c r="J30" i="15" s="1"/>
  <c r="J30" i="16" s="1"/>
  <c r="J30" i="17" s="1"/>
  <c r="J30" i="19" s="1"/>
  <c r="J30" i="20" s="1"/>
  <c r="J30" i="21" s="1"/>
  <c r="J30" i="22" s="1"/>
  <c r="J30" i="23" s="1"/>
  <c r="J32" i="24" s="1"/>
  <c r="J30" i="25" s="1"/>
  <c r="J31" i="26" s="1"/>
  <c r="J30" i="27" s="1"/>
  <c r="J30" i="28" s="1"/>
  <c r="J30" i="29" s="1"/>
  <c r="J30" i="30" s="1"/>
  <c r="J30" i="31" s="1"/>
  <c r="J30" i="32" s="1"/>
  <c r="J30" i="33" s="1"/>
  <c r="J30" i="34" s="1"/>
  <c r="J30" i="35" s="1"/>
  <c r="D22" i="36" s="1"/>
  <c r="I30" i="6"/>
  <c r="I30" i="7" s="1"/>
  <c r="I30" i="8" s="1"/>
  <c r="I30" i="9" s="1"/>
  <c r="I30" i="10" s="1"/>
  <c r="I30" i="11" s="1"/>
  <c r="I30" i="12" s="1"/>
  <c r="I30" i="13" s="1"/>
  <c r="I30" i="14" s="1"/>
  <c r="I30" i="15" s="1"/>
  <c r="I30" i="16" s="1"/>
  <c r="I30" i="17" s="1"/>
  <c r="I30" i="19" s="1"/>
  <c r="I30" i="20" s="1"/>
  <c r="I30" i="21" s="1"/>
  <c r="I30" i="22" s="1"/>
  <c r="I30" i="23" s="1"/>
  <c r="I32" i="24" s="1"/>
  <c r="I30" i="25" s="1"/>
  <c r="I31" i="26" s="1"/>
  <c r="I30" i="27" s="1"/>
  <c r="I30" i="28" s="1"/>
  <c r="I30" i="29" s="1"/>
  <c r="I30" i="30" s="1"/>
  <c r="I30" i="31" s="1"/>
  <c r="I30" i="32" s="1"/>
  <c r="I30" i="33" s="1"/>
  <c r="I30" i="34" s="1"/>
  <c r="I30" i="35" s="1"/>
  <c r="C22" i="36" s="1"/>
  <c r="H30" i="6"/>
  <c r="H30" i="7" s="1"/>
  <c r="H30" i="8" s="1"/>
  <c r="H30" i="9" s="1"/>
  <c r="H30" i="10" s="1"/>
  <c r="H30" i="11" s="1"/>
  <c r="H30" i="12" s="1"/>
  <c r="H30" i="13" s="1"/>
  <c r="H30" i="14" s="1"/>
  <c r="H30" i="15" s="1"/>
  <c r="H30" i="16" s="1"/>
  <c r="H30" i="17" s="1"/>
  <c r="H30" i="19" s="1"/>
  <c r="H30" i="20" s="1"/>
  <c r="H30" i="21" s="1"/>
  <c r="H30" i="22" s="1"/>
  <c r="H30" i="23" s="1"/>
  <c r="H32" i="24" s="1"/>
  <c r="H30" i="25" s="1"/>
  <c r="H31" i="26" s="1"/>
  <c r="H30" i="27" s="1"/>
  <c r="H30" i="28" s="1"/>
  <c r="H30" i="29" s="1"/>
  <c r="H30" i="30" s="1"/>
  <c r="H30" i="31" s="1"/>
  <c r="H30" i="32" s="1"/>
  <c r="H30" i="33" s="1"/>
  <c r="H30" i="34" s="1"/>
  <c r="H30" i="35" s="1"/>
  <c r="B22" i="36" s="1"/>
  <c r="B31" i="6"/>
  <c r="B31" i="7" s="1"/>
  <c r="B31" i="8" s="1"/>
  <c r="B31" i="9" s="1"/>
  <c r="B31" i="11" s="1"/>
  <c r="B31" i="12" s="1"/>
  <c r="B31" i="13" s="1"/>
  <c r="B31" i="14" s="1"/>
  <c r="B31" i="15" s="1"/>
  <c r="B31" i="16" s="1"/>
  <c r="B31" i="17" s="1"/>
  <c r="B31" i="18" s="1"/>
  <c r="B31" i="19" s="1"/>
  <c r="B31" i="20" s="1"/>
  <c r="B31" i="21" s="1"/>
  <c r="B31" i="22" s="1"/>
  <c r="B31" i="23" s="1"/>
  <c r="B33" i="24" s="1"/>
  <c r="B31" i="25" s="1"/>
  <c r="B32" i="26" s="1"/>
  <c r="B31" i="27" s="1"/>
  <c r="B31" i="28" s="1"/>
  <c r="B31" i="29" s="1"/>
  <c r="B31" i="30" s="1"/>
  <c r="B31" i="31" s="1"/>
  <c r="B31" i="32" s="1"/>
  <c r="B31" i="33" s="1"/>
  <c r="B31" i="34" s="1"/>
  <c r="B31" i="35" s="1"/>
  <c r="B3" i="36" s="1"/>
  <c r="C31" i="6"/>
  <c r="C31" i="7" s="1"/>
  <c r="C31" i="8" s="1"/>
  <c r="C31" i="9" s="1"/>
  <c r="C31" i="11" s="1"/>
  <c r="C31" i="12" s="1"/>
  <c r="C31" i="13" s="1"/>
  <c r="C31" i="14" s="1"/>
  <c r="C31" i="15" s="1"/>
  <c r="C31" i="16" s="1"/>
  <c r="C31" i="17" s="1"/>
  <c r="C31" i="18" s="1"/>
  <c r="C31" i="19" s="1"/>
  <c r="C31" i="20" s="1"/>
  <c r="C31" i="21" s="1"/>
  <c r="C31" i="22" s="1"/>
  <c r="C31" i="23" s="1"/>
  <c r="C33" i="24" s="1"/>
  <c r="C31" i="25" s="1"/>
  <c r="C32" i="26" s="1"/>
  <c r="C31" i="27" s="1"/>
  <c r="C31" i="28" s="1"/>
  <c r="C31" i="29" s="1"/>
  <c r="C31" i="30" s="1"/>
  <c r="C31" i="31" s="1"/>
  <c r="C31" i="32" s="1"/>
  <c r="C31" i="33" s="1"/>
  <c r="C31" i="34" s="1"/>
  <c r="C31" i="35" s="1"/>
  <c r="C3" i="36" s="1"/>
  <c r="D31" i="6"/>
  <c r="D31" i="7" s="1"/>
  <c r="D31" i="8" s="1"/>
  <c r="D31" i="9" s="1"/>
  <c r="D31" i="11" s="1"/>
  <c r="D31" i="12" s="1"/>
  <c r="D31" i="13" s="1"/>
  <c r="D31" i="14" s="1"/>
  <c r="D31" i="15" s="1"/>
  <c r="D31" i="16" s="1"/>
  <c r="D31" i="17" s="1"/>
  <c r="D31" i="18" s="1"/>
  <c r="D31" i="19" s="1"/>
  <c r="D31" i="20" s="1"/>
  <c r="D31" i="21" s="1"/>
  <c r="D31" i="22" s="1"/>
  <c r="D31" i="23" s="1"/>
  <c r="D33" i="24" s="1"/>
  <c r="D31" i="25" s="1"/>
  <c r="D31" i="27" s="1"/>
  <c r="D31" i="28" s="1"/>
  <c r="D31" i="29" s="1"/>
  <c r="D31" i="30" s="1"/>
  <c r="D31" i="31" s="1"/>
  <c r="D31" i="32" s="1"/>
  <c r="D31" i="33" s="1"/>
  <c r="D31" i="34" s="1"/>
  <c r="D31" i="35" s="1"/>
  <c r="D3" i="36" s="1"/>
  <c r="E31" i="6"/>
  <c r="E31" i="7" s="1"/>
  <c r="E31" i="8" s="1"/>
  <c r="E31" i="9" s="1"/>
  <c r="E31" i="11" s="1"/>
  <c r="E31" i="12" s="1"/>
  <c r="E31" i="13" s="1"/>
  <c r="E31" i="14" s="1"/>
  <c r="E31" i="15" s="1"/>
  <c r="E31" i="16" s="1"/>
  <c r="E31" i="17" s="1"/>
  <c r="E31" i="18" s="1"/>
  <c r="E31" i="19" s="1"/>
  <c r="E31" i="20" s="1"/>
  <c r="E31" i="21" s="1"/>
  <c r="E31" i="22" s="1"/>
  <c r="E31" i="23" s="1"/>
  <c r="E33" i="24" s="1"/>
  <c r="E31" i="25" s="1"/>
  <c r="E31" i="27" s="1"/>
  <c r="E31" i="28" s="1"/>
  <c r="E31" i="29" s="1"/>
  <c r="E31" i="30" s="1"/>
  <c r="E31" i="31" s="1"/>
  <c r="E31" i="32" s="1"/>
  <c r="E31" i="33" s="1"/>
  <c r="E31" i="34" s="1"/>
  <c r="E31" i="35" s="1"/>
  <c r="E3" i="36" s="1"/>
  <c r="B32" i="6"/>
  <c r="B32" i="7" s="1"/>
  <c r="B32" i="8" s="1"/>
  <c r="B32" i="9" s="1"/>
  <c r="B32" i="11" s="1"/>
  <c r="B32" i="12" s="1"/>
  <c r="B32" i="13" s="1"/>
  <c r="B32" i="14" s="1"/>
  <c r="B32" i="15" s="1"/>
  <c r="B32" i="16" s="1"/>
  <c r="B32" i="17" s="1"/>
  <c r="B32" i="18" s="1"/>
  <c r="B32" i="19" s="1"/>
  <c r="B32" i="20" s="1"/>
  <c r="B32" i="21" s="1"/>
  <c r="B32" i="22" s="1"/>
  <c r="B32" i="23" s="1"/>
  <c r="B34" i="24" s="1"/>
  <c r="B32" i="25" s="1"/>
  <c r="B33" i="26" s="1"/>
  <c r="B32" i="27" s="1"/>
  <c r="B32" i="28" s="1"/>
  <c r="B32" i="29" s="1"/>
  <c r="B32" i="30" s="1"/>
  <c r="B32" i="31" s="1"/>
  <c r="B32" i="32" s="1"/>
  <c r="B32" i="33" s="1"/>
  <c r="B32" i="34" s="1"/>
  <c r="B32" i="35" s="1"/>
  <c r="B4" i="36" s="1"/>
  <c r="C32" i="6"/>
  <c r="C32" i="7" s="1"/>
  <c r="C32" i="8" s="1"/>
  <c r="C32" i="9" s="1"/>
  <c r="C32" i="11" s="1"/>
  <c r="C32" i="12" s="1"/>
  <c r="C32" i="13" s="1"/>
  <c r="C32" i="14" s="1"/>
  <c r="C32" i="15" s="1"/>
  <c r="C32" i="16" s="1"/>
  <c r="C32" i="17" s="1"/>
  <c r="C32" i="18" s="1"/>
  <c r="C32" i="19" s="1"/>
  <c r="C32" i="20" s="1"/>
  <c r="C32" i="21" s="1"/>
  <c r="C32" i="22" s="1"/>
  <c r="C32" i="23" s="1"/>
  <c r="C34" i="24" s="1"/>
  <c r="C32" i="25" s="1"/>
  <c r="C33" i="26" s="1"/>
  <c r="C32" i="27" s="1"/>
  <c r="C32" i="28" s="1"/>
  <c r="C32" i="29" s="1"/>
  <c r="C32" i="30" s="1"/>
  <c r="C32" i="31" s="1"/>
  <c r="C32" i="32" s="1"/>
  <c r="C32" i="33" s="1"/>
  <c r="C32" i="34" s="1"/>
  <c r="C32" i="35" s="1"/>
  <c r="C4" i="36" s="1"/>
  <c r="D32" i="6"/>
  <c r="D32" i="7" s="1"/>
  <c r="D32" i="8" s="1"/>
  <c r="D32" i="9" s="1"/>
  <c r="D32" i="12" s="1"/>
  <c r="D32" i="13" s="1"/>
  <c r="D32" i="14" s="1"/>
  <c r="D32" i="15" s="1"/>
  <c r="D32" i="16" s="1"/>
  <c r="D32" i="17" s="1"/>
  <c r="D32" i="18" s="1"/>
  <c r="D32" i="19" s="1"/>
  <c r="D32" i="20" s="1"/>
  <c r="D32" i="21" s="1"/>
  <c r="D32" i="22" s="1"/>
  <c r="D32" i="23" s="1"/>
  <c r="D34" i="24" s="1"/>
  <c r="D32" i="25" s="1"/>
  <c r="D33" i="26" s="1"/>
  <c r="D32" i="27" s="1"/>
  <c r="D32" i="28" s="1"/>
  <c r="D32" i="29" s="1"/>
  <c r="D32" i="30" s="1"/>
  <c r="D32" i="31" s="1"/>
  <c r="D32" i="32" s="1"/>
  <c r="D32" i="33" s="1"/>
  <c r="D32" i="34" s="1"/>
  <c r="D32" i="35" s="1"/>
  <c r="D4" i="36" s="1"/>
  <c r="E32" i="6"/>
  <c r="E32" i="7" s="1"/>
  <c r="E32" i="8" s="1"/>
  <c r="E32" i="9" s="1"/>
  <c r="E32" i="12" s="1"/>
  <c r="E32" i="13" s="1"/>
  <c r="E32" i="14" s="1"/>
  <c r="E32" i="15" s="1"/>
  <c r="E32" i="16" s="1"/>
  <c r="E32" i="17" s="1"/>
  <c r="E32" i="18" s="1"/>
  <c r="E32" i="19" s="1"/>
  <c r="E32" i="20" s="1"/>
  <c r="E32" i="21" s="1"/>
  <c r="E32" i="22" s="1"/>
  <c r="E32" i="23" s="1"/>
  <c r="E34" i="24" s="1"/>
  <c r="E32" i="25" s="1"/>
  <c r="E33" i="26" s="1"/>
  <c r="E32" i="27" s="1"/>
  <c r="E32" i="28" s="1"/>
  <c r="E32" i="29" s="1"/>
  <c r="E32" i="30" s="1"/>
  <c r="E32" i="31" s="1"/>
  <c r="E32" i="32" s="1"/>
  <c r="E32" i="33" s="1"/>
  <c r="E32" i="34" s="1"/>
  <c r="E32" i="35" s="1"/>
  <c r="E4" i="36" s="1"/>
  <c r="B33" i="6"/>
  <c r="B33" i="7" s="1"/>
  <c r="B33" i="8" s="1"/>
  <c r="B33" i="9" s="1"/>
  <c r="B33" i="11" s="1"/>
  <c r="B33" i="12" s="1"/>
  <c r="B33" i="13" s="1"/>
  <c r="B33" i="14" s="1"/>
  <c r="B33" i="15" s="1"/>
  <c r="B33" i="16" s="1"/>
  <c r="B33" i="17" s="1"/>
  <c r="B33" i="18" s="1"/>
  <c r="B33" i="19" s="1"/>
  <c r="B33" i="20" s="1"/>
  <c r="B33" i="21" s="1"/>
  <c r="B33" i="22" s="1"/>
  <c r="B33" i="23" s="1"/>
  <c r="B35" i="24" s="1"/>
  <c r="B33" i="25" s="1"/>
  <c r="B34" i="26" s="1"/>
  <c r="B33" i="27" s="1"/>
  <c r="B33" i="28" s="1"/>
  <c r="B33" i="29" s="1"/>
  <c r="B33" i="30" s="1"/>
  <c r="B33" i="31" s="1"/>
  <c r="B33" i="32" s="1"/>
  <c r="B33" i="33" s="1"/>
  <c r="B33" i="34" s="1"/>
  <c r="B33" i="35" s="1"/>
  <c r="B5" i="36" s="1"/>
  <c r="C33" i="6"/>
  <c r="C33" i="7" s="1"/>
  <c r="C33" i="8" s="1"/>
  <c r="C33" i="9" s="1"/>
  <c r="C33" i="11" s="1"/>
  <c r="C33" i="12" s="1"/>
  <c r="C33" i="13" s="1"/>
  <c r="C33" i="14" s="1"/>
  <c r="C33" i="15" s="1"/>
  <c r="C33" i="16" s="1"/>
  <c r="C33" i="17" s="1"/>
  <c r="C33" i="18" s="1"/>
  <c r="C33" i="19" s="1"/>
  <c r="C33" i="20" s="1"/>
  <c r="C33" i="21" s="1"/>
  <c r="C33" i="22" s="1"/>
  <c r="C33" i="23" s="1"/>
  <c r="C35" i="24" s="1"/>
  <c r="C33" i="25" s="1"/>
  <c r="C34" i="26" s="1"/>
  <c r="C33" i="27" s="1"/>
  <c r="C33" i="28" s="1"/>
  <c r="C33" i="29" s="1"/>
  <c r="C33" i="30" s="1"/>
  <c r="C33" i="31" s="1"/>
  <c r="C33" i="32" s="1"/>
  <c r="C33" i="33" s="1"/>
  <c r="C33" i="34" s="1"/>
  <c r="C33" i="35" s="1"/>
  <c r="C5" i="36" s="1"/>
  <c r="D33" i="6"/>
  <c r="D33" i="7" s="1"/>
  <c r="D33" i="8" s="1"/>
  <c r="D33" i="9" s="1"/>
  <c r="D33" i="11" s="1"/>
  <c r="D33" i="12" s="1"/>
  <c r="D33" i="13" s="1"/>
  <c r="D33" i="14" s="1"/>
  <c r="D33" i="15" s="1"/>
  <c r="D33" i="16" s="1"/>
  <c r="D33" i="17" s="1"/>
  <c r="D33" i="18" s="1"/>
  <c r="D33" i="19" s="1"/>
  <c r="D33" i="20" s="1"/>
  <c r="D33" i="21" s="1"/>
  <c r="D33" i="22" s="1"/>
  <c r="D33" i="23" s="1"/>
  <c r="D35" i="24" s="1"/>
  <c r="D33" i="25" s="1"/>
  <c r="D34" i="26" s="1"/>
  <c r="D33" i="27" s="1"/>
  <c r="D33" i="28" s="1"/>
  <c r="D33" i="29" s="1"/>
  <c r="D33" i="30" s="1"/>
  <c r="D33" i="31" s="1"/>
  <c r="D33" i="32" s="1"/>
  <c r="D33" i="33" s="1"/>
  <c r="D33" i="34" s="1"/>
  <c r="D33" i="35" s="1"/>
  <c r="D5" i="36" s="1"/>
  <c r="E33" i="6"/>
  <c r="E33" i="7" s="1"/>
  <c r="E33" i="8" s="1"/>
  <c r="E33" i="9" s="1"/>
  <c r="E33" i="11" s="1"/>
  <c r="E33" i="12" s="1"/>
  <c r="E33" i="13" s="1"/>
  <c r="E33" i="14" s="1"/>
  <c r="E33" i="15" s="1"/>
  <c r="E33" i="16" s="1"/>
  <c r="E33" i="17" s="1"/>
  <c r="E33" i="18" s="1"/>
  <c r="E33" i="19" s="1"/>
  <c r="E33" i="20" s="1"/>
  <c r="E33" i="21" s="1"/>
  <c r="E33" i="22" s="1"/>
  <c r="E33" i="23" s="1"/>
  <c r="E35" i="24" s="1"/>
  <c r="E33" i="25" s="1"/>
  <c r="E34" i="26" s="1"/>
  <c r="E33" i="27" s="1"/>
  <c r="E33" i="28" s="1"/>
  <c r="E33" i="29" s="1"/>
  <c r="E33" i="30" s="1"/>
  <c r="E33" i="31" s="1"/>
  <c r="E33" i="32" s="1"/>
  <c r="E33" i="33" s="1"/>
  <c r="E33" i="34" s="1"/>
  <c r="E33" i="35" s="1"/>
  <c r="E5" i="36" s="1"/>
  <c r="B34" i="6"/>
  <c r="B34" i="7" s="1"/>
  <c r="B34" i="8" s="1"/>
  <c r="B34" i="9" s="1"/>
  <c r="B34" i="10" s="1"/>
  <c r="B34" i="12" s="1"/>
  <c r="B34" i="13" s="1"/>
  <c r="B34" i="14" s="1"/>
  <c r="B34" i="15" s="1"/>
  <c r="B34" i="16" s="1"/>
  <c r="B34" i="17" s="1"/>
  <c r="B34" i="18" s="1"/>
  <c r="B34" i="19" s="1"/>
  <c r="B34" i="20" s="1"/>
  <c r="B34" i="21" s="1"/>
  <c r="B34" i="22" s="1"/>
  <c r="B34" i="23" s="1"/>
  <c r="B36" i="24" s="1"/>
  <c r="B34" i="25" s="1"/>
  <c r="B35" i="26" s="1"/>
  <c r="B34" i="27" s="1"/>
  <c r="B34" i="28" s="1"/>
  <c r="B34" i="29" s="1"/>
  <c r="B34" i="30" s="1"/>
  <c r="B34" i="31" s="1"/>
  <c r="B34" i="32" s="1"/>
  <c r="B34" i="33" s="1"/>
  <c r="B34" i="34" s="1"/>
  <c r="B34" i="35" s="1"/>
  <c r="B6" i="36" s="1"/>
  <c r="C34" i="6"/>
  <c r="C34" i="7" s="1"/>
  <c r="C34" i="8" s="1"/>
  <c r="C34" i="9" s="1"/>
  <c r="C34" i="10" s="1"/>
  <c r="C34" i="12" s="1"/>
  <c r="C34" i="13" s="1"/>
  <c r="C34" i="14" s="1"/>
  <c r="C34" i="15" s="1"/>
  <c r="C34" i="16" s="1"/>
  <c r="C34" i="17" s="1"/>
  <c r="C34" i="18" s="1"/>
  <c r="C34" i="19" s="1"/>
  <c r="C34" i="20" s="1"/>
  <c r="C34" i="21" s="1"/>
  <c r="C34" i="22" s="1"/>
  <c r="C34" i="23" s="1"/>
  <c r="C36" i="24" s="1"/>
  <c r="C34" i="25" s="1"/>
  <c r="C35" i="26" s="1"/>
  <c r="C34" i="27" s="1"/>
  <c r="C34" i="28" s="1"/>
  <c r="C34" i="29" s="1"/>
  <c r="C34" i="30" s="1"/>
  <c r="C34" i="31" s="1"/>
  <c r="C34" i="32" s="1"/>
  <c r="C34" i="33" s="1"/>
  <c r="C34" i="34" s="1"/>
  <c r="C34" i="35" s="1"/>
  <c r="C6" i="36" s="1"/>
  <c r="D34" i="6"/>
  <c r="D34" i="7" s="1"/>
  <c r="D34" i="8" s="1"/>
  <c r="D34" i="9" s="1"/>
  <c r="D34" i="10" s="1"/>
  <c r="D34" i="16" s="1"/>
  <c r="D34" i="17" s="1"/>
  <c r="D34" i="18" s="1"/>
  <c r="D36" i="24" s="1"/>
  <c r="D34" i="25" s="1"/>
  <c r="D34" i="28" s="1"/>
  <c r="D34" i="29" s="1"/>
  <c r="D34" i="30" s="1"/>
  <c r="D34" i="31" s="1"/>
  <c r="D34" i="32" s="1"/>
  <c r="D34" i="33" s="1"/>
  <c r="D34" i="34" s="1"/>
  <c r="D34" i="35" s="1"/>
  <c r="D6" i="36" s="1"/>
  <c r="E34" i="6"/>
  <c r="E34" i="7" s="1"/>
  <c r="E34" i="8" s="1"/>
  <c r="E34" i="9" s="1"/>
  <c r="E34" i="10" s="1"/>
  <c r="E34" i="16" s="1"/>
  <c r="E34" i="17" s="1"/>
  <c r="E34" i="18" s="1"/>
  <c r="E34" i="21" s="1"/>
  <c r="E36" i="24" s="1"/>
  <c r="E34" i="25" s="1"/>
  <c r="E34" i="28" s="1"/>
  <c r="E34" i="29" s="1"/>
  <c r="E34" i="30" s="1"/>
  <c r="E34" i="31" s="1"/>
  <c r="E34" i="32" s="1"/>
  <c r="E34" i="33" s="1"/>
  <c r="E34" i="34" s="1"/>
  <c r="E34" i="35" s="1"/>
  <c r="E6" i="36" s="1"/>
  <c r="B35" i="6"/>
  <c r="B35" i="7" s="1"/>
  <c r="B35" i="8" s="1"/>
  <c r="B35" i="9" s="1"/>
  <c r="B35" i="10" s="1"/>
  <c r="B35" i="12" s="1"/>
  <c r="B35" i="13" s="1"/>
  <c r="B35" i="14" s="1"/>
  <c r="B35" i="15" s="1"/>
  <c r="B35" i="16" s="1"/>
  <c r="B35" i="17" s="1"/>
  <c r="B35" i="18" s="1"/>
  <c r="B35" i="19" s="1"/>
  <c r="B35" i="20" s="1"/>
  <c r="B35" i="21" s="1"/>
  <c r="B35" i="22" s="1"/>
  <c r="B35" i="23" s="1"/>
  <c r="B37" i="24" s="1"/>
  <c r="B35" i="25" s="1"/>
  <c r="B36" i="26" s="1"/>
  <c r="B35" i="27" s="1"/>
  <c r="B35" i="28" s="1"/>
  <c r="B35" i="29" s="1"/>
  <c r="B35" i="30" s="1"/>
  <c r="B35" i="31" s="1"/>
  <c r="B35" i="32" s="1"/>
  <c r="B35" i="33" s="1"/>
  <c r="B35" i="34" s="1"/>
  <c r="B35" i="35" s="1"/>
  <c r="B7" i="36" s="1"/>
  <c r="C35" i="6"/>
  <c r="C35" i="7" s="1"/>
  <c r="C35" i="8" s="1"/>
  <c r="C35" i="9" s="1"/>
  <c r="C35" i="10" s="1"/>
  <c r="C35" i="12" s="1"/>
  <c r="C35" i="13" s="1"/>
  <c r="C35" i="14" s="1"/>
  <c r="C35" i="15" s="1"/>
  <c r="C35" i="16" s="1"/>
  <c r="C35" i="17" s="1"/>
  <c r="C35" i="18" s="1"/>
  <c r="C35" i="19" s="1"/>
  <c r="C35" i="20" s="1"/>
  <c r="C35" i="21" s="1"/>
  <c r="C35" i="22" s="1"/>
  <c r="C35" i="23" s="1"/>
  <c r="C37" i="24" s="1"/>
  <c r="C35" i="25" s="1"/>
  <c r="C36" i="26" s="1"/>
  <c r="C35" i="27" s="1"/>
  <c r="C35" i="28" s="1"/>
  <c r="C35" i="29" s="1"/>
  <c r="C35" i="30" s="1"/>
  <c r="C35" i="31" s="1"/>
  <c r="C35" i="32" s="1"/>
  <c r="C35" i="33" s="1"/>
  <c r="C35" i="34" s="1"/>
  <c r="C35" i="35" s="1"/>
  <c r="C7" i="36" s="1"/>
  <c r="D35" i="6"/>
  <c r="D35" i="7" s="1"/>
  <c r="D35" i="8" s="1"/>
  <c r="D35" i="9" s="1"/>
  <c r="D35" i="10" s="1"/>
  <c r="D35" i="12" s="1"/>
  <c r="D35" i="13" s="1"/>
  <c r="D35" i="14" s="1"/>
  <c r="D35" i="16" s="1"/>
  <c r="D35" i="17" s="1"/>
  <c r="D35" i="18" s="1"/>
  <c r="D35" i="19" s="1"/>
  <c r="D35" i="20" s="1"/>
  <c r="D35" i="21" s="1"/>
  <c r="D35" i="22" s="1"/>
  <c r="D35" i="23" s="1"/>
  <c r="D37" i="24" s="1"/>
  <c r="D35" i="25" s="1"/>
  <c r="D36" i="26" s="1"/>
  <c r="D35" i="27" s="1"/>
  <c r="D35" i="28" s="1"/>
  <c r="D35" i="29" s="1"/>
  <c r="D35" i="30" s="1"/>
  <c r="D35" i="31" s="1"/>
  <c r="D35" i="32" s="1"/>
  <c r="D35" i="33" s="1"/>
  <c r="D35" i="34" s="1"/>
  <c r="D35" i="35" s="1"/>
  <c r="D7" i="36" s="1"/>
  <c r="E35" i="6"/>
  <c r="E35" i="7" s="1"/>
  <c r="E35" i="8" s="1"/>
  <c r="E35" i="9" s="1"/>
  <c r="E35" i="10" s="1"/>
  <c r="E35" i="12" s="1"/>
  <c r="E35" i="13" s="1"/>
  <c r="E35" i="14" s="1"/>
  <c r="E35" i="16" s="1"/>
  <c r="E35" i="17" s="1"/>
  <c r="E35" i="18" s="1"/>
  <c r="E35" i="19" s="1"/>
  <c r="E35" i="20" s="1"/>
  <c r="E35" i="21" s="1"/>
  <c r="E35" i="22" s="1"/>
  <c r="E35" i="23" s="1"/>
  <c r="E37" i="24" s="1"/>
  <c r="E35" i="25" s="1"/>
  <c r="E36" i="26" s="1"/>
  <c r="E35" i="27" s="1"/>
  <c r="E35" i="28" s="1"/>
  <c r="E35" i="29" s="1"/>
  <c r="E35" i="30" s="1"/>
  <c r="E35" i="31" s="1"/>
  <c r="E35" i="32" s="1"/>
  <c r="E35" i="33" s="1"/>
  <c r="E35" i="34" s="1"/>
  <c r="E35" i="35" s="1"/>
  <c r="E7" i="36" s="1"/>
  <c r="B36" i="6"/>
  <c r="B36" i="7" s="1"/>
  <c r="B36" i="8" s="1"/>
  <c r="B36" i="9" s="1"/>
  <c r="B36" i="10" s="1"/>
  <c r="B36" i="12" s="1"/>
  <c r="B36" i="13" s="1"/>
  <c r="B36" i="14" s="1"/>
  <c r="B36" i="15" s="1"/>
  <c r="B36" i="16" s="1"/>
  <c r="B36" i="17" s="1"/>
  <c r="B36" i="18" s="1"/>
  <c r="B36" i="19" s="1"/>
  <c r="B36" i="20" s="1"/>
  <c r="B36" i="21" s="1"/>
  <c r="B36" i="22" s="1"/>
  <c r="B36" i="23" s="1"/>
  <c r="B38" i="24" s="1"/>
  <c r="B36" i="25" s="1"/>
  <c r="B37" i="26" s="1"/>
  <c r="B36" i="27" s="1"/>
  <c r="B36" i="28" s="1"/>
  <c r="B36" i="29" s="1"/>
  <c r="B36" i="30" s="1"/>
  <c r="B36" i="31" s="1"/>
  <c r="B36" i="32" s="1"/>
  <c r="B36" i="33" s="1"/>
  <c r="B36" i="34" s="1"/>
  <c r="B36" i="35" s="1"/>
  <c r="B8" i="36" s="1"/>
  <c r="C36" i="6"/>
  <c r="C36" i="7" s="1"/>
  <c r="C36" i="8" s="1"/>
  <c r="C36" i="9" s="1"/>
  <c r="C36" i="10" s="1"/>
  <c r="C36" i="12" s="1"/>
  <c r="C36" i="13" s="1"/>
  <c r="C36" i="14" s="1"/>
  <c r="C36" i="15" s="1"/>
  <c r="C36" i="16" s="1"/>
  <c r="C36" i="17" s="1"/>
  <c r="C36" i="18" s="1"/>
  <c r="C36" i="19" s="1"/>
  <c r="C36" i="20" s="1"/>
  <c r="C36" i="21" s="1"/>
  <c r="C36" i="22" s="1"/>
  <c r="C36" i="23" s="1"/>
  <c r="C38" i="24" s="1"/>
  <c r="C36" i="25" s="1"/>
  <c r="C37" i="26" s="1"/>
  <c r="C36" i="27" s="1"/>
  <c r="C36" i="28" s="1"/>
  <c r="C36" i="29" s="1"/>
  <c r="C36" i="30" s="1"/>
  <c r="C36" i="31" s="1"/>
  <c r="C36" i="32" s="1"/>
  <c r="C36" i="33" s="1"/>
  <c r="C36" i="34" s="1"/>
  <c r="C36" i="35" s="1"/>
  <c r="C8" i="36" s="1"/>
  <c r="D36" i="6"/>
  <c r="D36" i="7" s="1"/>
  <c r="D36" i="8" s="1"/>
  <c r="D36" i="9" s="1"/>
  <c r="D36" i="10" s="1"/>
  <c r="D36" i="12" s="1"/>
  <c r="D36" i="13" s="1"/>
  <c r="D36" i="15" s="1"/>
  <c r="D36" i="16" s="1"/>
  <c r="D36" i="17" s="1"/>
  <c r="D36" i="18" s="1"/>
  <c r="D36" i="19" s="1"/>
  <c r="D36" i="22" s="1"/>
  <c r="D36" i="23" s="1"/>
  <c r="D38" i="24" s="1"/>
  <c r="D36" i="25" s="1"/>
  <c r="D36" i="27" s="1"/>
  <c r="D36" i="28" s="1"/>
  <c r="D36" i="29" s="1"/>
  <c r="D36" i="30" s="1"/>
  <c r="D36" i="31" s="1"/>
  <c r="D36" i="32" s="1"/>
  <c r="D36" i="33" s="1"/>
  <c r="D36" i="34" s="1"/>
  <c r="D36" i="35" s="1"/>
  <c r="D8" i="36" s="1"/>
  <c r="E36" i="6"/>
  <c r="E36" i="7" s="1"/>
  <c r="E36" i="8" s="1"/>
  <c r="E36" i="9" s="1"/>
  <c r="E36" i="10" s="1"/>
  <c r="E36" i="12" s="1"/>
  <c r="E36" i="13" s="1"/>
  <c r="E36" i="15" s="1"/>
  <c r="E36" i="16" s="1"/>
  <c r="E36" i="17" s="1"/>
  <c r="E36" i="18" s="1"/>
  <c r="E36" i="19" s="1"/>
  <c r="E36" i="22" s="1"/>
  <c r="E36" i="23" s="1"/>
  <c r="E38" i="24" s="1"/>
  <c r="E36" i="25" s="1"/>
  <c r="E36" i="27" s="1"/>
  <c r="E36" i="28" s="1"/>
  <c r="E36" i="29" s="1"/>
  <c r="E36" i="30" s="1"/>
  <c r="E36" i="31" s="1"/>
  <c r="E36" i="32" s="1"/>
  <c r="E36" i="33" s="1"/>
  <c r="E36" i="34" s="1"/>
  <c r="E36" i="35" s="1"/>
  <c r="E8" i="36" s="1"/>
  <c r="B37" i="6"/>
  <c r="B37" i="7" s="1"/>
  <c r="B37" i="8" s="1"/>
  <c r="B37" i="9" s="1"/>
  <c r="B37" i="10" s="1"/>
  <c r="B37" i="12" s="1"/>
  <c r="B37" i="13" s="1"/>
  <c r="B37" i="14" s="1"/>
  <c r="B37" i="15" s="1"/>
  <c r="B37" i="16" s="1"/>
  <c r="B37" i="17" s="1"/>
  <c r="B37" i="18" s="1"/>
  <c r="B37" i="19" s="1"/>
  <c r="B37" i="20" s="1"/>
  <c r="B37" i="21" s="1"/>
  <c r="B37" i="22" s="1"/>
  <c r="B37" i="23" s="1"/>
  <c r="B39" i="24" s="1"/>
  <c r="B37" i="25" s="1"/>
  <c r="B38" i="26" s="1"/>
  <c r="B37" i="27" s="1"/>
  <c r="B37" i="28" s="1"/>
  <c r="B37" i="29" s="1"/>
  <c r="B37" i="30" s="1"/>
  <c r="B37" i="31" s="1"/>
  <c r="B37" i="32" s="1"/>
  <c r="B37" i="33" s="1"/>
  <c r="B37" i="34" s="1"/>
  <c r="B37" i="35" s="1"/>
  <c r="B9" i="36" s="1"/>
  <c r="C37" i="6"/>
  <c r="C37" i="7" s="1"/>
  <c r="C37" i="8" s="1"/>
  <c r="C37" i="9" s="1"/>
  <c r="C37" i="10" s="1"/>
  <c r="C37" i="12" s="1"/>
  <c r="C37" i="13" s="1"/>
  <c r="C37" i="14" s="1"/>
  <c r="C37" i="15" s="1"/>
  <c r="C37" i="16" s="1"/>
  <c r="C37" i="17" s="1"/>
  <c r="C37" i="18" s="1"/>
  <c r="C37" i="19" s="1"/>
  <c r="C37" i="20" s="1"/>
  <c r="C37" i="21" s="1"/>
  <c r="C37" i="22" s="1"/>
  <c r="C37" i="23" s="1"/>
  <c r="C39" i="24" s="1"/>
  <c r="C37" i="25" s="1"/>
  <c r="C38" i="26" s="1"/>
  <c r="C37" i="27" s="1"/>
  <c r="C37" i="28" s="1"/>
  <c r="C37" i="29" s="1"/>
  <c r="C37" i="30" s="1"/>
  <c r="C37" i="31" s="1"/>
  <c r="C37" i="32" s="1"/>
  <c r="C37" i="33" s="1"/>
  <c r="C37" i="34" s="1"/>
  <c r="C37" i="35" s="1"/>
  <c r="C9" i="36" s="1"/>
  <c r="D37" i="6"/>
  <c r="D37" i="7" s="1"/>
  <c r="D37" i="8" s="1"/>
  <c r="D37" i="9" s="1"/>
  <c r="D37" i="10" s="1"/>
  <c r="D37" i="12" s="1"/>
  <c r="D37" i="15" s="1"/>
  <c r="D37" i="16" s="1"/>
  <c r="D37" i="17" s="1"/>
  <c r="D37" i="18" s="1"/>
  <c r="D37" i="19" s="1"/>
  <c r="D37" i="20" s="1"/>
  <c r="D37" i="21" s="1"/>
  <c r="D39" i="24" s="1"/>
  <c r="D37" i="25" s="1"/>
  <c r="D38" i="26" s="1"/>
  <c r="D37" i="27" s="1"/>
  <c r="D37" i="29" s="1"/>
  <c r="D37" i="30" s="1"/>
  <c r="D37" i="31" s="1"/>
  <c r="D37" i="32" s="1"/>
  <c r="D37" i="33" s="1"/>
  <c r="D37" i="34" s="1"/>
  <c r="D37" i="35" s="1"/>
  <c r="D9" i="36" s="1"/>
  <c r="E37" i="6"/>
  <c r="E37" i="7" s="1"/>
  <c r="E37" i="8" s="1"/>
  <c r="E37" i="9" s="1"/>
  <c r="E37" i="10" s="1"/>
  <c r="E37" i="12" s="1"/>
  <c r="E37" i="15" s="1"/>
  <c r="E37" i="16" s="1"/>
  <c r="E37" i="17" s="1"/>
  <c r="E37" i="18" s="1"/>
  <c r="E37" i="19" s="1"/>
  <c r="E37" i="20" s="1"/>
  <c r="E37" i="21" s="1"/>
  <c r="E39" i="24" s="1"/>
  <c r="E37" i="25" s="1"/>
  <c r="E38" i="26" s="1"/>
  <c r="E37" i="27" s="1"/>
  <c r="E37" i="29" s="1"/>
  <c r="E37" i="30" s="1"/>
  <c r="E37" i="31" s="1"/>
  <c r="E37" i="32" s="1"/>
  <c r="E37" i="33" s="1"/>
  <c r="E37" i="34" s="1"/>
  <c r="E37" i="35" s="1"/>
  <c r="E9" i="36" s="1"/>
  <c r="B38" i="6"/>
  <c r="B38" i="7" s="1"/>
  <c r="B38" i="8" s="1"/>
  <c r="B38" i="9" s="1"/>
  <c r="B38" i="10" s="1"/>
  <c r="B38" i="12" s="1"/>
  <c r="B38" i="13" s="1"/>
  <c r="B38" i="14" s="1"/>
  <c r="B38" i="15" s="1"/>
  <c r="B38" i="16" s="1"/>
  <c r="B38" i="17" s="1"/>
  <c r="B38" i="18" s="1"/>
  <c r="B38" i="19" s="1"/>
  <c r="B38" i="20" s="1"/>
  <c r="B38" i="21" s="1"/>
  <c r="B38" i="22" s="1"/>
  <c r="B38" i="23" s="1"/>
  <c r="B40" i="24" s="1"/>
  <c r="B38" i="25" s="1"/>
  <c r="B39" i="26" s="1"/>
  <c r="B38" i="27" s="1"/>
  <c r="B38" i="28" s="1"/>
  <c r="B38" i="29" s="1"/>
  <c r="B38" i="30" s="1"/>
  <c r="B38" i="31" s="1"/>
  <c r="B38" i="32" s="1"/>
  <c r="B38" i="33" s="1"/>
  <c r="B38" i="34" s="1"/>
  <c r="B38" i="35" s="1"/>
  <c r="B10" i="36" s="1"/>
  <c r="C38" i="6"/>
  <c r="C38" i="7" s="1"/>
  <c r="C38" i="8" s="1"/>
  <c r="C38" i="9" s="1"/>
  <c r="C38" i="10" s="1"/>
  <c r="C38" i="12" s="1"/>
  <c r="C38" i="13" s="1"/>
  <c r="C38" i="14" s="1"/>
  <c r="C38" i="15" s="1"/>
  <c r="C38" i="16" s="1"/>
  <c r="C38" i="17" s="1"/>
  <c r="C38" i="18" s="1"/>
  <c r="C38" i="19" s="1"/>
  <c r="C38" i="20" s="1"/>
  <c r="C38" i="21" s="1"/>
  <c r="C38" i="22" s="1"/>
  <c r="C38" i="23" s="1"/>
  <c r="C40" i="24" s="1"/>
  <c r="C38" i="25" s="1"/>
  <c r="C39" i="26" s="1"/>
  <c r="C38" i="27" s="1"/>
  <c r="C38" i="28" s="1"/>
  <c r="C38" i="29" s="1"/>
  <c r="C38" i="30" s="1"/>
  <c r="C38" i="31" s="1"/>
  <c r="C38" i="32" s="1"/>
  <c r="C38" i="33" s="1"/>
  <c r="C38" i="34" s="1"/>
  <c r="C38" i="35" s="1"/>
  <c r="C10" i="36" s="1"/>
  <c r="D38" i="6"/>
  <c r="D38" i="7" s="1"/>
  <c r="D38" i="8" s="1"/>
  <c r="D38" i="9" s="1"/>
  <c r="D38" i="10" s="1"/>
  <c r="D38" i="12" s="1"/>
  <c r="D38" i="13" s="1"/>
  <c r="D38" i="14" s="1"/>
  <c r="D38" i="16" s="1"/>
  <c r="D38" i="17" s="1"/>
  <c r="D38" i="18" s="1"/>
  <c r="D38" i="19" s="1"/>
  <c r="D38" i="20" s="1"/>
  <c r="D38" i="21" s="1"/>
  <c r="D38" i="22" s="1"/>
  <c r="D38" i="23" s="1"/>
  <c r="D38" i="25" s="1"/>
  <c r="D39" i="26" s="1"/>
  <c r="D38" i="29" s="1"/>
  <c r="D38" i="30" s="1"/>
  <c r="D38" i="31" s="1"/>
  <c r="D38" i="32" s="1"/>
  <c r="D38" i="33" s="1"/>
  <c r="D38" i="34" s="1"/>
  <c r="D38" i="35" s="1"/>
  <c r="D10" i="36" s="1"/>
  <c r="E38" i="6"/>
  <c r="E38" i="7" s="1"/>
  <c r="E38" i="8" s="1"/>
  <c r="E38" i="9" s="1"/>
  <c r="E38" i="10" s="1"/>
  <c r="E38" i="12" s="1"/>
  <c r="E38" i="13" s="1"/>
  <c r="E38" i="14" s="1"/>
  <c r="E38" i="16" s="1"/>
  <c r="E38" i="17" s="1"/>
  <c r="E38" i="18" s="1"/>
  <c r="E38" i="19" s="1"/>
  <c r="E38" i="20" s="1"/>
  <c r="E38" i="21" s="1"/>
  <c r="E38" i="22" s="1"/>
  <c r="E38" i="23" s="1"/>
  <c r="E38" i="25" s="1"/>
  <c r="E39" i="26" s="1"/>
  <c r="E38" i="29" s="1"/>
  <c r="E38" i="30" s="1"/>
  <c r="E38" i="31" s="1"/>
  <c r="E38" i="32" s="1"/>
  <c r="E38" i="33" s="1"/>
  <c r="E38" i="34" s="1"/>
  <c r="E38" i="35" s="1"/>
  <c r="E10" i="36" s="1"/>
  <c r="B39" i="6"/>
  <c r="B39" i="7" s="1"/>
  <c r="B39" i="8" s="1"/>
  <c r="B39" i="9" s="1"/>
  <c r="B39" i="10" s="1"/>
  <c r="B39" i="12" s="1"/>
  <c r="B39" i="13" s="1"/>
  <c r="B39" i="14" s="1"/>
  <c r="B39" i="15" s="1"/>
  <c r="B39" i="16" s="1"/>
  <c r="B39" i="17" s="1"/>
  <c r="B39" i="18" s="1"/>
  <c r="B39" i="19" s="1"/>
  <c r="B39" i="20" s="1"/>
  <c r="B39" i="21" s="1"/>
  <c r="B39" i="22" s="1"/>
  <c r="B39" i="23" s="1"/>
  <c r="B41" i="24" s="1"/>
  <c r="B39" i="25" s="1"/>
  <c r="B40" i="26" s="1"/>
  <c r="B39" i="27" s="1"/>
  <c r="B39" i="28" s="1"/>
  <c r="B39" i="29" s="1"/>
  <c r="B39" i="30" s="1"/>
  <c r="B39" i="31" s="1"/>
  <c r="B39" i="32" s="1"/>
  <c r="B39" i="33" s="1"/>
  <c r="B39" i="34" s="1"/>
  <c r="B39" i="35" s="1"/>
  <c r="B11" i="36" s="1"/>
  <c r="C39" i="6"/>
  <c r="C39" i="7" s="1"/>
  <c r="C39" i="8" s="1"/>
  <c r="C39" i="9" s="1"/>
  <c r="C39" i="10" s="1"/>
  <c r="C39" i="12" s="1"/>
  <c r="C39" i="13" s="1"/>
  <c r="C39" i="14" s="1"/>
  <c r="C39" i="15" s="1"/>
  <c r="C39" i="16" s="1"/>
  <c r="C39" i="17" s="1"/>
  <c r="C39" i="18" s="1"/>
  <c r="C39" i="19" s="1"/>
  <c r="C39" i="20" s="1"/>
  <c r="C39" i="21" s="1"/>
  <c r="C39" i="22" s="1"/>
  <c r="C39" i="23" s="1"/>
  <c r="C41" i="24" s="1"/>
  <c r="C39" i="25" s="1"/>
  <c r="C40" i="26" s="1"/>
  <c r="C39" i="27" s="1"/>
  <c r="C39" i="28" s="1"/>
  <c r="C39" i="29" s="1"/>
  <c r="C39" i="30" s="1"/>
  <c r="C39" i="31" s="1"/>
  <c r="C39" i="32" s="1"/>
  <c r="C39" i="33" s="1"/>
  <c r="C39" i="34" s="1"/>
  <c r="C39" i="35" s="1"/>
  <c r="C11" i="36" s="1"/>
  <c r="D39" i="6"/>
  <c r="D39" i="7" s="1"/>
  <c r="D39" i="8" s="1"/>
  <c r="D39" i="9" s="1"/>
  <c r="D39" i="10" s="1"/>
  <c r="D39" i="13" s="1"/>
  <c r="D39" i="14" s="1"/>
  <c r="D39" i="16" s="1"/>
  <c r="D39" i="17" s="1"/>
  <c r="D39" i="18" s="1"/>
  <c r="D39" i="19" s="1"/>
  <c r="D39" i="20" s="1"/>
  <c r="D39" i="21" s="1"/>
  <c r="D39" i="22" s="1"/>
  <c r="D39" i="23" s="1"/>
  <c r="D41" i="24" s="1"/>
  <c r="D39" i="25" s="1"/>
  <c r="D40" i="26" s="1"/>
  <c r="D39" i="27" s="1"/>
  <c r="D39" i="28" s="1"/>
  <c r="D39" i="29" s="1"/>
  <c r="D39" i="30" s="1"/>
  <c r="D39" i="31" s="1"/>
  <c r="D39" i="32" s="1"/>
  <c r="D39" i="33" s="1"/>
  <c r="D39" i="34" s="1"/>
  <c r="D39" i="35" s="1"/>
  <c r="D11" i="36" s="1"/>
  <c r="E39" i="6"/>
  <c r="E39" i="7" s="1"/>
  <c r="E39" i="8" s="1"/>
  <c r="E39" i="9" s="1"/>
  <c r="E39" i="10" s="1"/>
  <c r="E39" i="13" s="1"/>
  <c r="E39" i="14" s="1"/>
  <c r="E39" i="16" s="1"/>
  <c r="E39" i="17" s="1"/>
  <c r="E39" i="18" s="1"/>
  <c r="E39" i="19" s="1"/>
  <c r="E39" i="20" s="1"/>
  <c r="E39" i="21" s="1"/>
  <c r="E39" i="22" s="1"/>
  <c r="E39" i="23" s="1"/>
  <c r="E41" i="24" s="1"/>
  <c r="E39" i="25" s="1"/>
  <c r="E40" i="26" s="1"/>
  <c r="E39" i="27" s="1"/>
  <c r="E39" i="28" s="1"/>
  <c r="E39" i="29" s="1"/>
  <c r="E39" i="30" s="1"/>
  <c r="E39" i="31" s="1"/>
  <c r="E39" i="32" s="1"/>
  <c r="E39" i="33" s="1"/>
  <c r="E39" i="34" s="1"/>
  <c r="E39" i="35" s="1"/>
  <c r="E11" i="36" s="1"/>
  <c r="B40" i="6"/>
  <c r="B40" i="7" s="1"/>
  <c r="B40" i="8" s="1"/>
  <c r="B40" i="9" s="1"/>
  <c r="B40" i="10" s="1"/>
  <c r="B40" i="11" s="1"/>
  <c r="B40" i="13" s="1"/>
  <c r="B40" i="14" s="1"/>
  <c r="B40" i="15" s="1"/>
  <c r="B40" i="16" s="1"/>
  <c r="B40" i="17" s="1"/>
  <c r="B40" i="18" s="1"/>
  <c r="B40" i="19" s="1"/>
  <c r="B40" i="20" s="1"/>
  <c r="B40" i="21" s="1"/>
  <c r="B40" i="22" s="1"/>
  <c r="B40" i="23" s="1"/>
  <c r="B42" i="24" s="1"/>
  <c r="B40" i="25" s="1"/>
  <c r="B41" i="26" s="1"/>
  <c r="B40" i="27" s="1"/>
  <c r="B40" i="28" s="1"/>
  <c r="B40" i="29" s="1"/>
  <c r="B40" i="30" s="1"/>
  <c r="B40" i="31" s="1"/>
  <c r="B40" i="32" s="1"/>
  <c r="B40" i="33" s="1"/>
  <c r="B40" i="34" s="1"/>
  <c r="B40" i="35" s="1"/>
  <c r="B12" i="36" s="1"/>
  <c r="C40" i="6"/>
  <c r="C40" i="7" s="1"/>
  <c r="C40" i="8" s="1"/>
  <c r="C40" i="9" s="1"/>
  <c r="C40" i="10" s="1"/>
  <c r="C40" i="11" s="1"/>
  <c r="C40" i="13" s="1"/>
  <c r="C40" i="14" s="1"/>
  <c r="C40" i="15" s="1"/>
  <c r="C40" i="16" s="1"/>
  <c r="C40" i="17" s="1"/>
  <c r="C40" i="18" s="1"/>
  <c r="C40" i="19" s="1"/>
  <c r="C40" i="20" s="1"/>
  <c r="C40" i="21" s="1"/>
  <c r="C40" i="22" s="1"/>
  <c r="C40" i="23" s="1"/>
  <c r="C42" i="24" s="1"/>
  <c r="C40" i="25" s="1"/>
  <c r="C41" i="26" s="1"/>
  <c r="C40" i="27" s="1"/>
  <c r="C40" i="28" s="1"/>
  <c r="C40" i="29" s="1"/>
  <c r="C40" i="30" s="1"/>
  <c r="C40" i="31" s="1"/>
  <c r="C40" i="32" s="1"/>
  <c r="C40" i="33" s="1"/>
  <c r="C40" i="34" s="1"/>
  <c r="C40" i="35" s="1"/>
  <c r="C12" i="36" s="1"/>
  <c r="D40" i="6"/>
  <c r="D40" i="7" s="1"/>
  <c r="D40" i="8" s="1"/>
  <c r="D40" i="9" s="1"/>
  <c r="D40" i="10" s="1"/>
  <c r="D40" i="11" s="1"/>
  <c r="D40" i="13" s="1"/>
  <c r="D40" i="14" s="1"/>
  <c r="D40" i="15" s="1"/>
  <c r="D40" i="17" s="1"/>
  <c r="D40" i="18" s="1"/>
  <c r="D40" i="19" s="1"/>
  <c r="D40" i="20" s="1"/>
  <c r="D40" i="21" s="1"/>
  <c r="D40" i="22" s="1"/>
  <c r="D40" i="23" s="1"/>
  <c r="D42" i="24" s="1"/>
  <c r="D40" i="25" s="1"/>
  <c r="D41" i="26" s="1"/>
  <c r="D40" i="27" s="1"/>
  <c r="D40" i="28" s="1"/>
  <c r="D40" i="30" s="1"/>
  <c r="D40" i="31" s="1"/>
  <c r="D40" i="32" s="1"/>
  <c r="D40" i="33" s="1"/>
  <c r="D40" i="34" s="1"/>
  <c r="D40" i="35" s="1"/>
  <c r="D12" i="36" s="1"/>
  <c r="E40" i="6"/>
  <c r="E40" i="7" s="1"/>
  <c r="E40" i="8" s="1"/>
  <c r="E40" i="9" s="1"/>
  <c r="E40" i="10" s="1"/>
  <c r="E40" i="11" s="1"/>
  <c r="E40" i="13" s="1"/>
  <c r="E40" i="14" s="1"/>
  <c r="E40" i="15" s="1"/>
  <c r="E40" i="17" s="1"/>
  <c r="E40" i="18" s="1"/>
  <c r="E40" i="19" s="1"/>
  <c r="E40" i="20" s="1"/>
  <c r="E40" i="21" s="1"/>
  <c r="E40" i="22" s="1"/>
  <c r="E40" i="23" s="1"/>
  <c r="E42" i="24" s="1"/>
  <c r="E40" i="25" s="1"/>
  <c r="E41" i="26" s="1"/>
  <c r="E40" i="27" s="1"/>
  <c r="E40" i="28" s="1"/>
  <c r="E40" i="30" s="1"/>
  <c r="E40" i="31" s="1"/>
  <c r="E40" i="32" s="1"/>
  <c r="E40" i="33" s="1"/>
  <c r="E40" i="34" s="1"/>
  <c r="E40" i="35" s="1"/>
  <c r="E12" i="36" s="1"/>
  <c r="B41" i="6"/>
  <c r="B41" i="7" s="1"/>
  <c r="B41" i="8" s="1"/>
  <c r="B41" i="9" s="1"/>
  <c r="B41" i="10" s="1"/>
  <c r="B41" i="11" s="1"/>
  <c r="B41" i="13" s="1"/>
  <c r="B41" i="14" s="1"/>
  <c r="B41" i="15" s="1"/>
  <c r="B41" i="16" s="1"/>
  <c r="B41" i="17" s="1"/>
  <c r="B41" i="18" s="1"/>
  <c r="B41" i="19" s="1"/>
  <c r="B41" i="20" s="1"/>
  <c r="B41" i="21" s="1"/>
  <c r="B41" i="22" s="1"/>
  <c r="B41" i="23" s="1"/>
  <c r="B43" i="24" s="1"/>
  <c r="B41" i="25" s="1"/>
  <c r="B42" i="26" s="1"/>
  <c r="B41" i="27" s="1"/>
  <c r="B41" i="28" s="1"/>
  <c r="B41" i="29" s="1"/>
  <c r="B41" i="30" s="1"/>
  <c r="B41" i="31" s="1"/>
  <c r="B41" i="32" s="1"/>
  <c r="B41" i="33" s="1"/>
  <c r="B41" i="34" s="1"/>
  <c r="B41" i="35" s="1"/>
  <c r="B13" i="36" s="1"/>
  <c r="C41" i="6"/>
  <c r="C41" i="7" s="1"/>
  <c r="C41" i="8" s="1"/>
  <c r="C41" i="9" s="1"/>
  <c r="C41" i="10" s="1"/>
  <c r="C41" i="11" s="1"/>
  <c r="C41" i="13" s="1"/>
  <c r="C41" i="14" s="1"/>
  <c r="C41" i="15" s="1"/>
  <c r="C41" i="16" s="1"/>
  <c r="C41" i="17" s="1"/>
  <c r="C41" i="18" s="1"/>
  <c r="C41" i="19" s="1"/>
  <c r="C41" i="20" s="1"/>
  <c r="C41" i="21" s="1"/>
  <c r="C41" i="22" s="1"/>
  <c r="C41" i="23" s="1"/>
  <c r="C43" i="24" s="1"/>
  <c r="C41" i="25" s="1"/>
  <c r="C42" i="26" s="1"/>
  <c r="C41" i="27" s="1"/>
  <c r="C41" i="28" s="1"/>
  <c r="C41" i="29" s="1"/>
  <c r="C41" i="30" s="1"/>
  <c r="C41" i="31" s="1"/>
  <c r="C41" i="32" s="1"/>
  <c r="C41" i="33" s="1"/>
  <c r="C41" i="34" s="1"/>
  <c r="C41" i="35" s="1"/>
  <c r="C13" i="36" s="1"/>
  <c r="D41" i="6"/>
  <c r="D41" i="7" s="1"/>
  <c r="D41" i="8" s="1"/>
  <c r="D41" i="9" s="1"/>
  <c r="D41" i="10" s="1"/>
  <c r="D41" i="11" s="1"/>
  <c r="D41" i="13" s="1"/>
  <c r="D41" i="14" s="1"/>
  <c r="D41" i="15" s="1"/>
  <c r="D41" i="16" s="1"/>
  <c r="D41" i="17" s="1"/>
  <c r="D41" i="18" s="1"/>
  <c r="D41" i="19" s="1"/>
  <c r="D41" i="20" s="1"/>
  <c r="D41" i="21" s="1"/>
  <c r="D41" i="22" s="1"/>
  <c r="D41" i="23" s="1"/>
  <c r="D43" i="24" s="1"/>
  <c r="D41" i="25" s="1"/>
  <c r="D42" i="26" s="1"/>
  <c r="D41" i="27" s="1"/>
  <c r="D41" i="29" s="1"/>
  <c r="D41" i="30" s="1"/>
  <c r="D41" i="31" s="1"/>
  <c r="D41" i="32" s="1"/>
  <c r="D41" i="33" s="1"/>
  <c r="D41" i="34" s="1"/>
  <c r="D41" i="35" s="1"/>
  <c r="D13" i="36" s="1"/>
  <c r="E41" i="6"/>
  <c r="E41" i="7" s="1"/>
  <c r="E41" i="8" s="1"/>
  <c r="E41" i="9" s="1"/>
  <c r="E41" i="10" s="1"/>
  <c r="E41" i="11" s="1"/>
  <c r="E41" i="13" s="1"/>
  <c r="E41" i="14" s="1"/>
  <c r="E41" i="15" s="1"/>
  <c r="E41" i="16" s="1"/>
  <c r="E41" i="17" s="1"/>
  <c r="E41" i="18" s="1"/>
  <c r="E41" i="19" s="1"/>
  <c r="E41" i="20" s="1"/>
  <c r="E41" i="21" s="1"/>
  <c r="E41" i="22" s="1"/>
  <c r="E41" i="23" s="1"/>
  <c r="E43" i="24" s="1"/>
  <c r="E41" i="25" s="1"/>
  <c r="E42" i="26" s="1"/>
  <c r="E41" i="27" s="1"/>
  <c r="E41" i="29" s="1"/>
  <c r="E41" i="30" s="1"/>
  <c r="E41" i="31" s="1"/>
  <c r="E41" i="32" s="1"/>
  <c r="E41" i="33" s="1"/>
  <c r="E41" i="34" s="1"/>
  <c r="E41" i="35" s="1"/>
  <c r="E13" i="36" s="1"/>
  <c r="B42" i="6"/>
  <c r="B42" i="7" s="1"/>
  <c r="B42" i="8" s="1"/>
  <c r="B42" i="9" s="1"/>
  <c r="B42" i="10" s="1"/>
  <c r="B42" i="11" s="1"/>
  <c r="B42" i="12" s="1"/>
  <c r="B42" i="14" s="1"/>
  <c r="B42" i="15" s="1"/>
  <c r="B42" i="16" s="1"/>
  <c r="B42" i="17" s="1"/>
  <c r="B42" i="18" s="1"/>
  <c r="B42" i="19" s="1"/>
  <c r="B42" i="20" s="1"/>
  <c r="B42" i="21" s="1"/>
  <c r="B42" i="22" s="1"/>
  <c r="B42" i="23" s="1"/>
  <c r="B44" i="24" s="1"/>
  <c r="B42" i="25" s="1"/>
  <c r="B43" i="26" s="1"/>
  <c r="B42" i="27" s="1"/>
  <c r="B42" i="28" s="1"/>
  <c r="B42" i="29" s="1"/>
  <c r="B42" i="30" s="1"/>
  <c r="B42" i="31" s="1"/>
  <c r="B42" i="32" s="1"/>
  <c r="B42" i="33" s="1"/>
  <c r="B42" i="34" s="1"/>
  <c r="B42" i="35" s="1"/>
  <c r="B14" i="36" s="1"/>
  <c r="C42" i="6"/>
  <c r="C42" i="7" s="1"/>
  <c r="C42" i="8" s="1"/>
  <c r="C42" i="9" s="1"/>
  <c r="C42" i="10" s="1"/>
  <c r="C42" i="11" s="1"/>
  <c r="C42" i="12" s="1"/>
  <c r="C42" i="14" s="1"/>
  <c r="C42" i="15" s="1"/>
  <c r="C42" i="16" s="1"/>
  <c r="C42" i="17" s="1"/>
  <c r="C42" i="18" s="1"/>
  <c r="C42" i="19" s="1"/>
  <c r="C42" i="20" s="1"/>
  <c r="C42" i="21" s="1"/>
  <c r="C42" i="22" s="1"/>
  <c r="C42" i="23" s="1"/>
  <c r="C44" i="24" s="1"/>
  <c r="C42" i="25" s="1"/>
  <c r="C43" i="26" s="1"/>
  <c r="C42" i="27" s="1"/>
  <c r="C42" i="28" s="1"/>
  <c r="C42" i="29" s="1"/>
  <c r="C42" i="30" s="1"/>
  <c r="C42" i="31" s="1"/>
  <c r="C42" i="32" s="1"/>
  <c r="C42" i="33" s="1"/>
  <c r="C42" i="34" s="1"/>
  <c r="C42" i="35" s="1"/>
  <c r="C14" i="36" s="1"/>
  <c r="D42" i="6"/>
  <c r="D42" i="7" s="1"/>
  <c r="D42" i="8" s="1"/>
  <c r="D42" i="9" s="1"/>
  <c r="D42" i="10" s="1"/>
  <c r="D42" i="11" s="1"/>
  <c r="D42" i="12" s="1"/>
  <c r="D42" i="14" s="1"/>
  <c r="D42" i="16" s="1"/>
  <c r="D42" i="17" s="1"/>
  <c r="D42" i="18" s="1"/>
  <c r="D42" i="19" s="1"/>
  <c r="D42" i="20" s="1"/>
  <c r="D42" i="23" s="1"/>
  <c r="D44" i="24" s="1"/>
  <c r="D42" i="25" s="1"/>
  <c r="D42" i="28" s="1"/>
  <c r="D42" i="29" s="1"/>
  <c r="D42" i="30" s="1"/>
  <c r="D42" i="31" s="1"/>
  <c r="D42" i="32" s="1"/>
  <c r="D42" i="33" s="1"/>
  <c r="D42" i="34" s="1"/>
  <c r="D42" i="35" s="1"/>
  <c r="D14" i="36" s="1"/>
  <c r="E42" i="6"/>
  <c r="E42" i="7" s="1"/>
  <c r="E42" i="8" s="1"/>
  <c r="E42" i="9" s="1"/>
  <c r="E42" i="10" s="1"/>
  <c r="E42" i="11" s="1"/>
  <c r="E42" i="12" s="1"/>
  <c r="E42" i="14" s="1"/>
  <c r="E42" i="16" s="1"/>
  <c r="E42" i="17" s="1"/>
  <c r="E42" i="18" s="1"/>
  <c r="E42" i="19" s="1"/>
  <c r="E42" i="20" s="1"/>
  <c r="E42" i="23" s="1"/>
  <c r="E44" i="24" s="1"/>
  <c r="E42" i="25" s="1"/>
  <c r="E42" i="28" s="1"/>
  <c r="E42" i="29" s="1"/>
  <c r="E42" i="30" s="1"/>
  <c r="E42" i="31" s="1"/>
  <c r="E42" i="32" s="1"/>
  <c r="E42" i="33" s="1"/>
  <c r="E42" i="34" s="1"/>
  <c r="E42" i="35" s="1"/>
  <c r="E14" i="36" s="1"/>
  <c r="B43" i="6"/>
  <c r="B43" i="7" s="1"/>
  <c r="B43" i="8" s="1"/>
  <c r="B43" i="9" s="1"/>
  <c r="B43" i="10" s="1"/>
  <c r="B43" i="11" s="1"/>
  <c r="B43" i="12" s="1"/>
  <c r="B43" i="13" s="1"/>
  <c r="B43" i="14" s="1"/>
  <c r="B43" i="16" s="1"/>
  <c r="B43" i="17" s="1"/>
  <c r="B43" i="18" s="1"/>
  <c r="B43" i="19" s="1"/>
  <c r="B43" i="20" s="1"/>
  <c r="B43" i="21" s="1"/>
  <c r="B43" i="22" s="1"/>
  <c r="B43" i="23" s="1"/>
  <c r="B45" i="24" s="1"/>
  <c r="B43" i="25" s="1"/>
  <c r="B44" i="26" s="1"/>
  <c r="B43" i="27" s="1"/>
  <c r="B43" i="28" s="1"/>
  <c r="B43" i="29" s="1"/>
  <c r="B43" i="30" s="1"/>
  <c r="B43" i="31" s="1"/>
  <c r="B43" i="32" s="1"/>
  <c r="B43" i="33" s="1"/>
  <c r="B43" i="34" s="1"/>
  <c r="B43" i="35" s="1"/>
  <c r="B15" i="36" s="1"/>
  <c r="C43" i="6"/>
  <c r="C43" i="7" s="1"/>
  <c r="C43" i="8" s="1"/>
  <c r="C43" i="9" s="1"/>
  <c r="C43" i="10" s="1"/>
  <c r="C43" i="11" s="1"/>
  <c r="C43" i="12" s="1"/>
  <c r="C43" i="13" s="1"/>
  <c r="C43" i="14" s="1"/>
  <c r="C43" i="16" s="1"/>
  <c r="C43" i="17" s="1"/>
  <c r="C43" i="18" s="1"/>
  <c r="C43" i="19" s="1"/>
  <c r="C43" i="20" s="1"/>
  <c r="C43" i="21" s="1"/>
  <c r="C43" i="22" s="1"/>
  <c r="C43" i="23" s="1"/>
  <c r="C45" i="24" s="1"/>
  <c r="C43" i="25" s="1"/>
  <c r="C44" i="26" s="1"/>
  <c r="C43" i="27" s="1"/>
  <c r="C43" i="28" s="1"/>
  <c r="C43" i="29" s="1"/>
  <c r="C43" i="30" s="1"/>
  <c r="C43" i="31" s="1"/>
  <c r="C43" i="32" s="1"/>
  <c r="C43" i="33" s="1"/>
  <c r="C43" i="34" s="1"/>
  <c r="C43" i="35" s="1"/>
  <c r="C15" i="36" s="1"/>
  <c r="D43" i="6"/>
  <c r="D43" i="7" s="1"/>
  <c r="D43" i="8" s="1"/>
  <c r="D43" i="9" s="1"/>
  <c r="D43" i="10" s="1"/>
  <c r="D43" i="11" s="1"/>
  <c r="D43" i="12" s="1"/>
  <c r="D43" i="13" s="1"/>
  <c r="D43" i="14" s="1"/>
  <c r="D43" i="16" s="1"/>
  <c r="D43" i="17" s="1"/>
  <c r="D43" i="18" s="1"/>
  <c r="D43" i="19" s="1"/>
  <c r="D43" i="20" s="1"/>
  <c r="D43" i="21" s="1"/>
  <c r="D43" i="22" s="1"/>
  <c r="D43" i="23" s="1"/>
  <c r="D45" i="24" s="1"/>
  <c r="D43" i="25" s="1"/>
  <c r="D43" i="28" s="1"/>
  <c r="D43" i="29" s="1"/>
  <c r="D43" i="30" s="1"/>
  <c r="D43" i="31" s="1"/>
  <c r="D43" i="32" s="1"/>
  <c r="D43" i="33" s="1"/>
  <c r="D43" i="34" s="1"/>
  <c r="D43" i="35" s="1"/>
  <c r="D15" i="36" s="1"/>
  <c r="E43" i="6"/>
  <c r="E43" i="7" s="1"/>
  <c r="E43" i="8" s="1"/>
  <c r="E43" i="9" s="1"/>
  <c r="E43" i="10" s="1"/>
  <c r="E43" i="11" s="1"/>
  <c r="E43" i="12" s="1"/>
  <c r="E43" i="13" s="1"/>
  <c r="E43" i="14" s="1"/>
  <c r="E43" i="16" s="1"/>
  <c r="E43" i="17" s="1"/>
  <c r="E43" i="18" s="1"/>
  <c r="E43" i="19" s="1"/>
  <c r="E43" i="20" s="1"/>
  <c r="E43" i="21" s="1"/>
  <c r="E43" i="22" s="1"/>
  <c r="E43" i="23" s="1"/>
  <c r="E45" i="24" s="1"/>
  <c r="E43" i="25" s="1"/>
  <c r="E43" i="28" s="1"/>
  <c r="E43" i="29" s="1"/>
  <c r="E43" i="30" s="1"/>
  <c r="E43" i="31" s="1"/>
  <c r="E43" i="32" s="1"/>
  <c r="E43" i="33" s="1"/>
  <c r="E43" i="34" s="1"/>
  <c r="E43" i="35" s="1"/>
  <c r="E15" i="36" s="1"/>
  <c r="B44" i="6"/>
  <c r="B44" i="7" s="1"/>
  <c r="B44" i="8" s="1"/>
  <c r="B44" i="9" s="1"/>
  <c r="B44" i="10" s="1"/>
  <c r="B44" i="11" s="1"/>
  <c r="B44" i="12" s="1"/>
  <c r="B44" i="13" s="1"/>
  <c r="B44" i="14" s="1"/>
  <c r="B44" i="16" s="1"/>
  <c r="B44" i="17" s="1"/>
  <c r="B44" i="18" s="1"/>
  <c r="B44" i="19" s="1"/>
  <c r="B44" i="20" s="1"/>
  <c r="B44" i="21" s="1"/>
  <c r="B44" i="22" s="1"/>
  <c r="B44" i="23" s="1"/>
  <c r="B46" i="24" s="1"/>
  <c r="B44" i="25" s="1"/>
  <c r="B45" i="26" s="1"/>
  <c r="B44" i="27" s="1"/>
  <c r="B44" i="28" s="1"/>
  <c r="B44" i="29" s="1"/>
  <c r="B44" i="30" s="1"/>
  <c r="B44" i="31" s="1"/>
  <c r="B44" i="32" s="1"/>
  <c r="B44" i="33" s="1"/>
  <c r="B44" i="34" s="1"/>
  <c r="B44" i="35" s="1"/>
  <c r="B16" i="36" s="1"/>
  <c r="C44" i="6"/>
  <c r="C44" i="7" s="1"/>
  <c r="C44" i="8" s="1"/>
  <c r="C44" i="9" s="1"/>
  <c r="C44" i="10" s="1"/>
  <c r="C44" i="11" s="1"/>
  <c r="C44" i="12" s="1"/>
  <c r="C44" i="13" s="1"/>
  <c r="C44" i="14" s="1"/>
  <c r="C44" i="16" s="1"/>
  <c r="C44" i="17" s="1"/>
  <c r="C44" i="18" s="1"/>
  <c r="C44" i="19" s="1"/>
  <c r="C44" i="20" s="1"/>
  <c r="C44" i="21" s="1"/>
  <c r="C44" i="22" s="1"/>
  <c r="C44" i="23" s="1"/>
  <c r="C46" i="24" s="1"/>
  <c r="C44" i="25" s="1"/>
  <c r="C45" i="26" s="1"/>
  <c r="C44" i="27" s="1"/>
  <c r="C44" i="28" s="1"/>
  <c r="C44" i="29" s="1"/>
  <c r="C44" i="30" s="1"/>
  <c r="C44" i="31" s="1"/>
  <c r="C44" i="32" s="1"/>
  <c r="C44" i="33" s="1"/>
  <c r="C44" i="34" s="1"/>
  <c r="C44" i="35" s="1"/>
  <c r="C16" i="36" s="1"/>
  <c r="D44" i="6"/>
  <c r="D44" i="7" s="1"/>
  <c r="D44" i="8" s="1"/>
  <c r="D44" i="9" s="1"/>
  <c r="D44" i="10" s="1"/>
  <c r="D44" i="11" s="1"/>
  <c r="D44" i="12" s="1"/>
  <c r="D44" i="13" s="1"/>
  <c r="D44" i="14" s="1"/>
  <c r="D44" i="17" s="1"/>
  <c r="D44" i="18" s="1"/>
  <c r="D44" i="19" s="1"/>
  <c r="D44" i="20" s="1"/>
  <c r="D44" i="21" s="1"/>
  <c r="D44" i="22" s="1"/>
  <c r="D44" i="23" s="1"/>
  <c r="D46" i="24" s="1"/>
  <c r="D44" i="25" s="1"/>
  <c r="D45" i="26" s="1"/>
  <c r="D44" i="27" s="1"/>
  <c r="D44" i="30" s="1"/>
  <c r="D44" i="31" s="1"/>
  <c r="D44" i="32" s="1"/>
  <c r="D44" i="33" s="1"/>
  <c r="D44" i="34" s="1"/>
  <c r="D44" i="35" s="1"/>
  <c r="D16" i="36" s="1"/>
  <c r="E44" i="6"/>
  <c r="E44" i="7" s="1"/>
  <c r="E44" i="8" s="1"/>
  <c r="E44" i="9" s="1"/>
  <c r="E44" i="10" s="1"/>
  <c r="E44" i="11" s="1"/>
  <c r="E44" i="12" s="1"/>
  <c r="E44" i="13" s="1"/>
  <c r="E44" i="14" s="1"/>
  <c r="E44" i="17" s="1"/>
  <c r="E44" i="18" s="1"/>
  <c r="E44" i="19" s="1"/>
  <c r="E44" i="20" s="1"/>
  <c r="E44" i="21" s="1"/>
  <c r="E44" i="22" s="1"/>
  <c r="E44" i="23" s="1"/>
  <c r="E46" i="24" s="1"/>
  <c r="E44" i="25" s="1"/>
  <c r="E45" i="26" s="1"/>
  <c r="E44" i="27" s="1"/>
  <c r="E44" i="30" s="1"/>
  <c r="E44" i="31" s="1"/>
  <c r="E44" i="32" s="1"/>
  <c r="E44" i="33" s="1"/>
  <c r="E44" i="34" s="1"/>
  <c r="E44" i="35" s="1"/>
  <c r="E16" i="36" s="1"/>
  <c r="B45" i="6"/>
  <c r="B45" i="7" s="1"/>
  <c r="B45" i="8" s="1"/>
  <c r="B45" i="9" s="1"/>
  <c r="B45" i="10" s="1"/>
  <c r="B45" i="11" s="1"/>
  <c r="B45" i="12" s="1"/>
  <c r="B45" i="13" s="1"/>
  <c r="B45" i="14" s="1"/>
  <c r="B45" i="15" s="1"/>
  <c r="B45" i="17" s="1"/>
  <c r="B45" i="18" s="1"/>
  <c r="B45" i="19" s="1"/>
  <c r="B45" i="20" s="1"/>
  <c r="B45" i="21" s="1"/>
  <c r="B45" i="22" s="1"/>
  <c r="B45" i="23" s="1"/>
  <c r="B47" i="24" s="1"/>
  <c r="B45" i="25" s="1"/>
  <c r="B46" i="26" s="1"/>
  <c r="B45" i="27" s="1"/>
  <c r="B45" i="28" s="1"/>
  <c r="B45" i="29" s="1"/>
  <c r="B45" i="30" s="1"/>
  <c r="B45" i="31" s="1"/>
  <c r="B45" i="32" s="1"/>
  <c r="B45" i="33" s="1"/>
  <c r="B45" i="34" s="1"/>
  <c r="B45" i="35" s="1"/>
  <c r="B17" i="36" s="1"/>
  <c r="C45" i="6"/>
  <c r="C45" i="7" s="1"/>
  <c r="C45" i="8" s="1"/>
  <c r="C45" i="9" s="1"/>
  <c r="C45" i="10" s="1"/>
  <c r="C45" i="11" s="1"/>
  <c r="C45" i="12" s="1"/>
  <c r="C45" i="13" s="1"/>
  <c r="C45" i="14" s="1"/>
  <c r="C45" i="15" s="1"/>
  <c r="C45" i="17" s="1"/>
  <c r="C45" i="18" s="1"/>
  <c r="C45" i="19" s="1"/>
  <c r="C45" i="20" s="1"/>
  <c r="C45" i="21" s="1"/>
  <c r="C45" i="22" s="1"/>
  <c r="C45" i="23" s="1"/>
  <c r="C47" i="24" s="1"/>
  <c r="C45" i="25" s="1"/>
  <c r="C46" i="26" s="1"/>
  <c r="C45" i="27" s="1"/>
  <c r="C45" i="28" s="1"/>
  <c r="C45" i="29" s="1"/>
  <c r="C45" i="30" s="1"/>
  <c r="C45" i="31" s="1"/>
  <c r="C45" i="32" s="1"/>
  <c r="C45" i="33" s="1"/>
  <c r="C45" i="34" s="1"/>
  <c r="C45" i="35" s="1"/>
  <c r="C17" i="36" s="1"/>
  <c r="D45" i="6"/>
  <c r="D45" i="7" s="1"/>
  <c r="D45" i="8" s="1"/>
  <c r="D45" i="9" s="1"/>
  <c r="D45" i="10" s="1"/>
  <c r="D45" i="11" s="1"/>
  <c r="D45" i="12" s="1"/>
  <c r="D45" i="13" s="1"/>
  <c r="D45" i="14" s="1"/>
  <c r="D45" i="15" s="1"/>
  <c r="D45" i="17" s="1"/>
  <c r="D45" i="18" s="1"/>
  <c r="D45" i="19" s="1"/>
  <c r="D45" i="20" s="1"/>
  <c r="D45" i="21" s="1"/>
  <c r="D45" i="22" s="1"/>
  <c r="D45" i="23" s="1"/>
  <c r="D47" i="24" s="1"/>
  <c r="D45" i="25" s="1"/>
  <c r="D46" i="26" s="1"/>
  <c r="D45" i="27" s="1"/>
  <c r="D45" i="28" s="1"/>
  <c r="D45" i="29" s="1"/>
  <c r="D45" i="30" s="1"/>
  <c r="D45" i="31" s="1"/>
  <c r="D45" i="32" s="1"/>
  <c r="D45" i="33" s="1"/>
  <c r="D45" i="34" s="1"/>
  <c r="D45" i="35" s="1"/>
  <c r="D17" i="36" s="1"/>
  <c r="E45" i="6"/>
  <c r="E45" i="7" s="1"/>
  <c r="E45" i="8" s="1"/>
  <c r="E45" i="9" s="1"/>
  <c r="E45" i="10" s="1"/>
  <c r="E45" i="11" s="1"/>
  <c r="E45" i="12" s="1"/>
  <c r="E45" i="13" s="1"/>
  <c r="E45" i="14" s="1"/>
  <c r="E45" i="15" s="1"/>
  <c r="E45" i="17" s="1"/>
  <c r="E45" i="18" s="1"/>
  <c r="E45" i="19" s="1"/>
  <c r="E45" i="20" s="1"/>
  <c r="E45" i="21" s="1"/>
  <c r="E45" i="22" s="1"/>
  <c r="E45" i="23" s="1"/>
  <c r="E47" i="24" s="1"/>
  <c r="E45" i="25" s="1"/>
  <c r="E46" i="26" s="1"/>
  <c r="E45" i="27" s="1"/>
  <c r="E45" i="28" s="1"/>
  <c r="E45" i="29" s="1"/>
  <c r="E45" i="30" s="1"/>
  <c r="E45" i="31" s="1"/>
  <c r="E45" i="32" s="1"/>
  <c r="E45" i="33" s="1"/>
  <c r="E45" i="34" s="1"/>
  <c r="E45" i="35" s="1"/>
  <c r="E17" i="36" s="1"/>
  <c r="B46" i="6"/>
  <c r="B46" i="7" s="1"/>
  <c r="B46" i="8" s="1"/>
  <c r="B46" i="9" s="1"/>
  <c r="B46" i="10" s="1"/>
  <c r="B46" i="11" s="1"/>
  <c r="B46" i="12" s="1"/>
  <c r="B46" i="13" s="1"/>
  <c r="B46" i="14" s="1"/>
  <c r="B46" i="15" s="1"/>
  <c r="B46" i="17" s="1"/>
  <c r="B46" i="18" s="1"/>
  <c r="B46" i="19" s="1"/>
  <c r="B46" i="20" s="1"/>
  <c r="B46" i="21" s="1"/>
  <c r="B46" i="22" s="1"/>
  <c r="B46" i="23" s="1"/>
  <c r="B48" i="24" s="1"/>
  <c r="B46" i="25" s="1"/>
  <c r="B47" i="26" s="1"/>
  <c r="B46" i="27" s="1"/>
  <c r="B46" i="28" s="1"/>
  <c r="B46" i="29" s="1"/>
  <c r="B46" i="30" s="1"/>
  <c r="B46" i="31" s="1"/>
  <c r="B46" i="32" s="1"/>
  <c r="B46" i="33" s="1"/>
  <c r="B46" i="34" s="1"/>
  <c r="B46" i="35" s="1"/>
  <c r="B18" i="36" s="1"/>
  <c r="C46" i="6"/>
  <c r="C46" i="7" s="1"/>
  <c r="C46" i="8" s="1"/>
  <c r="C46" i="9" s="1"/>
  <c r="C46" i="10" s="1"/>
  <c r="C46" i="11" s="1"/>
  <c r="C46" i="12" s="1"/>
  <c r="C46" i="13" s="1"/>
  <c r="C46" i="14" s="1"/>
  <c r="C46" i="15" s="1"/>
  <c r="C46" i="17" s="1"/>
  <c r="C46" i="18" s="1"/>
  <c r="C46" i="19" s="1"/>
  <c r="C46" i="20" s="1"/>
  <c r="C46" i="21" s="1"/>
  <c r="C46" i="22" s="1"/>
  <c r="C46" i="23" s="1"/>
  <c r="C48" i="24" s="1"/>
  <c r="C46" i="25" s="1"/>
  <c r="C47" i="26" s="1"/>
  <c r="C46" i="27" s="1"/>
  <c r="C46" i="28" s="1"/>
  <c r="C46" i="29" s="1"/>
  <c r="C46" i="30" s="1"/>
  <c r="C46" i="31" s="1"/>
  <c r="C46" i="32" s="1"/>
  <c r="C46" i="33" s="1"/>
  <c r="C46" i="34" s="1"/>
  <c r="C46" i="35" s="1"/>
  <c r="C18" i="36" s="1"/>
  <c r="D46" i="6"/>
  <c r="D46" i="7" s="1"/>
  <c r="D46" i="8" s="1"/>
  <c r="D46" i="9" s="1"/>
  <c r="D46" i="10" s="1"/>
  <c r="D46" i="11" s="1"/>
  <c r="D46" i="12" s="1"/>
  <c r="D46" i="13" s="1"/>
  <c r="D46" i="14" s="1"/>
  <c r="D46" i="15" s="1"/>
  <c r="D46" i="17" s="1"/>
  <c r="D46" i="18" s="1"/>
  <c r="D46" i="19" s="1"/>
  <c r="D46" i="20" s="1"/>
  <c r="D46" i="21" s="1"/>
  <c r="D46" i="22" s="1"/>
  <c r="D46" i="23" s="1"/>
  <c r="D48" i="24" s="1"/>
  <c r="D46" i="25" s="1"/>
  <c r="D47" i="26" s="1"/>
  <c r="D46" i="27" s="1"/>
  <c r="D46" i="28" s="1"/>
  <c r="D46" i="29" s="1"/>
  <c r="D46" i="30" s="1"/>
  <c r="D46" i="31" s="1"/>
  <c r="D46" i="32" s="1"/>
  <c r="D46" i="33" s="1"/>
  <c r="D46" i="34" s="1"/>
  <c r="D46" i="35" s="1"/>
  <c r="D18" i="36" s="1"/>
  <c r="E46" i="6"/>
  <c r="E46" i="7" s="1"/>
  <c r="E46" i="8" s="1"/>
  <c r="E46" i="9" s="1"/>
  <c r="E46" i="10" s="1"/>
  <c r="E46" i="11" s="1"/>
  <c r="E46" i="12" s="1"/>
  <c r="E46" i="13" s="1"/>
  <c r="E46" i="14" s="1"/>
  <c r="E46" i="15" s="1"/>
  <c r="E46" i="17" s="1"/>
  <c r="E46" i="18" s="1"/>
  <c r="E46" i="19" s="1"/>
  <c r="E46" i="20" s="1"/>
  <c r="E46" i="21" s="1"/>
  <c r="E46" i="22" s="1"/>
  <c r="E46" i="23" s="1"/>
  <c r="E48" i="24" s="1"/>
  <c r="E46" i="25" s="1"/>
  <c r="E47" i="26" s="1"/>
  <c r="E46" i="27" s="1"/>
  <c r="E46" i="28" s="1"/>
  <c r="E46" i="29" s="1"/>
  <c r="E46" i="30" s="1"/>
  <c r="E46" i="31" s="1"/>
  <c r="E46" i="32" s="1"/>
  <c r="E46" i="33" s="1"/>
  <c r="E46" i="34" s="1"/>
  <c r="E46" i="35" s="1"/>
  <c r="E18" i="36" s="1"/>
  <c r="B47" i="6"/>
  <c r="B47" i="7" s="1"/>
  <c r="B47" i="8" s="1"/>
  <c r="B47" i="9" s="1"/>
  <c r="B47" i="10" s="1"/>
  <c r="B47" i="11" s="1"/>
  <c r="B47" i="12" s="1"/>
  <c r="B47" i="13" s="1"/>
  <c r="B47" i="14" s="1"/>
  <c r="B47" i="15" s="1"/>
  <c r="B47" i="16" s="1"/>
  <c r="B47" i="18" s="1"/>
  <c r="B47" i="19" s="1"/>
  <c r="B47" i="20" s="1"/>
  <c r="B47" i="21" s="1"/>
  <c r="B47" i="22" s="1"/>
  <c r="B47" i="23" s="1"/>
  <c r="B49" i="24" s="1"/>
  <c r="B47" i="25" s="1"/>
  <c r="B48" i="26" s="1"/>
  <c r="B47" i="27" s="1"/>
  <c r="B47" i="28" s="1"/>
  <c r="B47" i="29" s="1"/>
  <c r="B47" i="30" s="1"/>
  <c r="B47" i="31" s="1"/>
  <c r="B47" i="32" s="1"/>
  <c r="B47" i="33" s="1"/>
  <c r="B47" i="34" s="1"/>
  <c r="B47" i="35" s="1"/>
  <c r="B19" i="36" s="1"/>
  <c r="C47" i="6"/>
  <c r="C47" i="7" s="1"/>
  <c r="C47" i="8" s="1"/>
  <c r="C47" i="9" s="1"/>
  <c r="C47" i="10" s="1"/>
  <c r="C47" i="11" s="1"/>
  <c r="C47" i="12" s="1"/>
  <c r="C47" i="13" s="1"/>
  <c r="C47" i="14" s="1"/>
  <c r="C47" i="15" s="1"/>
  <c r="C47" i="16" s="1"/>
  <c r="C47" i="18" s="1"/>
  <c r="C47" i="19" s="1"/>
  <c r="C47" i="20" s="1"/>
  <c r="C47" i="21" s="1"/>
  <c r="C47" i="22" s="1"/>
  <c r="C47" i="23" s="1"/>
  <c r="C49" i="24" s="1"/>
  <c r="C47" i="25" s="1"/>
  <c r="C48" i="26" s="1"/>
  <c r="C47" i="27" s="1"/>
  <c r="C47" i="28" s="1"/>
  <c r="C47" i="29" s="1"/>
  <c r="C47" i="30" s="1"/>
  <c r="C47" i="31" s="1"/>
  <c r="C47" i="32" s="1"/>
  <c r="C47" i="33" s="1"/>
  <c r="C47" i="34" s="1"/>
  <c r="C47" i="35" s="1"/>
  <c r="C19" i="36" s="1"/>
  <c r="D47" i="6"/>
  <c r="D47" i="7" s="1"/>
  <c r="D47" i="8" s="1"/>
  <c r="D47" i="9" s="1"/>
  <c r="D47" i="10" s="1"/>
  <c r="D47" i="11" s="1"/>
  <c r="D47" i="12" s="1"/>
  <c r="D47" i="13" s="1"/>
  <c r="D47" i="14" s="1"/>
  <c r="D47" i="15" s="1"/>
  <c r="D47" i="16" s="1"/>
  <c r="D47" i="18" s="1"/>
  <c r="D47" i="19" s="1"/>
  <c r="D47" i="20" s="1"/>
  <c r="D47" i="21" s="1"/>
  <c r="D47" i="22" s="1"/>
  <c r="D47" i="23" s="1"/>
  <c r="D49" i="24" s="1"/>
  <c r="D48" i="26" s="1"/>
  <c r="D47" i="27" s="1"/>
  <c r="D47" i="28" s="1"/>
  <c r="D47" i="29" s="1"/>
  <c r="D47" i="30" s="1"/>
  <c r="D47" i="31" s="1"/>
  <c r="D47" i="32" s="1"/>
  <c r="D47" i="33" s="1"/>
  <c r="D47" i="34" s="1"/>
  <c r="D47" i="35" s="1"/>
  <c r="D19" i="36" s="1"/>
  <c r="E47" i="6"/>
  <c r="E47" i="7" s="1"/>
  <c r="E47" i="8" s="1"/>
  <c r="E47" i="9" s="1"/>
  <c r="E47" i="10" s="1"/>
  <c r="E47" i="11" s="1"/>
  <c r="E47" i="12" s="1"/>
  <c r="E47" i="13" s="1"/>
  <c r="E47" i="14" s="1"/>
  <c r="E47" i="15" s="1"/>
  <c r="E47" i="16" s="1"/>
  <c r="E47" i="18" s="1"/>
  <c r="E47" i="19" s="1"/>
  <c r="E47" i="20" s="1"/>
  <c r="E47" i="21" s="1"/>
  <c r="E47" i="22" s="1"/>
  <c r="E47" i="23" s="1"/>
  <c r="E49" i="24" s="1"/>
  <c r="E48" i="26" s="1"/>
  <c r="E47" i="27" s="1"/>
  <c r="E47" i="28" s="1"/>
  <c r="E47" i="29" s="1"/>
  <c r="E47" i="30" s="1"/>
  <c r="E47" i="31" s="1"/>
  <c r="E47" i="32" s="1"/>
  <c r="E47" i="33" s="1"/>
  <c r="E47" i="34" s="1"/>
  <c r="E47" i="35" s="1"/>
  <c r="E19" i="36" s="1"/>
  <c r="B48" i="6"/>
  <c r="B48" i="7" s="1"/>
  <c r="B48" i="8" s="1"/>
  <c r="B48" i="9" s="1"/>
  <c r="B48" i="10" s="1"/>
  <c r="B48" i="11" s="1"/>
  <c r="B48" i="12" s="1"/>
  <c r="B48" i="13" s="1"/>
  <c r="B48" i="14" s="1"/>
  <c r="B48" i="15" s="1"/>
  <c r="B48" i="16" s="1"/>
  <c r="B48" i="18" s="1"/>
  <c r="B48" i="19" s="1"/>
  <c r="B48" i="20" s="1"/>
  <c r="B48" i="21" s="1"/>
  <c r="B48" i="22" s="1"/>
  <c r="B48" i="23" s="1"/>
  <c r="B50" i="24" s="1"/>
  <c r="B48" i="25" s="1"/>
  <c r="B49" i="26" s="1"/>
  <c r="B48" i="27" s="1"/>
  <c r="B48" i="28" s="1"/>
  <c r="B48" i="29" s="1"/>
  <c r="B48" i="30" s="1"/>
  <c r="B48" i="31" s="1"/>
  <c r="B48" i="32" s="1"/>
  <c r="B48" i="33" s="1"/>
  <c r="B48" i="34" s="1"/>
  <c r="B48" i="35" s="1"/>
  <c r="B20" i="36" s="1"/>
  <c r="C48" i="6"/>
  <c r="C48" i="7" s="1"/>
  <c r="C48" i="8" s="1"/>
  <c r="C48" i="9" s="1"/>
  <c r="C48" i="10" s="1"/>
  <c r="C48" i="11" s="1"/>
  <c r="C48" i="12" s="1"/>
  <c r="C48" i="13" s="1"/>
  <c r="C48" i="14" s="1"/>
  <c r="C48" i="15" s="1"/>
  <c r="C48" i="16" s="1"/>
  <c r="C48" i="18" s="1"/>
  <c r="C48" i="19" s="1"/>
  <c r="C48" i="20" s="1"/>
  <c r="C48" i="21" s="1"/>
  <c r="C48" i="22" s="1"/>
  <c r="C48" i="23" s="1"/>
  <c r="C50" i="24" s="1"/>
  <c r="C48" i="25" s="1"/>
  <c r="C49" i="26" s="1"/>
  <c r="C48" i="27" s="1"/>
  <c r="C48" i="28" s="1"/>
  <c r="C48" i="29" s="1"/>
  <c r="C48" i="30" s="1"/>
  <c r="C48" i="31" s="1"/>
  <c r="C48" i="32" s="1"/>
  <c r="C48" i="33" s="1"/>
  <c r="C48" i="34" s="1"/>
  <c r="C48" i="35" s="1"/>
  <c r="C20" i="36" s="1"/>
  <c r="D48" i="6"/>
  <c r="D48" i="7" s="1"/>
  <c r="D48" i="8" s="1"/>
  <c r="D48" i="9" s="1"/>
  <c r="D48" i="10" s="1"/>
  <c r="D48" i="11" s="1"/>
  <c r="D48" i="12" s="1"/>
  <c r="D48" i="13" s="1"/>
  <c r="D48" i="14" s="1"/>
  <c r="D48" i="15" s="1"/>
  <c r="D48" i="16" s="1"/>
  <c r="D48" i="18" s="1"/>
  <c r="D48" i="19" s="1"/>
  <c r="D48" i="20" s="1"/>
  <c r="D48" i="21" s="1"/>
  <c r="D48" i="22" s="1"/>
  <c r="D48" i="23" s="1"/>
  <c r="D50" i="24" s="1"/>
  <c r="D49" i="26" s="1"/>
  <c r="D48" i="27" s="1"/>
  <c r="D48" i="28" s="1"/>
  <c r="D48" i="29" s="1"/>
  <c r="D48" i="30" s="1"/>
  <c r="D48" i="31" s="1"/>
  <c r="D48" i="32" s="1"/>
  <c r="D48" i="33" s="1"/>
  <c r="D48" i="34" s="1"/>
  <c r="D48" i="35" s="1"/>
  <c r="D20" i="36" s="1"/>
  <c r="E48" i="6"/>
  <c r="E48" i="7" s="1"/>
  <c r="E48" i="8" s="1"/>
  <c r="E48" i="9" s="1"/>
  <c r="E48" i="10" s="1"/>
  <c r="E48" i="11" s="1"/>
  <c r="E48" i="12" s="1"/>
  <c r="E48" i="13" s="1"/>
  <c r="E48" i="14" s="1"/>
  <c r="E48" i="15" s="1"/>
  <c r="E48" i="16" s="1"/>
  <c r="E48" i="18" s="1"/>
  <c r="E48" i="19" s="1"/>
  <c r="E48" i="20" s="1"/>
  <c r="E48" i="21" s="1"/>
  <c r="E48" i="22" s="1"/>
  <c r="E48" i="23" s="1"/>
  <c r="E50" i="24" s="1"/>
  <c r="E49" i="26" s="1"/>
  <c r="E48" i="27" s="1"/>
  <c r="E48" i="28" s="1"/>
  <c r="E48" i="29" s="1"/>
  <c r="E48" i="30" s="1"/>
  <c r="E48" i="31" s="1"/>
  <c r="E48" i="32" s="1"/>
  <c r="E48" i="33" s="1"/>
  <c r="E48" i="34" s="1"/>
  <c r="E48" i="35" s="1"/>
  <c r="E20" i="36" s="1"/>
  <c r="B49" i="6"/>
  <c r="B49" i="7" s="1"/>
  <c r="B49" i="8" s="1"/>
  <c r="B49" i="9" s="1"/>
  <c r="B49" i="10" s="1"/>
  <c r="B49" i="11" s="1"/>
  <c r="B49" i="12" s="1"/>
  <c r="B49" i="13" s="1"/>
  <c r="B49" i="14" s="1"/>
  <c r="B49" i="15" s="1"/>
  <c r="B49" i="16" s="1"/>
  <c r="B49" i="18" s="1"/>
  <c r="B49" i="19" s="1"/>
  <c r="B49" i="20" s="1"/>
  <c r="B49" i="21" s="1"/>
  <c r="B49" i="22" s="1"/>
  <c r="B49" i="23" s="1"/>
  <c r="B51" i="24" s="1"/>
  <c r="B49" i="25" s="1"/>
  <c r="B50" i="26" s="1"/>
  <c r="B49" i="27" s="1"/>
  <c r="B49" i="28" s="1"/>
  <c r="B49" i="29" s="1"/>
  <c r="B49" i="30" s="1"/>
  <c r="B49" i="31" s="1"/>
  <c r="B49" i="32" s="1"/>
  <c r="B49" i="33" s="1"/>
  <c r="B49" i="34" s="1"/>
  <c r="B49" i="35" s="1"/>
  <c r="B21" i="36" s="1"/>
  <c r="C49" i="6"/>
  <c r="C49" i="7" s="1"/>
  <c r="C49" i="8" s="1"/>
  <c r="C49" i="9" s="1"/>
  <c r="C49" i="10" s="1"/>
  <c r="C49" i="11" s="1"/>
  <c r="C49" i="12" s="1"/>
  <c r="C49" i="13" s="1"/>
  <c r="C49" i="14" s="1"/>
  <c r="C49" i="15" s="1"/>
  <c r="C49" i="16" s="1"/>
  <c r="C49" i="18" s="1"/>
  <c r="C49" i="19" s="1"/>
  <c r="C49" i="20" s="1"/>
  <c r="C49" i="21" s="1"/>
  <c r="C49" i="22" s="1"/>
  <c r="C49" i="23" s="1"/>
  <c r="C51" i="24" s="1"/>
  <c r="C49" i="25" s="1"/>
  <c r="C50" i="26" s="1"/>
  <c r="C49" i="27" s="1"/>
  <c r="C49" i="28" s="1"/>
  <c r="C49" i="29" s="1"/>
  <c r="C49" i="30" s="1"/>
  <c r="C49" i="31" s="1"/>
  <c r="C49" i="32" s="1"/>
  <c r="C49" i="33" s="1"/>
  <c r="C49" i="34" s="1"/>
  <c r="C49" i="35" s="1"/>
  <c r="C21" i="36" s="1"/>
  <c r="D49" i="6"/>
  <c r="D49" i="7" s="1"/>
  <c r="D49" i="8" s="1"/>
  <c r="D49" i="9" s="1"/>
  <c r="D49" i="10" s="1"/>
  <c r="D49" i="11" s="1"/>
  <c r="D49" i="12" s="1"/>
  <c r="D49" i="13" s="1"/>
  <c r="D49" i="14" s="1"/>
  <c r="D49" i="15" s="1"/>
  <c r="D49" i="16" s="1"/>
  <c r="D49" i="19" s="1"/>
  <c r="D49" i="20" s="1"/>
  <c r="D49" i="21" s="1"/>
  <c r="D49" i="22" s="1"/>
  <c r="D49" i="23" s="1"/>
  <c r="D51" i="24" s="1"/>
  <c r="D50" i="26" s="1"/>
  <c r="D49" i="27" s="1"/>
  <c r="D49" i="28" s="1"/>
  <c r="D49" i="29" s="1"/>
  <c r="D49" i="30" s="1"/>
  <c r="D49" i="31" s="1"/>
  <c r="D49" i="32" s="1"/>
  <c r="D49" i="33" s="1"/>
  <c r="D49" i="34" s="1"/>
  <c r="D49" i="35" s="1"/>
  <c r="D21" i="36" s="1"/>
  <c r="E49" i="6"/>
  <c r="E49" i="7" s="1"/>
  <c r="E49" i="8" s="1"/>
  <c r="E49" i="9" s="1"/>
  <c r="E49" i="10" s="1"/>
  <c r="E49" i="11" s="1"/>
  <c r="E49" i="12" s="1"/>
  <c r="E49" i="13" s="1"/>
  <c r="E49" i="14" s="1"/>
  <c r="E49" i="15" s="1"/>
  <c r="E49" i="16" s="1"/>
  <c r="E49" i="19" s="1"/>
  <c r="E49" i="20" s="1"/>
  <c r="E49" i="21" s="1"/>
  <c r="E49" i="22" s="1"/>
  <c r="E49" i="23" s="1"/>
  <c r="E51" i="24" s="1"/>
  <c r="E50" i="26" s="1"/>
  <c r="E49" i="27" s="1"/>
  <c r="E49" i="28" s="1"/>
  <c r="E49" i="29" s="1"/>
  <c r="E49" i="30" s="1"/>
  <c r="E49" i="31" s="1"/>
  <c r="E49" i="32" s="1"/>
  <c r="E49" i="33" s="1"/>
  <c r="E49" i="34" s="1"/>
  <c r="E49" i="35" s="1"/>
  <c r="E21" i="36" s="1"/>
  <c r="E30" i="6"/>
  <c r="E30" i="7" s="1"/>
  <c r="E30" i="8" s="1"/>
  <c r="E30" i="9" s="1"/>
  <c r="E30" i="11" s="1"/>
  <c r="E30" i="12" s="1"/>
  <c r="E30" i="13" s="1"/>
  <c r="E30" i="14" s="1"/>
  <c r="E30" i="15" s="1"/>
  <c r="E30" i="16" s="1"/>
  <c r="E30" i="17" s="1"/>
  <c r="E30" i="18" s="1"/>
  <c r="E30" i="19" s="1"/>
  <c r="E30" i="20" s="1"/>
  <c r="E30" i="21" s="1"/>
  <c r="E30" i="22" s="1"/>
  <c r="E30" i="23" s="1"/>
  <c r="E32" i="24" s="1"/>
  <c r="E30" i="25" s="1"/>
  <c r="E31" i="26" s="1"/>
  <c r="E30" i="27" s="1"/>
  <c r="E30" i="28" s="1"/>
  <c r="E30" i="29" s="1"/>
  <c r="E30" i="30" s="1"/>
  <c r="E30" i="31" s="1"/>
  <c r="E30" i="32" s="1"/>
  <c r="E30" i="33" s="1"/>
  <c r="E30" i="34" s="1"/>
  <c r="E30" i="35" s="1"/>
  <c r="E2" i="36" s="1"/>
  <c r="D30" i="7"/>
  <c r="D30" i="8" s="1"/>
  <c r="C30" i="6"/>
  <c r="C30" i="7" s="1"/>
  <c r="C30" i="8" s="1"/>
  <c r="C30" i="9" s="1"/>
  <c r="C30" i="11" s="1"/>
  <c r="C30" i="12" s="1"/>
  <c r="C30" i="13" s="1"/>
  <c r="C30" i="14" s="1"/>
  <c r="C30" i="15" s="1"/>
  <c r="C30" i="16" s="1"/>
  <c r="C30" i="17" s="1"/>
  <c r="C30" i="18" s="1"/>
  <c r="C30" i="19" s="1"/>
  <c r="C30" i="20" s="1"/>
  <c r="C30" i="21" s="1"/>
  <c r="C30" i="22" s="1"/>
  <c r="C30" i="23" s="1"/>
  <c r="C32" i="24" s="1"/>
  <c r="C30" i="25" s="1"/>
  <c r="C31" i="26" s="1"/>
  <c r="C30" i="27" s="1"/>
  <c r="C30" i="28" s="1"/>
  <c r="C30" i="29" s="1"/>
  <c r="C30" i="30" s="1"/>
  <c r="C30" i="31" s="1"/>
  <c r="C30" i="32" s="1"/>
  <c r="C30" i="33" s="1"/>
  <c r="C30" i="34" s="1"/>
  <c r="C30" i="35" s="1"/>
  <c r="C2" i="36" s="1"/>
  <c r="B30" i="6"/>
  <c r="B30" i="7" s="1"/>
  <c r="B30" i="8" s="1"/>
  <c r="B30" i="9" s="1"/>
  <c r="B30" i="11" s="1"/>
  <c r="B30" i="12" s="1"/>
  <c r="B30" i="13" s="1"/>
  <c r="B30" i="14" s="1"/>
  <c r="B30" i="15" s="1"/>
  <c r="B30" i="16" s="1"/>
  <c r="B30" i="17" s="1"/>
  <c r="B30" i="18" s="1"/>
  <c r="B30" i="19" s="1"/>
  <c r="B30" i="20" s="1"/>
  <c r="B30" i="21" s="1"/>
  <c r="B30" i="22" s="1"/>
  <c r="B30" i="23" s="1"/>
  <c r="B32" i="24" s="1"/>
  <c r="B30" i="25" s="1"/>
  <c r="B31" i="26" s="1"/>
  <c r="B30" i="27" s="1"/>
  <c r="B30" i="28" s="1"/>
  <c r="B30" i="29" s="1"/>
  <c r="B30" i="30" s="1"/>
  <c r="B30" i="31" s="1"/>
  <c r="B30" i="32" s="1"/>
  <c r="B30" i="33" s="1"/>
  <c r="B30" i="34" s="1"/>
  <c r="B30" i="35" s="1"/>
  <c r="B2" i="36" s="1"/>
  <c r="J79" i="10"/>
  <c r="C79" i="10"/>
  <c r="B79" i="10"/>
  <c r="B50" i="10"/>
  <c r="A50" i="10"/>
  <c r="N16" i="10"/>
  <c r="M16" i="10"/>
  <c r="K16" i="10"/>
  <c r="J16" i="10"/>
  <c r="J22" i="13" s="1"/>
  <c r="J22" i="14" s="1"/>
  <c r="J22" i="17" s="1"/>
  <c r="E16" i="10"/>
  <c r="D16" i="10"/>
  <c r="C16" i="10"/>
  <c r="F16" i="10" s="1"/>
  <c r="B16" i="10"/>
  <c r="B22" i="13" s="1"/>
  <c r="B22" i="14" s="1"/>
  <c r="B22" i="17" s="1"/>
  <c r="L15" i="10"/>
  <c r="L14" i="10"/>
  <c r="L13" i="10"/>
  <c r="L12" i="10"/>
  <c r="L11" i="10"/>
  <c r="L10" i="10"/>
  <c r="L9" i="10"/>
  <c r="L8" i="10"/>
  <c r="L7" i="10"/>
  <c r="J79" i="9"/>
  <c r="C79" i="9"/>
  <c r="B79" i="9"/>
  <c r="B50" i="9"/>
  <c r="A50" i="9"/>
  <c r="N16" i="9"/>
  <c r="M16" i="9"/>
  <c r="K16" i="9"/>
  <c r="J16" i="9"/>
  <c r="E16" i="9"/>
  <c r="D16" i="9"/>
  <c r="C16" i="9"/>
  <c r="B16" i="9"/>
  <c r="L15" i="9"/>
  <c r="L14" i="9"/>
  <c r="L13" i="9"/>
  <c r="L12" i="9"/>
  <c r="L11" i="9"/>
  <c r="L10" i="9"/>
  <c r="L9" i="9"/>
  <c r="L8" i="9"/>
  <c r="L7" i="9"/>
  <c r="P89" i="7"/>
  <c r="P69" i="7"/>
  <c r="P65" i="7"/>
  <c r="P61" i="7"/>
  <c r="P75" i="7" s="1"/>
  <c r="P69" i="6"/>
  <c r="P65" i="6"/>
  <c r="P61" i="6"/>
  <c r="P75" i="5"/>
  <c r="P69" i="5"/>
  <c r="P76" i="5" s="1"/>
  <c r="P78" i="5" s="1"/>
  <c r="J79" i="8"/>
  <c r="C79" i="8"/>
  <c r="B79" i="8"/>
  <c r="B50" i="8"/>
  <c r="A50" i="8"/>
  <c r="N16" i="8"/>
  <c r="M16" i="8"/>
  <c r="K16" i="8"/>
  <c r="J16" i="8"/>
  <c r="E16" i="8"/>
  <c r="D16" i="8"/>
  <c r="C16" i="8"/>
  <c r="B16" i="8"/>
  <c r="L15" i="8"/>
  <c r="L14" i="8"/>
  <c r="L13" i="8"/>
  <c r="L12" i="8"/>
  <c r="L11" i="8"/>
  <c r="L10" i="8"/>
  <c r="L9" i="8"/>
  <c r="L8" i="8"/>
  <c r="L7" i="8"/>
  <c r="J79" i="7"/>
  <c r="C79" i="7"/>
  <c r="B79" i="7"/>
  <c r="B50" i="7"/>
  <c r="A50" i="7"/>
  <c r="N16" i="7"/>
  <c r="M16" i="7"/>
  <c r="K16" i="7"/>
  <c r="P87" i="7" s="1"/>
  <c r="J16" i="7"/>
  <c r="E16" i="7"/>
  <c r="D16" i="7"/>
  <c r="C16" i="7"/>
  <c r="P55" i="7" s="1"/>
  <c r="B16" i="7"/>
  <c r="L15" i="7"/>
  <c r="L14" i="7"/>
  <c r="L13" i="7"/>
  <c r="L12" i="7"/>
  <c r="L11" i="7"/>
  <c r="L10" i="7"/>
  <c r="L9" i="7"/>
  <c r="L8" i="7"/>
  <c r="L7" i="7"/>
  <c r="P65" i="5"/>
  <c r="J22" i="18" l="1"/>
  <c r="J22" i="19" s="1"/>
  <c r="J22" i="20" s="1"/>
  <c r="J22" i="21" s="1"/>
  <c r="J22" i="22" s="1"/>
  <c r="J22" i="23" s="1"/>
  <c r="J24" i="24" s="1"/>
  <c r="J22" i="25" s="1"/>
  <c r="J23" i="26" s="1"/>
  <c r="J22" i="27" s="1"/>
  <c r="J22" i="30" s="1"/>
  <c r="J22" i="31" s="1"/>
  <c r="J22" i="32" s="1"/>
  <c r="J22" i="33" s="1"/>
  <c r="J22" i="34" s="1"/>
  <c r="J22" i="35" s="1"/>
  <c r="B22" i="18"/>
  <c r="B22" i="19" s="1"/>
  <c r="B22" i="20" s="1"/>
  <c r="B22" i="21" s="1"/>
  <c r="B22" i="22" s="1"/>
  <c r="B22" i="23" s="1"/>
  <c r="B24" i="24" s="1"/>
  <c r="B22" i="25" s="1"/>
  <c r="B23" i="26" s="1"/>
  <c r="B22" i="27" s="1"/>
  <c r="B22" i="30" s="1"/>
  <c r="B22" i="31" s="1"/>
  <c r="B22" i="32" s="1"/>
  <c r="B22" i="33" s="1"/>
  <c r="B22" i="34" s="1"/>
  <c r="B22" i="35" s="1"/>
  <c r="K22" i="13"/>
  <c r="K22" i="14" s="1"/>
  <c r="K22" i="17" s="1"/>
  <c r="K22" i="18" s="1"/>
  <c r="K22" i="19" s="1"/>
  <c r="K22" i="20" s="1"/>
  <c r="K22" i="21" s="1"/>
  <c r="K22" i="22" s="1"/>
  <c r="K22" i="23" s="1"/>
  <c r="K24" i="24" s="1"/>
  <c r="K22" i="25" s="1"/>
  <c r="K23" i="26" s="1"/>
  <c r="K22" i="27" s="1"/>
  <c r="K22" i="30" s="1"/>
  <c r="K22" i="31" s="1"/>
  <c r="K22" i="32" s="1"/>
  <c r="K22" i="33" s="1"/>
  <c r="K22" i="34" s="1"/>
  <c r="K22" i="35" s="1"/>
  <c r="E22" i="13"/>
  <c r="E22" i="14" s="1"/>
  <c r="E22" i="17" s="1"/>
  <c r="E22" i="18" s="1"/>
  <c r="E22" i="19" s="1"/>
  <c r="E22" i="20" s="1"/>
  <c r="E22" i="21" s="1"/>
  <c r="E22" i="22" s="1"/>
  <c r="E22" i="23" s="1"/>
  <c r="E24" i="24" s="1"/>
  <c r="E22" i="25" s="1"/>
  <c r="E23" i="26" s="1"/>
  <c r="E22" i="27" s="1"/>
  <c r="E22" i="30" s="1"/>
  <c r="E22" i="31" s="1"/>
  <c r="E22" i="32" s="1"/>
  <c r="E22" i="33" s="1"/>
  <c r="E22" i="34" s="1"/>
  <c r="E22" i="35" s="1"/>
  <c r="D22" i="13"/>
  <c r="D22" i="14" s="1"/>
  <c r="D22" i="17" s="1"/>
  <c r="D22" i="18" s="1"/>
  <c r="D22" i="19" s="1"/>
  <c r="D22" i="20" s="1"/>
  <c r="D22" i="21" s="1"/>
  <c r="D22" i="22" s="1"/>
  <c r="D22" i="23" s="1"/>
  <c r="D24" i="24" s="1"/>
  <c r="D22" i="25" s="1"/>
  <c r="D23" i="26" s="1"/>
  <c r="D22" i="27" s="1"/>
  <c r="D22" i="30" s="1"/>
  <c r="D22" i="31" s="1"/>
  <c r="D22" i="32" s="1"/>
  <c r="D22" i="33" s="1"/>
  <c r="D22" i="34" s="1"/>
  <c r="D22" i="35" s="1"/>
  <c r="N22" i="13"/>
  <c r="N22" i="14" s="1"/>
  <c r="N22" i="17" s="1"/>
  <c r="N22" i="18" s="1"/>
  <c r="N22" i="19" s="1"/>
  <c r="N22" i="20" s="1"/>
  <c r="N22" i="21" s="1"/>
  <c r="N22" i="22" s="1"/>
  <c r="N22" i="23" s="1"/>
  <c r="N24" i="24" s="1"/>
  <c r="N22" i="25" s="1"/>
  <c r="N23" i="26" s="1"/>
  <c r="N22" i="27" s="1"/>
  <c r="N22" i="30" s="1"/>
  <c r="N22" i="31" s="1"/>
  <c r="N22" i="32" s="1"/>
  <c r="N22" i="33" s="1"/>
  <c r="N22" i="34" s="1"/>
  <c r="N22" i="35" s="1"/>
  <c r="M22" i="13"/>
  <c r="M22" i="14" s="1"/>
  <c r="M22" i="17" s="1"/>
  <c r="M22" i="18" s="1"/>
  <c r="M22" i="19" s="1"/>
  <c r="M22" i="20" s="1"/>
  <c r="M22" i="21" s="1"/>
  <c r="M22" i="22" s="1"/>
  <c r="M22" i="23" s="1"/>
  <c r="M24" i="24" s="1"/>
  <c r="M22" i="25" s="1"/>
  <c r="M23" i="26" s="1"/>
  <c r="M22" i="27" s="1"/>
  <c r="M22" i="30" s="1"/>
  <c r="M22" i="31" s="1"/>
  <c r="M22" i="32" s="1"/>
  <c r="M22" i="33" s="1"/>
  <c r="M22" i="34" s="1"/>
  <c r="M22" i="35" s="1"/>
  <c r="F22" i="10"/>
  <c r="P75" i="6"/>
  <c r="P79" i="6" s="1"/>
  <c r="Q61" i="17"/>
  <c r="E25" i="24"/>
  <c r="F25" i="24" s="1"/>
  <c r="K26" i="24"/>
  <c r="L24" i="23"/>
  <c r="E26" i="24"/>
  <c r="F26" i="24" s="1"/>
  <c r="L23" i="23"/>
  <c r="K25" i="24"/>
  <c r="P55" i="35"/>
  <c r="P83" i="35"/>
  <c r="P82" i="35"/>
  <c r="P89" i="35"/>
  <c r="P87" i="35"/>
  <c r="F16" i="35"/>
  <c r="P59" i="35" s="1"/>
  <c r="P58" i="35"/>
  <c r="F16" i="34"/>
  <c r="P59" i="34" s="1"/>
  <c r="P58" i="34"/>
  <c r="P55" i="34"/>
  <c r="P83" i="34"/>
  <c r="P82" i="34"/>
  <c r="P89" i="34"/>
  <c r="P87" i="34"/>
  <c r="L16" i="33"/>
  <c r="P55" i="33"/>
  <c r="P83" i="33"/>
  <c r="P82" i="33"/>
  <c r="P89" i="33"/>
  <c r="P87" i="33"/>
  <c r="F16" i="33"/>
  <c r="P59" i="33" s="1"/>
  <c r="P58" i="33"/>
  <c r="P55" i="32"/>
  <c r="P83" i="32"/>
  <c r="P82" i="32"/>
  <c r="P89" i="32"/>
  <c r="P87" i="32"/>
  <c r="F16" i="31"/>
  <c r="P59" i="31" s="1"/>
  <c r="P58" i="31"/>
  <c r="P55" i="31"/>
  <c r="P83" i="31"/>
  <c r="P82" i="31"/>
  <c r="P87" i="31"/>
  <c r="P89" i="31"/>
  <c r="P55" i="30"/>
  <c r="P83" i="30"/>
  <c r="P82" i="30"/>
  <c r="P89" i="30"/>
  <c r="P87" i="30"/>
  <c r="F16" i="30"/>
  <c r="P59" i="30" s="1"/>
  <c r="P58" i="30"/>
  <c r="F16" i="29"/>
  <c r="P59" i="29" s="1"/>
  <c r="P58" i="29"/>
  <c r="L16" i="29"/>
  <c r="P55" i="29"/>
  <c r="P83" i="29"/>
  <c r="P82" i="29"/>
  <c r="P89" i="29"/>
  <c r="P87" i="29"/>
  <c r="F16" i="28"/>
  <c r="P59" i="28" s="1"/>
  <c r="P55" i="28"/>
  <c r="P83" i="28"/>
  <c r="P82" i="28"/>
  <c r="P87" i="28"/>
  <c r="P89" i="28"/>
  <c r="F16" i="27"/>
  <c r="P59" i="27" s="1"/>
  <c r="P58" i="27"/>
  <c r="P55" i="27"/>
  <c r="P83" i="27"/>
  <c r="P82" i="27"/>
  <c r="P89" i="27"/>
  <c r="P87" i="27"/>
  <c r="P56" i="26"/>
  <c r="P84" i="26"/>
  <c r="P83" i="26"/>
  <c r="P90" i="26"/>
  <c r="P88" i="26"/>
  <c r="P55" i="25"/>
  <c r="P83" i="25"/>
  <c r="P82" i="25"/>
  <c r="P89" i="25"/>
  <c r="P87" i="25"/>
  <c r="L18" i="24"/>
  <c r="P57" i="24"/>
  <c r="P85" i="24"/>
  <c r="P84" i="24"/>
  <c r="P91" i="24"/>
  <c r="P89" i="24"/>
  <c r="P55" i="23"/>
  <c r="P83" i="23"/>
  <c r="P82" i="23"/>
  <c r="P89" i="23"/>
  <c r="P87" i="23"/>
  <c r="L16" i="22"/>
  <c r="P55" i="22"/>
  <c r="P83" i="22"/>
  <c r="P82" i="22"/>
  <c r="P89" i="22"/>
  <c r="P87" i="22"/>
  <c r="L16" i="21"/>
  <c r="P55" i="21"/>
  <c r="P83" i="21"/>
  <c r="P82" i="21"/>
  <c r="P89" i="21"/>
  <c r="P87" i="21"/>
  <c r="P55" i="20"/>
  <c r="P83" i="20"/>
  <c r="P82" i="20"/>
  <c r="P89" i="20"/>
  <c r="P87" i="20"/>
  <c r="F16" i="20"/>
  <c r="P59" i="20" s="1"/>
  <c r="P58" i="20"/>
  <c r="F16" i="19"/>
  <c r="P59" i="19" s="1"/>
  <c r="P58" i="19"/>
  <c r="L16" i="19"/>
  <c r="P55" i="19"/>
  <c r="P83" i="19"/>
  <c r="P82" i="19"/>
  <c r="P87" i="19"/>
  <c r="P89" i="19"/>
  <c r="P55" i="18"/>
  <c r="P83" i="18"/>
  <c r="P82" i="18"/>
  <c r="P89" i="18"/>
  <c r="P87" i="18"/>
  <c r="F16" i="18"/>
  <c r="P59" i="18" s="1"/>
  <c r="P58" i="18"/>
  <c r="L16" i="17"/>
  <c r="P55" i="17"/>
  <c r="P83" i="17"/>
  <c r="P82" i="17"/>
  <c r="P89" i="17"/>
  <c r="P87" i="17"/>
  <c r="P55" i="16"/>
  <c r="P83" i="16"/>
  <c r="P82" i="16"/>
  <c r="P87" i="16"/>
  <c r="P89" i="16"/>
  <c r="L16" i="15"/>
  <c r="P55" i="15"/>
  <c r="P83" i="15"/>
  <c r="P82" i="15"/>
  <c r="P89" i="15"/>
  <c r="P87" i="15"/>
  <c r="P55" i="14"/>
  <c r="P83" i="14"/>
  <c r="P82" i="14"/>
  <c r="P89" i="14"/>
  <c r="P87" i="14"/>
  <c r="F16" i="13"/>
  <c r="P59" i="13" s="1"/>
  <c r="P58" i="13"/>
  <c r="P55" i="13"/>
  <c r="P83" i="13"/>
  <c r="P82" i="13"/>
  <c r="P87" i="13"/>
  <c r="P89" i="13"/>
  <c r="P55" i="12"/>
  <c r="P83" i="12"/>
  <c r="P82" i="12"/>
  <c r="P89" i="12"/>
  <c r="P87" i="12"/>
  <c r="F16" i="12"/>
  <c r="P59" i="12" s="1"/>
  <c r="P58" i="12"/>
  <c r="P55" i="11"/>
  <c r="P83" i="11"/>
  <c r="P82" i="11"/>
  <c r="P89" i="11"/>
  <c r="L16" i="10"/>
  <c r="P55" i="10"/>
  <c r="P83" i="10"/>
  <c r="P82" i="10"/>
  <c r="P89" i="10"/>
  <c r="P87" i="10"/>
  <c r="P59" i="10"/>
  <c r="P58" i="10"/>
  <c r="F16" i="9"/>
  <c r="P59" i="9" s="1"/>
  <c r="P58" i="9"/>
  <c r="P55" i="9"/>
  <c r="P83" i="9"/>
  <c r="P82" i="9"/>
  <c r="P87" i="9"/>
  <c r="P89" i="9"/>
  <c r="F16" i="8"/>
  <c r="P59" i="8" s="1"/>
  <c r="P58" i="8"/>
  <c r="P55" i="8"/>
  <c r="P83" i="8"/>
  <c r="P82" i="8"/>
  <c r="P89" i="8"/>
  <c r="P87" i="8"/>
  <c r="F16" i="7"/>
  <c r="P59" i="7" s="1"/>
  <c r="P58" i="7"/>
  <c r="P76" i="6"/>
  <c r="P78" i="6" s="1"/>
  <c r="P79" i="5"/>
  <c r="D30" i="9"/>
  <c r="D30" i="11" s="1"/>
  <c r="D30" i="12" s="1"/>
  <c r="D30" i="13" s="1"/>
  <c r="D30" i="14" s="1"/>
  <c r="D30" i="15" s="1"/>
  <c r="D30" i="16" s="1"/>
  <c r="D30" i="17" s="1"/>
  <c r="D30" i="18" s="1"/>
  <c r="D30" i="19" s="1"/>
  <c r="D30" i="20" s="1"/>
  <c r="D30" i="21" s="1"/>
  <c r="D30" i="22" s="1"/>
  <c r="D30" i="23" s="1"/>
  <c r="D32" i="24" s="1"/>
  <c r="D30" i="25" s="1"/>
  <c r="D31" i="26" s="1"/>
  <c r="D30" i="27" s="1"/>
  <c r="D30" i="28" s="1"/>
  <c r="D30" i="29" s="1"/>
  <c r="D30" i="30" s="1"/>
  <c r="D30" i="31" s="1"/>
  <c r="D30" i="32" s="1"/>
  <c r="D30" i="33" s="1"/>
  <c r="D30" i="34" s="1"/>
  <c r="D30" i="35" s="1"/>
  <c r="D2" i="36" s="1"/>
  <c r="Q49" i="22"/>
  <c r="Q49" i="23" s="1"/>
  <c r="Q51" i="24" s="1"/>
  <c r="Q49" i="25" s="1"/>
  <c r="Q50" i="26" s="1"/>
  <c r="Q49" i="27" s="1"/>
  <c r="Q49" i="28" s="1"/>
  <c r="Q49" i="29" s="1"/>
  <c r="Q49" i="30" s="1"/>
  <c r="Q49" i="31" s="1"/>
  <c r="Q49" i="32" s="1"/>
  <c r="Q49" i="33" s="1"/>
  <c r="Q49" i="34" s="1"/>
  <c r="Q49" i="35" s="1"/>
  <c r="E61" i="36" s="1"/>
  <c r="Q48" i="22"/>
  <c r="Q48" i="23" s="1"/>
  <c r="Q50" i="24" s="1"/>
  <c r="Q48" i="25" s="1"/>
  <c r="Q49" i="26" s="1"/>
  <c r="Q48" i="27" s="1"/>
  <c r="Q48" i="28" s="1"/>
  <c r="Q48" i="29" s="1"/>
  <c r="Q48" i="30" s="1"/>
  <c r="Q48" i="31" s="1"/>
  <c r="Q48" i="32" s="1"/>
  <c r="Q48" i="33" s="1"/>
  <c r="Q48" i="34" s="1"/>
  <c r="Q48" i="35" s="1"/>
  <c r="E60" i="36" s="1"/>
  <c r="Q47" i="22"/>
  <c r="Q47" i="23" s="1"/>
  <c r="Q49" i="24" s="1"/>
  <c r="Q47" i="25" s="1"/>
  <c r="Q48" i="26" s="1"/>
  <c r="Q47" i="27" s="1"/>
  <c r="Q47" i="28" s="1"/>
  <c r="Q47" i="29" s="1"/>
  <c r="Q47" i="30" s="1"/>
  <c r="Q47" i="31" s="1"/>
  <c r="Q47" i="32" s="1"/>
  <c r="Q47" i="33" s="1"/>
  <c r="Q47" i="34" s="1"/>
  <c r="Q47" i="35" s="1"/>
  <c r="E59" i="36" s="1"/>
  <c r="Q46" i="22"/>
  <c r="Q46" i="23" s="1"/>
  <c r="Q48" i="24" s="1"/>
  <c r="Q46" i="25" s="1"/>
  <c r="Q47" i="26" s="1"/>
  <c r="Q46" i="27" s="1"/>
  <c r="Q46" i="28" s="1"/>
  <c r="Q46" i="29" s="1"/>
  <c r="Q46" i="30" s="1"/>
  <c r="Q46" i="31" s="1"/>
  <c r="Q46" i="32" s="1"/>
  <c r="Q46" i="33" s="1"/>
  <c r="Q46" i="34" s="1"/>
  <c r="Q46" i="35" s="1"/>
  <c r="E58" i="36" s="1"/>
  <c r="Q45" i="22"/>
  <c r="Q45" i="23" s="1"/>
  <c r="Q47" i="24" s="1"/>
  <c r="Q45" i="25" s="1"/>
  <c r="Q46" i="26" s="1"/>
  <c r="Q45" i="27" s="1"/>
  <c r="Q45" i="28" s="1"/>
  <c r="Q45" i="29" s="1"/>
  <c r="Q45" i="30" s="1"/>
  <c r="Q45" i="31" s="1"/>
  <c r="Q45" i="32" s="1"/>
  <c r="Q45" i="33" s="1"/>
  <c r="Q45" i="34" s="1"/>
  <c r="Q45" i="35" s="1"/>
  <c r="E57" i="36" s="1"/>
  <c r="Q44" i="22"/>
  <c r="Q44" i="23" s="1"/>
  <c r="Q46" i="24" s="1"/>
  <c r="Q44" i="25" s="1"/>
  <c r="Q45" i="26" s="1"/>
  <c r="Q44" i="27" s="1"/>
  <c r="Q44" i="28" s="1"/>
  <c r="Q44" i="29" s="1"/>
  <c r="Q44" i="30" s="1"/>
  <c r="Q44" i="31" s="1"/>
  <c r="Q44" i="32" s="1"/>
  <c r="Q44" i="33" s="1"/>
  <c r="Q44" i="34" s="1"/>
  <c r="Q44" i="35" s="1"/>
  <c r="E56" i="36" s="1"/>
  <c r="Q43" i="22"/>
  <c r="Q43" i="23" s="1"/>
  <c r="Q45" i="24" s="1"/>
  <c r="Q43" i="25" s="1"/>
  <c r="Q44" i="26" s="1"/>
  <c r="Q43" i="27" s="1"/>
  <c r="Q43" i="28" s="1"/>
  <c r="Q43" i="29" s="1"/>
  <c r="Q43" i="30" s="1"/>
  <c r="Q43" i="31" s="1"/>
  <c r="Q43" i="32" s="1"/>
  <c r="Q43" i="33" s="1"/>
  <c r="Q43" i="34" s="1"/>
  <c r="Q43" i="35" s="1"/>
  <c r="E55" i="36" s="1"/>
  <c r="Q42" i="22"/>
  <c r="Q42" i="23" s="1"/>
  <c r="Q44" i="24" s="1"/>
  <c r="Q42" i="25" s="1"/>
  <c r="Q43" i="26" s="1"/>
  <c r="Q42" i="27" s="1"/>
  <c r="Q42" i="28" s="1"/>
  <c r="Q42" i="29" s="1"/>
  <c r="Q42" i="30" s="1"/>
  <c r="Q42" i="31" s="1"/>
  <c r="Q42" i="32" s="1"/>
  <c r="Q42" i="33" s="1"/>
  <c r="Q42" i="34" s="1"/>
  <c r="Q42" i="35" s="1"/>
  <c r="E54" i="36" s="1"/>
  <c r="Q41" i="22"/>
  <c r="Q41" i="23" s="1"/>
  <c r="Q43" i="24" s="1"/>
  <c r="Q41" i="25" s="1"/>
  <c r="Q42" i="26" s="1"/>
  <c r="Q41" i="27" s="1"/>
  <c r="Q41" i="28" s="1"/>
  <c r="Q41" i="29" s="1"/>
  <c r="Q41" i="30" s="1"/>
  <c r="Q41" i="31" s="1"/>
  <c r="Q41" i="32" s="1"/>
  <c r="Q41" i="33" s="1"/>
  <c r="Q41" i="34" s="1"/>
  <c r="Q41" i="35" s="1"/>
  <c r="E53" i="36" s="1"/>
  <c r="Q40" i="22"/>
  <c r="Q40" i="23" s="1"/>
  <c r="Q42" i="24" s="1"/>
  <c r="Q40" i="25" s="1"/>
  <c r="Q41" i="26" s="1"/>
  <c r="Q40" i="27" s="1"/>
  <c r="Q40" i="28" s="1"/>
  <c r="Q40" i="29" s="1"/>
  <c r="Q40" i="30" s="1"/>
  <c r="Q40" i="31" s="1"/>
  <c r="Q40" i="32" s="1"/>
  <c r="Q40" i="33" s="1"/>
  <c r="Q40" i="34" s="1"/>
  <c r="Q40" i="35" s="1"/>
  <c r="E52" i="36" s="1"/>
  <c r="Q39" i="22"/>
  <c r="Q39" i="23" s="1"/>
  <c r="Q41" i="24" s="1"/>
  <c r="Q39" i="25" s="1"/>
  <c r="Q40" i="26" s="1"/>
  <c r="Q39" i="27" s="1"/>
  <c r="Q39" i="28" s="1"/>
  <c r="Q39" i="29" s="1"/>
  <c r="Q39" i="30" s="1"/>
  <c r="Q39" i="31" s="1"/>
  <c r="Q39" i="32" s="1"/>
  <c r="Q39" i="33" s="1"/>
  <c r="Q39" i="34" s="1"/>
  <c r="Q39" i="35" s="1"/>
  <c r="E51" i="36" s="1"/>
  <c r="Q38" i="22"/>
  <c r="Q38" i="23" s="1"/>
  <c r="Q40" i="24" s="1"/>
  <c r="Q38" i="25" s="1"/>
  <c r="Q39" i="26" s="1"/>
  <c r="Q38" i="27" s="1"/>
  <c r="Q38" i="28" s="1"/>
  <c r="Q38" i="29" s="1"/>
  <c r="Q38" i="30" s="1"/>
  <c r="Q38" i="31" s="1"/>
  <c r="Q38" i="32" s="1"/>
  <c r="Q38" i="33" s="1"/>
  <c r="Q38" i="34" s="1"/>
  <c r="Q38" i="35" s="1"/>
  <c r="E50" i="36" s="1"/>
  <c r="Q37" i="22"/>
  <c r="Q37" i="23" s="1"/>
  <c r="Q39" i="24" s="1"/>
  <c r="Q37" i="25" s="1"/>
  <c r="Q38" i="26" s="1"/>
  <c r="Q37" i="27" s="1"/>
  <c r="Q37" i="28" s="1"/>
  <c r="Q37" i="29" s="1"/>
  <c r="Q37" i="30" s="1"/>
  <c r="Q37" i="31" s="1"/>
  <c r="Q37" i="32" s="1"/>
  <c r="Q37" i="33" s="1"/>
  <c r="Q37" i="34" s="1"/>
  <c r="Q37" i="35" s="1"/>
  <c r="E49" i="36" s="1"/>
  <c r="Q36" i="22"/>
  <c r="Q36" i="23" s="1"/>
  <c r="Q38" i="24" s="1"/>
  <c r="Q36" i="25" s="1"/>
  <c r="Q37" i="26" s="1"/>
  <c r="Q36" i="27" s="1"/>
  <c r="Q36" i="28" s="1"/>
  <c r="Q36" i="29" s="1"/>
  <c r="Q36" i="30" s="1"/>
  <c r="Q36" i="31" s="1"/>
  <c r="Q36" i="32" s="1"/>
  <c r="Q36" i="33" s="1"/>
  <c r="Q36" i="34" s="1"/>
  <c r="Q36" i="35" s="1"/>
  <c r="E48" i="36" s="1"/>
  <c r="Q35" i="22"/>
  <c r="Q35" i="23" s="1"/>
  <c r="Q37" i="24" s="1"/>
  <c r="Q35" i="25" s="1"/>
  <c r="Q36" i="26" s="1"/>
  <c r="Q35" i="27" s="1"/>
  <c r="Q35" i="28" s="1"/>
  <c r="Q35" i="29" s="1"/>
  <c r="Q35" i="30" s="1"/>
  <c r="Q35" i="31" s="1"/>
  <c r="Q35" i="32" s="1"/>
  <c r="Q35" i="33" s="1"/>
  <c r="Q35" i="34" s="1"/>
  <c r="Q35" i="35" s="1"/>
  <c r="E47" i="36" s="1"/>
  <c r="Q34" i="22"/>
  <c r="Q34" i="23" s="1"/>
  <c r="Q36" i="24" s="1"/>
  <c r="Q34" i="25" s="1"/>
  <c r="Q35" i="26" s="1"/>
  <c r="Q34" i="27" s="1"/>
  <c r="Q34" i="28" s="1"/>
  <c r="Q34" i="29" s="1"/>
  <c r="Q34" i="30" s="1"/>
  <c r="Q34" i="31" s="1"/>
  <c r="Q34" i="32" s="1"/>
  <c r="Q34" i="33" s="1"/>
  <c r="Q34" i="34" s="1"/>
  <c r="Q34" i="35" s="1"/>
  <c r="E46" i="36" s="1"/>
  <c r="Q33" i="22"/>
  <c r="Q33" i="23" s="1"/>
  <c r="Q35" i="24" s="1"/>
  <c r="Q33" i="25" s="1"/>
  <c r="Q34" i="26" s="1"/>
  <c r="Q33" i="27" s="1"/>
  <c r="Q33" i="28" s="1"/>
  <c r="Q33" i="29" s="1"/>
  <c r="Q33" i="30" s="1"/>
  <c r="Q33" i="31" s="1"/>
  <c r="Q33" i="32" s="1"/>
  <c r="Q33" i="33" s="1"/>
  <c r="Q33" i="34" s="1"/>
  <c r="Q33" i="35" s="1"/>
  <c r="E45" i="36" s="1"/>
  <c r="Q32" i="22"/>
  <c r="Q32" i="23" s="1"/>
  <c r="Q34" i="24" s="1"/>
  <c r="Q32" i="25" s="1"/>
  <c r="Q33" i="26" s="1"/>
  <c r="Q32" i="27" s="1"/>
  <c r="Q32" i="28" s="1"/>
  <c r="Q32" i="29" s="1"/>
  <c r="Q32" i="30" s="1"/>
  <c r="Q32" i="31" s="1"/>
  <c r="Q32" i="32" s="1"/>
  <c r="Q32" i="33" s="1"/>
  <c r="Q32" i="34" s="1"/>
  <c r="Q32" i="35" s="1"/>
  <c r="E44" i="36" s="1"/>
  <c r="Q31" i="22"/>
  <c r="Q31" i="23" s="1"/>
  <c r="Q33" i="24" s="1"/>
  <c r="Q31" i="25" s="1"/>
  <c r="Q32" i="26" s="1"/>
  <c r="Q31" i="27" s="1"/>
  <c r="Q31" i="28" s="1"/>
  <c r="Q31" i="29" s="1"/>
  <c r="Q31" i="30" s="1"/>
  <c r="Q31" i="31" s="1"/>
  <c r="Q31" i="32" s="1"/>
  <c r="Q31" i="33" s="1"/>
  <c r="Q31" i="34" s="1"/>
  <c r="Q31" i="35" s="1"/>
  <c r="E43" i="36" s="1"/>
  <c r="Q30" i="22"/>
  <c r="Q30" i="23" s="1"/>
  <c r="Q32" i="24" s="1"/>
  <c r="Q30" i="25" s="1"/>
  <c r="Q31" i="26" s="1"/>
  <c r="Q30" i="27" s="1"/>
  <c r="Q30" i="28" s="1"/>
  <c r="Q30" i="29" s="1"/>
  <c r="Q30" i="30" s="1"/>
  <c r="Q30" i="31" s="1"/>
  <c r="Q30" i="32" s="1"/>
  <c r="Q30" i="33" s="1"/>
  <c r="Q30" i="34" s="1"/>
  <c r="Q30" i="35" s="1"/>
  <c r="E42" i="36" s="1"/>
  <c r="P49" i="22"/>
  <c r="P49" i="23" s="1"/>
  <c r="P51" i="24" s="1"/>
  <c r="P49" i="25" s="1"/>
  <c r="P50" i="26" s="1"/>
  <c r="P49" i="27" s="1"/>
  <c r="P49" i="28" s="1"/>
  <c r="P49" i="29" s="1"/>
  <c r="P49" i="30" s="1"/>
  <c r="P49" i="31" s="1"/>
  <c r="P49" i="32" s="1"/>
  <c r="P49" i="33" s="1"/>
  <c r="P49" i="34" s="1"/>
  <c r="P49" i="35" s="1"/>
  <c r="D61" i="36" s="1"/>
  <c r="P48" i="22"/>
  <c r="P48" i="23" s="1"/>
  <c r="P50" i="24" s="1"/>
  <c r="P48" i="25" s="1"/>
  <c r="P49" i="26" s="1"/>
  <c r="P48" i="27" s="1"/>
  <c r="P48" i="28" s="1"/>
  <c r="P48" i="29" s="1"/>
  <c r="P48" i="30" s="1"/>
  <c r="P48" i="31" s="1"/>
  <c r="P48" i="32" s="1"/>
  <c r="P48" i="33" s="1"/>
  <c r="P48" i="34" s="1"/>
  <c r="P48" i="35" s="1"/>
  <c r="D60" i="36" s="1"/>
  <c r="P47" i="22"/>
  <c r="P47" i="23" s="1"/>
  <c r="P49" i="24" s="1"/>
  <c r="P47" i="25" s="1"/>
  <c r="P48" i="26" s="1"/>
  <c r="P47" i="27" s="1"/>
  <c r="P47" i="28" s="1"/>
  <c r="P47" i="29" s="1"/>
  <c r="P47" i="30" s="1"/>
  <c r="P47" i="31" s="1"/>
  <c r="P47" i="32" s="1"/>
  <c r="P47" i="33" s="1"/>
  <c r="P47" i="34" s="1"/>
  <c r="P47" i="35" s="1"/>
  <c r="D59" i="36" s="1"/>
  <c r="P46" i="22"/>
  <c r="P46" i="23" s="1"/>
  <c r="P48" i="24" s="1"/>
  <c r="P46" i="25" s="1"/>
  <c r="P47" i="26" s="1"/>
  <c r="P46" i="27" s="1"/>
  <c r="P46" i="28" s="1"/>
  <c r="P46" i="29" s="1"/>
  <c r="P46" i="30" s="1"/>
  <c r="P46" i="31" s="1"/>
  <c r="P46" i="32" s="1"/>
  <c r="P46" i="33" s="1"/>
  <c r="P46" i="34" s="1"/>
  <c r="P46" i="35" s="1"/>
  <c r="D58" i="36" s="1"/>
  <c r="P45" i="22"/>
  <c r="P45" i="23" s="1"/>
  <c r="P47" i="24" s="1"/>
  <c r="P45" i="25" s="1"/>
  <c r="P46" i="26" s="1"/>
  <c r="P45" i="27" s="1"/>
  <c r="P45" i="28" s="1"/>
  <c r="P45" i="29" s="1"/>
  <c r="P45" i="30" s="1"/>
  <c r="P45" i="31" s="1"/>
  <c r="P45" i="32" s="1"/>
  <c r="P45" i="33" s="1"/>
  <c r="P45" i="34" s="1"/>
  <c r="P45" i="35" s="1"/>
  <c r="D57" i="36" s="1"/>
  <c r="P44" i="22"/>
  <c r="P44" i="23" s="1"/>
  <c r="P46" i="24" s="1"/>
  <c r="P44" i="25" s="1"/>
  <c r="P45" i="26" s="1"/>
  <c r="P44" i="27" s="1"/>
  <c r="P44" i="28" s="1"/>
  <c r="P44" i="29" s="1"/>
  <c r="P44" i="30" s="1"/>
  <c r="P44" i="31" s="1"/>
  <c r="P44" i="32" s="1"/>
  <c r="P44" i="33" s="1"/>
  <c r="P44" i="34" s="1"/>
  <c r="P44" i="35" s="1"/>
  <c r="D56" i="36" s="1"/>
  <c r="P43" i="22"/>
  <c r="P43" i="23" s="1"/>
  <c r="P45" i="24" s="1"/>
  <c r="P43" i="25" s="1"/>
  <c r="P44" i="26" s="1"/>
  <c r="P43" i="27" s="1"/>
  <c r="P43" i="28" s="1"/>
  <c r="P43" i="29" s="1"/>
  <c r="P43" i="30" s="1"/>
  <c r="P43" i="31" s="1"/>
  <c r="P43" i="32" s="1"/>
  <c r="P43" i="33" s="1"/>
  <c r="P43" i="34" s="1"/>
  <c r="P43" i="35" s="1"/>
  <c r="D55" i="36" s="1"/>
  <c r="P42" i="22"/>
  <c r="P42" i="23" s="1"/>
  <c r="P44" i="24" s="1"/>
  <c r="P42" i="25" s="1"/>
  <c r="P43" i="26" s="1"/>
  <c r="P42" i="27" s="1"/>
  <c r="P42" i="28" s="1"/>
  <c r="P42" i="29" s="1"/>
  <c r="P42" i="30" s="1"/>
  <c r="P42" i="31" s="1"/>
  <c r="P42" i="32" s="1"/>
  <c r="P42" i="33" s="1"/>
  <c r="P42" i="34" s="1"/>
  <c r="P42" i="35" s="1"/>
  <c r="D54" i="36" s="1"/>
  <c r="P41" i="22"/>
  <c r="P41" i="23" s="1"/>
  <c r="P43" i="24" s="1"/>
  <c r="P41" i="25" s="1"/>
  <c r="P42" i="26" s="1"/>
  <c r="P41" i="27" s="1"/>
  <c r="P41" i="28" s="1"/>
  <c r="P41" i="29" s="1"/>
  <c r="P41" i="30" s="1"/>
  <c r="P41" i="31" s="1"/>
  <c r="P41" i="32" s="1"/>
  <c r="P41" i="33" s="1"/>
  <c r="P41" i="34" s="1"/>
  <c r="P41" i="35" s="1"/>
  <c r="D53" i="36" s="1"/>
  <c r="P40" i="22"/>
  <c r="P40" i="23" s="1"/>
  <c r="P42" i="24" s="1"/>
  <c r="P40" i="25" s="1"/>
  <c r="P41" i="26" s="1"/>
  <c r="P40" i="27" s="1"/>
  <c r="P40" i="28" s="1"/>
  <c r="P40" i="29" s="1"/>
  <c r="P40" i="30" s="1"/>
  <c r="P40" i="31" s="1"/>
  <c r="P40" i="32" s="1"/>
  <c r="P40" i="33" s="1"/>
  <c r="P40" i="34" s="1"/>
  <c r="P40" i="35" s="1"/>
  <c r="D52" i="36" s="1"/>
  <c r="P39" i="22"/>
  <c r="P39" i="23" s="1"/>
  <c r="P41" i="24" s="1"/>
  <c r="P39" i="25" s="1"/>
  <c r="P40" i="26" s="1"/>
  <c r="P39" i="27" s="1"/>
  <c r="P39" i="28" s="1"/>
  <c r="P39" i="29" s="1"/>
  <c r="P39" i="30" s="1"/>
  <c r="P39" i="31" s="1"/>
  <c r="P39" i="32" s="1"/>
  <c r="P39" i="33" s="1"/>
  <c r="P39" i="34" s="1"/>
  <c r="P39" i="35" s="1"/>
  <c r="D51" i="36" s="1"/>
  <c r="P38" i="22"/>
  <c r="P38" i="23" s="1"/>
  <c r="P40" i="24" s="1"/>
  <c r="P38" i="25" s="1"/>
  <c r="P39" i="26" s="1"/>
  <c r="P38" i="27" s="1"/>
  <c r="P38" i="28" s="1"/>
  <c r="P38" i="29" s="1"/>
  <c r="P38" i="30" s="1"/>
  <c r="P38" i="31" s="1"/>
  <c r="P38" i="32" s="1"/>
  <c r="P38" i="33" s="1"/>
  <c r="P38" i="34" s="1"/>
  <c r="P38" i="35" s="1"/>
  <c r="D50" i="36" s="1"/>
  <c r="P37" i="22"/>
  <c r="P37" i="23" s="1"/>
  <c r="P39" i="24" s="1"/>
  <c r="P37" i="25" s="1"/>
  <c r="P38" i="26" s="1"/>
  <c r="P37" i="27" s="1"/>
  <c r="P37" i="28" s="1"/>
  <c r="P37" i="29" s="1"/>
  <c r="P37" i="30" s="1"/>
  <c r="P37" i="31" s="1"/>
  <c r="P37" i="32" s="1"/>
  <c r="P37" i="33" s="1"/>
  <c r="P37" i="34" s="1"/>
  <c r="P37" i="35" s="1"/>
  <c r="D49" i="36" s="1"/>
  <c r="P36" i="22"/>
  <c r="P36" i="23" s="1"/>
  <c r="P38" i="24" s="1"/>
  <c r="P36" i="25" s="1"/>
  <c r="P37" i="26" s="1"/>
  <c r="P36" i="27" s="1"/>
  <c r="P36" i="28" s="1"/>
  <c r="P36" i="29" s="1"/>
  <c r="P36" i="30" s="1"/>
  <c r="P36" i="31" s="1"/>
  <c r="P36" i="32" s="1"/>
  <c r="P36" i="33" s="1"/>
  <c r="P36" i="34" s="1"/>
  <c r="P36" i="35" s="1"/>
  <c r="D48" i="36" s="1"/>
  <c r="P35" i="22"/>
  <c r="P35" i="23" s="1"/>
  <c r="P37" i="24" s="1"/>
  <c r="P35" i="25" s="1"/>
  <c r="P36" i="26" s="1"/>
  <c r="P35" i="27" s="1"/>
  <c r="P35" i="28" s="1"/>
  <c r="P35" i="29" s="1"/>
  <c r="P35" i="30" s="1"/>
  <c r="P35" i="31" s="1"/>
  <c r="P35" i="32" s="1"/>
  <c r="P35" i="33" s="1"/>
  <c r="P35" i="34" s="1"/>
  <c r="P35" i="35" s="1"/>
  <c r="D47" i="36" s="1"/>
  <c r="P34" i="22"/>
  <c r="P34" i="23" s="1"/>
  <c r="P36" i="24" s="1"/>
  <c r="P34" i="25" s="1"/>
  <c r="P35" i="26" s="1"/>
  <c r="P34" i="27" s="1"/>
  <c r="P34" i="28" s="1"/>
  <c r="P34" i="29" s="1"/>
  <c r="P34" i="30" s="1"/>
  <c r="P34" i="31" s="1"/>
  <c r="P34" i="32" s="1"/>
  <c r="P34" i="33" s="1"/>
  <c r="P34" i="34" s="1"/>
  <c r="P34" i="35" s="1"/>
  <c r="D46" i="36" s="1"/>
  <c r="P33" i="22"/>
  <c r="P33" i="23" s="1"/>
  <c r="P35" i="24" s="1"/>
  <c r="P33" i="25" s="1"/>
  <c r="P34" i="26" s="1"/>
  <c r="P33" i="27" s="1"/>
  <c r="P33" i="28" s="1"/>
  <c r="P33" i="29" s="1"/>
  <c r="P33" i="30" s="1"/>
  <c r="P33" i="31" s="1"/>
  <c r="P33" i="32" s="1"/>
  <c r="P33" i="33" s="1"/>
  <c r="P33" i="34" s="1"/>
  <c r="P33" i="35" s="1"/>
  <c r="D45" i="36" s="1"/>
  <c r="P32" i="22"/>
  <c r="P32" i="23" s="1"/>
  <c r="P34" i="24" s="1"/>
  <c r="P32" i="25" s="1"/>
  <c r="P33" i="26" s="1"/>
  <c r="P32" i="27" s="1"/>
  <c r="P32" i="28" s="1"/>
  <c r="P32" i="29" s="1"/>
  <c r="P32" i="30" s="1"/>
  <c r="P32" i="31" s="1"/>
  <c r="P32" i="32" s="1"/>
  <c r="P32" i="33" s="1"/>
  <c r="P32" i="34" s="1"/>
  <c r="P32" i="35" s="1"/>
  <c r="D44" i="36" s="1"/>
  <c r="P31" i="22"/>
  <c r="P31" i="23" s="1"/>
  <c r="P33" i="24" s="1"/>
  <c r="P31" i="25" s="1"/>
  <c r="P32" i="26" s="1"/>
  <c r="P31" i="27" s="1"/>
  <c r="P31" i="28" s="1"/>
  <c r="P31" i="29" s="1"/>
  <c r="P31" i="30" s="1"/>
  <c r="P31" i="31" s="1"/>
  <c r="P31" i="32" s="1"/>
  <c r="P31" i="33" s="1"/>
  <c r="P31" i="34" s="1"/>
  <c r="P31" i="35" s="1"/>
  <c r="D43" i="36" s="1"/>
  <c r="P30" i="22"/>
  <c r="P30" i="23" s="1"/>
  <c r="P32" i="24" s="1"/>
  <c r="P30" i="25" s="1"/>
  <c r="P31" i="26" s="1"/>
  <c r="P30" i="27" s="1"/>
  <c r="P30" i="28" s="1"/>
  <c r="P30" i="29" s="1"/>
  <c r="P30" i="30" s="1"/>
  <c r="P30" i="31" s="1"/>
  <c r="P30" i="32" s="1"/>
  <c r="P30" i="33" s="1"/>
  <c r="P30" i="34" s="1"/>
  <c r="P30" i="35" s="1"/>
  <c r="D42" i="36" s="1"/>
  <c r="F16" i="11"/>
  <c r="P59" i="11" s="1"/>
  <c r="P76" i="7"/>
  <c r="P78" i="7" s="1"/>
  <c r="F16" i="14"/>
  <c r="P59" i="14" s="1"/>
  <c r="F16" i="15"/>
  <c r="P59" i="15" s="1"/>
  <c r="F16" i="17"/>
  <c r="P59" i="17" s="1"/>
  <c r="F16" i="21"/>
  <c r="P59" i="21" s="1"/>
  <c r="F16" i="23"/>
  <c r="P59" i="23" s="1"/>
  <c r="F16" i="25"/>
  <c r="P59" i="25" s="1"/>
  <c r="F16" i="22"/>
  <c r="P59" i="22" s="1"/>
  <c r="F17" i="26"/>
  <c r="P60" i="26" s="1"/>
  <c r="F18" i="24"/>
  <c r="P61" i="24" s="1"/>
  <c r="K17" i="35"/>
  <c r="L16" i="35"/>
  <c r="K17" i="34"/>
  <c r="L16" i="34"/>
  <c r="K17" i="33"/>
  <c r="K17" i="32"/>
  <c r="L16" i="32"/>
  <c r="K17" i="31"/>
  <c r="L16" i="31"/>
  <c r="K17" i="30"/>
  <c r="L16" i="30"/>
  <c r="K17" i="29"/>
  <c r="K17" i="28"/>
  <c r="L16" i="28"/>
  <c r="K17" i="27"/>
  <c r="L16" i="27"/>
  <c r="K18" i="26"/>
  <c r="L17" i="26"/>
  <c r="K17" i="25"/>
  <c r="L16" i="25"/>
  <c r="K19" i="24"/>
  <c r="K17" i="23"/>
  <c r="L16" i="23"/>
  <c r="K17" i="22"/>
  <c r="K17" i="21"/>
  <c r="K17" i="20"/>
  <c r="L16" i="20"/>
  <c r="K17" i="19"/>
  <c r="K17" i="18"/>
  <c r="L16" i="18"/>
  <c r="K17" i="17"/>
  <c r="F16" i="16"/>
  <c r="P59" i="16" s="1"/>
  <c r="K17" i="16"/>
  <c r="L16" i="16"/>
  <c r="K17" i="15"/>
  <c r="K17" i="14"/>
  <c r="L16" i="14"/>
  <c r="K17" i="13"/>
  <c r="L16" i="13"/>
  <c r="K17" i="12"/>
  <c r="L16" i="12"/>
  <c r="K17" i="11"/>
  <c r="L16" i="11"/>
  <c r="K17" i="10"/>
  <c r="K17" i="9"/>
  <c r="L16" i="9"/>
  <c r="P83" i="7"/>
  <c r="L16" i="8"/>
  <c r="K17" i="8"/>
  <c r="L16" i="7"/>
  <c r="K17" i="7"/>
  <c r="E62" i="36" l="1"/>
  <c r="D62" i="36"/>
  <c r="F22" i="11"/>
  <c r="E23" i="25"/>
  <c r="F23" i="25" s="1"/>
  <c r="K23" i="25"/>
  <c r="L25" i="24"/>
  <c r="E24" i="25"/>
  <c r="F24" i="25" s="1"/>
  <c r="L26" i="24"/>
  <c r="K24" i="25"/>
  <c r="P56" i="35"/>
  <c r="P85" i="35"/>
  <c r="P56" i="34"/>
  <c r="P85" i="34"/>
  <c r="P56" i="33"/>
  <c r="P85" i="33"/>
  <c r="P56" i="32"/>
  <c r="P85" i="32"/>
  <c r="P56" i="31"/>
  <c r="P85" i="31"/>
  <c r="P56" i="30"/>
  <c r="P85" i="30"/>
  <c r="P56" i="29"/>
  <c r="P85" i="29"/>
  <c r="P56" i="28"/>
  <c r="P85" i="28"/>
  <c r="P56" i="27"/>
  <c r="P85" i="27"/>
  <c r="P57" i="26"/>
  <c r="P86" i="26"/>
  <c r="P56" i="25"/>
  <c r="P85" i="25"/>
  <c r="P58" i="24"/>
  <c r="P87" i="24"/>
  <c r="P56" i="23"/>
  <c r="P85" i="23"/>
  <c r="P56" i="22"/>
  <c r="P85" i="22"/>
  <c r="P56" i="21"/>
  <c r="P85" i="21"/>
  <c r="P56" i="20"/>
  <c r="P85" i="20"/>
  <c r="P56" i="19"/>
  <c r="P85" i="19"/>
  <c r="P56" i="18"/>
  <c r="P85" i="18"/>
  <c r="P56" i="17"/>
  <c r="P85" i="17"/>
  <c r="P56" i="16"/>
  <c r="P85" i="16"/>
  <c r="P56" i="15"/>
  <c r="P85" i="15"/>
  <c r="P56" i="14"/>
  <c r="P85" i="14"/>
  <c r="P56" i="13"/>
  <c r="P85" i="13"/>
  <c r="P56" i="12"/>
  <c r="P85" i="12"/>
  <c r="P56" i="11"/>
  <c r="P85" i="11"/>
  <c r="P56" i="10"/>
  <c r="P56" i="9"/>
  <c r="P85" i="9"/>
  <c r="P56" i="8"/>
  <c r="P85" i="8"/>
  <c r="P85" i="7"/>
  <c r="P56" i="7"/>
  <c r="P79" i="7"/>
  <c r="P81" i="7" s="1"/>
  <c r="L17" i="35"/>
  <c r="P57" i="35" s="1"/>
  <c r="L17" i="34"/>
  <c r="P57" i="34" s="1"/>
  <c r="L17" i="33"/>
  <c r="P57" i="33" s="1"/>
  <c r="L17" i="32"/>
  <c r="P57" i="32" s="1"/>
  <c r="L17" i="31"/>
  <c r="P57" i="31" s="1"/>
  <c r="L17" i="30"/>
  <c r="P57" i="30" s="1"/>
  <c r="L17" i="29"/>
  <c r="P57" i="29" s="1"/>
  <c r="L17" i="28"/>
  <c r="P57" i="28" s="1"/>
  <c r="L17" i="27"/>
  <c r="P57" i="27" s="1"/>
  <c r="L18" i="26"/>
  <c r="P58" i="26" s="1"/>
  <c r="L17" i="25"/>
  <c r="P57" i="25" s="1"/>
  <c r="L19" i="24"/>
  <c r="P59" i="24" s="1"/>
  <c r="L17" i="23"/>
  <c r="P57" i="23" s="1"/>
  <c r="L17" i="22"/>
  <c r="P57" i="22" s="1"/>
  <c r="L17" i="21"/>
  <c r="P57" i="21" s="1"/>
  <c r="L17" i="20"/>
  <c r="P57" i="20" s="1"/>
  <c r="L17" i="19"/>
  <c r="P57" i="19" s="1"/>
  <c r="L17" i="18"/>
  <c r="P57" i="18" s="1"/>
  <c r="L17" i="17"/>
  <c r="P57" i="17" s="1"/>
  <c r="L17" i="16"/>
  <c r="P57" i="16" s="1"/>
  <c r="L17" i="15"/>
  <c r="P57" i="15" s="1"/>
  <c r="L17" i="14"/>
  <c r="P57" i="14" s="1"/>
  <c r="L17" i="13"/>
  <c r="P57" i="13" s="1"/>
  <c r="L17" i="12"/>
  <c r="P57" i="12" s="1"/>
  <c r="L17" i="11"/>
  <c r="P57" i="11" s="1"/>
  <c r="L17" i="10"/>
  <c r="P57" i="10" s="1"/>
  <c r="L17" i="9"/>
  <c r="P57" i="9" s="1"/>
  <c r="P82" i="7"/>
  <c r="P80" i="7"/>
  <c r="P80" i="6"/>
  <c r="P81" i="6"/>
  <c r="L17" i="8"/>
  <c r="P57" i="8" s="1"/>
  <c r="L17" i="7"/>
  <c r="P57" i="7" s="1"/>
  <c r="C23" i="30" l="1"/>
  <c r="F22" i="12"/>
  <c r="C22" i="13"/>
  <c r="E24" i="26"/>
  <c r="F24" i="26" s="1"/>
  <c r="K25" i="26"/>
  <c r="L24" i="25"/>
  <c r="K24" i="26"/>
  <c r="L23" i="25"/>
  <c r="E25" i="26"/>
  <c r="F25" i="26" s="1"/>
  <c r="A3" i="6"/>
  <c r="J79" i="6"/>
  <c r="C79" i="6"/>
  <c r="B79" i="6"/>
  <c r="B50" i="6"/>
  <c r="A50" i="6"/>
  <c r="N16" i="6"/>
  <c r="M16" i="6"/>
  <c r="K16" i="6"/>
  <c r="J16" i="6"/>
  <c r="E16" i="6"/>
  <c r="P58" i="6" s="1"/>
  <c r="D16" i="6"/>
  <c r="C16" i="6"/>
  <c r="P55" i="6" s="1"/>
  <c r="B16" i="6"/>
  <c r="L15" i="6"/>
  <c r="L14" i="6"/>
  <c r="L13" i="6"/>
  <c r="L12" i="6"/>
  <c r="L11" i="6"/>
  <c r="L10" i="6"/>
  <c r="L9" i="6"/>
  <c r="L8" i="6"/>
  <c r="L7" i="6"/>
  <c r="Q88" i="5"/>
  <c r="Q86" i="5"/>
  <c r="Q86" i="6" s="1"/>
  <c r="Q84" i="5"/>
  <c r="J79" i="5"/>
  <c r="C79" i="5"/>
  <c r="B79" i="5"/>
  <c r="Q77" i="5"/>
  <c r="Q74" i="5"/>
  <c r="Q73" i="5"/>
  <c r="Q73" i="6" s="1"/>
  <c r="Q72" i="5"/>
  <c r="Q71" i="5"/>
  <c r="Q70" i="5"/>
  <c r="Q69" i="5"/>
  <c r="Q68" i="5"/>
  <c r="Q68" i="6" s="1"/>
  <c r="Q67" i="5"/>
  <c r="Q66" i="5"/>
  <c r="Q66" i="6" s="1"/>
  <c r="Q64" i="5"/>
  <c r="Q64" i="17" s="1"/>
  <c r="Q63" i="5"/>
  <c r="Q63" i="17" s="1"/>
  <c r="Q62" i="5"/>
  <c r="Q62" i="17" s="1"/>
  <c r="Q60" i="5"/>
  <c r="Q60" i="17" s="1"/>
  <c r="A52" i="5"/>
  <c r="S55" i="5" s="1"/>
  <c r="T55" i="5" s="1"/>
  <c r="B50" i="5"/>
  <c r="A50" i="5"/>
  <c r="N16" i="5"/>
  <c r="N22" i="5" s="1"/>
  <c r="N22" i="6" s="1"/>
  <c r="M16" i="5"/>
  <c r="M22" i="5" s="1"/>
  <c r="M22" i="6" s="1"/>
  <c r="K16" i="5"/>
  <c r="P89" i="5" s="1"/>
  <c r="J16" i="5"/>
  <c r="E16" i="5"/>
  <c r="D16" i="5"/>
  <c r="D22" i="5" s="1"/>
  <c r="D22" i="6" s="1"/>
  <c r="C16" i="5"/>
  <c r="B16" i="5"/>
  <c r="B22" i="5" s="1"/>
  <c r="B22" i="6" s="1"/>
  <c r="C23" i="31" l="1"/>
  <c r="F22" i="13"/>
  <c r="C22" i="14"/>
  <c r="R71" i="5"/>
  <c r="R72" i="5"/>
  <c r="R70" i="5"/>
  <c r="J22" i="5"/>
  <c r="J22" i="6" s="1"/>
  <c r="J26" i="6" s="1"/>
  <c r="K23" i="27"/>
  <c r="L24" i="26"/>
  <c r="E23" i="27"/>
  <c r="F23" i="27" s="1"/>
  <c r="E24" i="27"/>
  <c r="F24" i="27" s="1"/>
  <c r="K24" i="27"/>
  <c r="L25" i="26"/>
  <c r="F16" i="6"/>
  <c r="P59" i="6" s="1"/>
  <c r="E22" i="5"/>
  <c r="E22" i="6" s="1"/>
  <c r="E26" i="6" s="1"/>
  <c r="Q58" i="6" s="1"/>
  <c r="P58" i="5"/>
  <c r="C22" i="5"/>
  <c r="C26" i="5" s="1"/>
  <c r="Q55" i="5" s="1"/>
  <c r="P55" i="5"/>
  <c r="Q62" i="6"/>
  <c r="Q62" i="35"/>
  <c r="Q62" i="33"/>
  <c r="Q62" i="32"/>
  <c r="Q62" i="31"/>
  <c r="Q62" i="34"/>
  <c r="Q62" i="30"/>
  <c r="Q62" i="29"/>
  <c r="Q63" i="26"/>
  <c r="Q62" i="25"/>
  <c r="Q62" i="28"/>
  <c r="Q64" i="24"/>
  <c r="Q62" i="19"/>
  <c r="Q62" i="18"/>
  <c r="Q62" i="23"/>
  <c r="Q62" i="21"/>
  <c r="Q62" i="27"/>
  <c r="Q62" i="20"/>
  <c r="Q62" i="22"/>
  <c r="Q62" i="15"/>
  <c r="Q62" i="13"/>
  <c r="Q62" i="10"/>
  <c r="Q62" i="16"/>
  <c r="Q62" i="12"/>
  <c r="Q62" i="7"/>
  <c r="Q62" i="9"/>
  <c r="Q62" i="8"/>
  <c r="Q62" i="11"/>
  <c r="Q62" i="14"/>
  <c r="Q67" i="35"/>
  <c r="Q67" i="33"/>
  <c r="Q67" i="32"/>
  <c r="Q67" i="34"/>
  <c r="Q67" i="31"/>
  <c r="Q67" i="30"/>
  <c r="Q67" i="27"/>
  <c r="Q68" i="26"/>
  <c r="Q67" i="25"/>
  <c r="Q67" i="29"/>
  <c r="Q67" i="22"/>
  <c r="Q67" i="20"/>
  <c r="Q67" i="23"/>
  <c r="Q67" i="19"/>
  <c r="Q67" i="18"/>
  <c r="Q69" i="24"/>
  <c r="Q67" i="17"/>
  <c r="Q67" i="21"/>
  <c r="Q67" i="16"/>
  <c r="Q67" i="28"/>
  <c r="Q67" i="15"/>
  <c r="Q67" i="14"/>
  <c r="Q67" i="11"/>
  <c r="Q67" i="13"/>
  <c r="Q67" i="10"/>
  <c r="Q67" i="12"/>
  <c r="Q67" i="7"/>
  <c r="Q67" i="9"/>
  <c r="Q67" i="8"/>
  <c r="Q71" i="35"/>
  <c r="P16" i="37" s="1"/>
  <c r="Q71" i="34"/>
  <c r="Q71" i="33"/>
  <c r="Q71" i="32"/>
  <c r="Q71" i="31"/>
  <c r="Q71" i="30"/>
  <c r="Q71" i="27"/>
  <c r="Q71" i="29"/>
  <c r="Q72" i="26"/>
  <c r="Q71" i="25"/>
  <c r="Q71" i="28"/>
  <c r="Q71" i="22"/>
  <c r="Q71" i="20"/>
  <c r="Q71" i="19"/>
  <c r="Q71" i="18"/>
  <c r="Q71" i="23"/>
  <c r="Q71" i="17"/>
  <c r="Q71" i="16"/>
  <c r="Q73" i="24"/>
  <c r="Q71" i="21"/>
  <c r="Q71" i="14"/>
  <c r="Q71" i="11"/>
  <c r="Q71" i="13"/>
  <c r="Q71" i="10"/>
  <c r="Q71" i="15"/>
  <c r="Q71" i="12"/>
  <c r="Q71" i="7"/>
  <c r="Q71" i="9"/>
  <c r="Q71" i="8"/>
  <c r="Q77" i="35"/>
  <c r="Q77" i="31"/>
  <c r="Q77" i="34"/>
  <c r="Q77" i="32"/>
  <c r="Q77" i="30"/>
  <c r="Q77" i="29"/>
  <c r="Q77" i="33"/>
  <c r="Q77" i="28"/>
  <c r="Q79" i="24"/>
  <c r="Q77" i="27"/>
  <c r="Q77" i="23"/>
  <c r="Q77" i="25"/>
  <c r="Q77" i="21"/>
  <c r="Q77" i="22"/>
  <c r="Q77" i="20"/>
  <c r="Q77" i="19"/>
  <c r="Q77" i="15"/>
  <c r="Q78" i="26"/>
  <c r="Q77" i="17"/>
  <c r="Q77" i="18"/>
  <c r="Q77" i="16"/>
  <c r="Q77" i="12"/>
  <c r="Q77" i="14"/>
  <c r="Q77" i="11"/>
  <c r="Q77" i="10"/>
  <c r="Q77" i="9"/>
  <c r="Q77" i="7"/>
  <c r="Q77" i="13"/>
  <c r="Q77" i="8"/>
  <c r="Q84" i="35"/>
  <c r="Q84" i="34"/>
  <c r="Q84" i="33"/>
  <c r="Q84" i="32"/>
  <c r="Q84" i="31"/>
  <c r="Q84" i="29"/>
  <c r="Q84" i="28"/>
  <c r="Q86" i="24"/>
  <c r="Q84" i="27"/>
  <c r="Q84" i="23"/>
  <c r="Q85" i="26"/>
  <c r="Q84" i="25"/>
  <c r="Q84" i="21"/>
  <c r="Q84" i="30"/>
  <c r="Q84" i="22"/>
  <c r="Q84" i="20"/>
  <c r="Q84" i="17"/>
  <c r="Q84" i="14"/>
  <c r="Q84" i="10"/>
  <c r="Q84" i="7"/>
  <c r="Q84" i="9"/>
  <c r="Q84" i="18"/>
  <c r="Q84" i="16"/>
  <c r="Q84" i="13"/>
  <c r="Q84" i="12"/>
  <c r="Q84" i="11"/>
  <c r="Q84" i="15"/>
  <c r="Q84" i="8"/>
  <c r="Q84" i="19"/>
  <c r="N26" i="6"/>
  <c r="D26" i="5"/>
  <c r="D26" i="35"/>
  <c r="E12" i="37" s="1"/>
  <c r="D26" i="33"/>
  <c r="D26" i="32"/>
  <c r="D26" i="30"/>
  <c r="D26" i="34"/>
  <c r="D26" i="31"/>
  <c r="D27" i="26"/>
  <c r="D26" i="25"/>
  <c r="D26" i="29"/>
  <c r="D26" i="28"/>
  <c r="D28" i="24"/>
  <c r="D26" i="19"/>
  <c r="D26" i="23"/>
  <c r="D26" i="27"/>
  <c r="D26" i="21"/>
  <c r="D26" i="22"/>
  <c r="D26" i="18"/>
  <c r="D26" i="16"/>
  <c r="D26" i="13"/>
  <c r="D26" i="10"/>
  <c r="D26" i="20"/>
  <c r="D26" i="17"/>
  <c r="D26" i="12"/>
  <c r="D26" i="15"/>
  <c r="D26" i="11"/>
  <c r="D26" i="7"/>
  <c r="D26" i="9"/>
  <c r="D26" i="8"/>
  <c r="D26" i="14"/>
  <c r="M26" i="5"/>
  <c r="M26" i="35"/>
  <c r="M26" i="33"/>
  <c r="M26" i="32"/>
  <c r="M26" i="34"/>
  <c r="M26" i="30"/>
  <c r="M26" i="31"/>
  <c r="M27" i="26"/>
  <c r="M26" i="25"/>
  <c r="M26" i="29"/>
  <c r="M26" i="28"/>
  <c r="M28" i="24"/>
  <c r="M26" i="19"/>
  <c r="M26" i="27"/>
  <c r="M26" i="23"/>
  <c r="M26" i="21"/>
  <c r="M26" i="18"/>
  <c r="M26" i="20"/>
  <c r="M26" i="13"/>
  <c r="M26" i="10"/>
  <c r="M26" i="22"/>
  <c r="M26" i="12"/>
  <c r="M26" i="15"/>
  <c r="M26" i="17"/>
  <c r="M26" i="16"/>
  <c r="M26" i="14"/>
  <c r="M26" i="9"/>
  <c r="M26" i="8"/>
  <c r="M26" i="7"/>
  <c r="M26" i="11"/>
  <c r="Q63" i="35"/>
  <c r="Q63" i="33"/>
  <c r="Q63" i="32"/>
  <c r="Q63" i="31"/>
  <c r="Q63" i="30"/>
  <c r="Q63" i="27"/>
  <c r="Q63" i="29"/>
  <c r="Q64" i="26"/>
  <c r="Q63" i="25"/>
  <c r="Q63" i="34"/>
  <c r="Q63" i="22"/>
  <c r="Q63" i="20"/>
  <c r="Q65" i="24"/>
  <c r="Q63" i="19"/>
  <c r="Q63" i="18"/>
  <c r="Q63" i="28"/>
  <c r="Q63" i="21"/>
  <c r="Q63" i="16"/>
  <c r="Q63" i="14"/>
  <c r="Q63" i="11"/>
  <c r="Q63" i="13"/>
  <c r="Q63" i="10"/>
  <c r="Q63" i="15"/>
  <c r="Q63" i="12"/>
  <c r="Q63" i="23"/>
  <c r="Q63" i="7"/>
  <c r="Q63" i="9"/>
  <c r="Q63" i="8"/>
  <c r="Q68" i="35"/>
  <c r="Q68" i="34"/>
  <c r="Q68" i="33"/>
  <c r="Q68" i="32"/>
  <c r="Q68" i="31"/>
  <c r="Q68" i="29"/>
  <c r="Q68" i="28"/>
  <c r="Q70" i="24"/>
  <c r="Q68" i="30"/>
  <c r="Q68" i="27"/>
  <c r="Q68" i="23"/>
  <c r="Q69" i="26"/>
  <c r="Q68" i="25"/>
  <c r="Q68" i="21"/>
  <c r="Q68" i="22"/>
  <c r="Q68" i="20"/>
  <c r="Q68" i="17"/>
  <c r="Q68" i="18"/>
  <c r="Q68" i="16"/>
  <c r="Q68" i="19"/>
  <c r="Q68" i="15"/>
  <c r="Q68" i="14"/>
  <c r="Q68" i="11"/>
  <c r="Q68" i="13"/>
  <c r="Q68" i="8"/>
  <c r="Q68" i="7"/>
  <c r="Q68" i="9"/>
  <c r="Q68" i="12"/>
  <c r="Q68" i="10"/>
  <c r="Q72" i="35"/>
  <c r="P17" i="37" s="1"/>
  <c r="Q72" i="34"/>
  <c r="Q72" i="33"/>
  <c r="Q72" i="32"/>
  <c r="Q72" i="31"/>
  <c r="Q72" i="28"/>
  <c r="Q74" i="24"/>
  <c r="Q72" i="27"/>
  <c r="Q72" i="23"/>
  <c r="Q72" i="30"/>
  <c r="Q72" i="29"/>
  <c r="Q73" i="26"/>
  <c r="Q72" i="25"/>
  <c r="Q72" i="21"/>
  <c r="Q72" i="22"/>
  <c r="Q72" i="20"/>
  <c r="Q72" i="18"/>
  <c r="Q72" i="19"/>
  <c r="Q72" i="17"/>
  <c r="Q72" i="16"/>
  <c r="Q72" i="14"/>
  <c r="Q72" i="11"/>
  <c r="Q72" i="13"/>
  <c r="Q72" i="15"/>
  <c r="Q72" i="10"/>
  <c r="Q72" i="7"/>
  <c r="Q72" i="9"/>
  <c r="Q72" i="12"/>
  <c r="Q72" i="8"/>
  <c r="Q86" i="35"/>
  <c r="Q86" i="34"/>
  <c r="Q86" i="33"/>
  <c r="Q86" i="32"/>
  <c r="Q86" i="31"/>
  <c r="Q86" i="30"/>
  <c r="Q86" i="27"/>
  <c r="Q87" i="26"/>
  <c r="Q86" i="25"/>
  <c r="Q88" i="24"/>
  <c r="Q86" i="22"/>
  <c r="Q86" i="20"/>
  <c r="Q86" i="28"/>
  <c r="Q86" i="23"/>
  <c r="Q86" i="19"/>
  <c r="Q86" i="18"/>
  <c r="Q86" i="9"/>
  <c r="Q86" i="29"/>
  <c r="Q86" i="16"/>
  <c r="Q86" i="13"/>
  <c r="Q86" i="12"/>
  <c r="Q86" i="11"/>
  <c r="Q86" i="15"/>
  <c r="Q86" i="8"/>
  <c r="Q86" i="14"/>
  <c r="Q86" i="7"/>
  <c r="Q86" i="17"/>
  <c r="Q86" i="10"/>
  <c r="Q86" i="21"/>
  <c r="P83" i="6"/>
  <c r="P82" i="6"/>
  <c r="Q84" i="6"/>
  <c r="Q72" i="6"/>
  <c r="Q67" i="6"/>
  <c r="N26" i="5"/>
  <c r="N26" i="35"/>
  <c r="N28" i="37" s="1"/>
  <c r="N26" i="32"/>
  <c r="N26" i="34"/>
  <c r="N26" i="30"/>
  <c r="N26" i="33"/>
  <c r="N26" i="31"/>
  <c r="N26" i="29"/>
  <c r="N26" i="28"/>
  <c r="N28" i="24"/>
  <c r="N26" i="27"/>
  <c r="N26" i="23"/>
  <c r="N27" i="26"/>
  <c r="N26" i="21"/>
  <c r="N26" i="25"/>
  <c r="N26" i="22"/>
  <c r="N26" i="20"/>
  <c r="N26" i="19"/>
  <c r="N26" i="18"/>
  <c r="N26" i="17"/>
  <c r="N26" i="12"/>
  <c r="N26" i="15"/>
  <c r="N26" i="16"/>
  <c r="N26" i="14"/>
  <c r="N26" i="11"/>
  <c r="N26" i="9"/>
  <c r="N26" i="8"/>
  <c r="N26" i="10"/>
  <c r="N26" i="7"/>
  <c r="N26" i="13"/>
  <c r="Q60" i="35"/>
  <c r="Q60" i="34"/>
  <c r="Q60" i="33"/>
  <c r="Q60" i="32"/>
  <c r="Q60" i="31"/>
  <c r="Q60" i="30"/>
  <c r="Q60" i="28"/>
  <c r="Q62" i="24"/>
  <c r="Q60" i="27"/>
  <c r="Q60" i="23"/>
  <c r="Q60" i="29"/>
  <c r="Q61" i="26"/>
  <c r="Q60" i="25"/>
  <c r="Q60" i="21"/>
  <c r="Q60" i="22"/>
  <c r="Q60" i="20"/>
  <c r="Q60" i="18"/>
  <c r="Q60" i="19"/>
  <c r="Q60" i="16"/>
  <c r="Q60" i="14"/>
  <c r="Q60" i="11"/>
  <c r="Q60" i="13"/>
  <c r="Q60" i="15"/>
  <c r="Q60" i="12"/>
  <c r="Q60" i="10"/>
  <c r="Q60" i="7"/>
  <c r="Q60" i="9"/>
  <c r="Q60" i="8"/>
  <c r="Q64" i="6"/>
  <c r="Q64" i="35"/>
  <c r="Q64" i="34"/>
  <c r="Q64" i="33"/>
  <c r="Q64" i="32"/>
  <c r="Q64" i="31"/>
  <c r="Q64" i="30"/>
  <c r="Q64" i="28"/>
  <c r="Q66" i="24"/>
  <c r="Q64" i="27"/>
  <c r="Q64" i="23"/>
  <c r="Q64" i="29"/>
  <c r="Q65" i="26"/>
  <c r="Q64" i="25"/>
  <c r="Q64" i="21"/>
  <c r="Q64" i="22"/>
  <c r="Q64" i="20"/>
  <c r="Q64" i="18"/>
  <c r="Q64" i="19"/>
  <c r="Q64" i="16"/>
  <c r="Q64" i="14"/>
  <c r="Q64" i="11"/>
  <c r="Q64" i="13"/>
  <c r="Q64" i="8"/>
  <c r="Q64" i="7"/>
  <c r="Q64" i="9"/>
  <c r="Q64" i="12"/>
  <c r="Q64" i="10"/>
  <c r="Q64" i="15"/>
  <c r="Q69" i="35"/>
  <c r="Q69" i="31"/>
  <c r="Q69" i="34"/>
  <c r="Q69" i="30"/>
  <c r="Q69" i="33"/>
  <c r="Q69" i="29"/>
  <c r="Q69" i="32"/>
  <c r="Q69" i="28"/>
  <c r="Q71" i="24"/>
  <c r="Q69" i="27"/>
  <c r="Q69" i="23"/>
  <c r="Q70" i="26"/>
  <c r="Q69" i="21"/>
  <c r="Q69" i="25"/>
  <c r="Q69" i="22"/>
  <c r="Q69" i="20"/>
  <c r="Q69" i="19"/>
  <c r="Q69" i="15"/>
  <c r="Q69" i="17"/>
  <c r="Q69" i="16"/>
  <c r="Q69" i="12"/>
  <c r="Q69" i="14"/>
  <c r="Q69" i="11"/>
  <c r="Q69" i="18"/>
  <c r="Q69" i="10"/>
  <c r="Q69" i="9"/>
  <c r="Q69" i="13"/>
  <c r="Q73" i="35"/>
  <c r="P19" i="37" s="1"/>
  <c r="Q73" i="31"/>
  <c r="Q73" i="34"/>
  <c r="Q73" i="30"/>
  <c r="Q73" i="29"/>
  <c r="Q73" i="33"/>
  <c r="Q73" i="28"/>
  <c r="Q75" i="24"/>
  <c r="Q73" i="27"/>
  <c r="Q73" i="23"/>
  <c r="Q73" i="32"/>
  <c r="Q73" i="21"/>
  <c r="Q74" i="26"/>
  <c r="Q73" i="22"/>
  <c r="Q73" i="20"/>
  <c r="Q73" i="25"/>
  <c r="Q73" i="18"/>
  <c r="Q73" i="15"/>
  <c r="Q73" i="19"/>
  <c r="Q73" i="17"/>
  <c r="Q73" i="12"/>
  <c r="Q73" i="16"/>
  <c r="Q73" i="14"/>
  <c r="Q73" i="11"/>
  <c r="Q73" i="13"/>
  <c r="Q73" i="9"/>
  <c r="Q73" i="8"/>
  <c r="Q73" i="10"/>
  <c r="Q73" i="7"/>
  <c r="Q88" i="35"/>
  <c r="Q88" i="34"/>
  <c r="Q88" i="33"/>
  <c r="Q88" i="32"/>
  <c r="Q88" i="31"/>
  <c r="Q88" i="30"/>
  <c r="Q88" i="29"/>
  <c r="Q89" i="26"/>
  <c r="Q88" i="25"/>
  <c r="Q88" i="28"/>
  <c r="Q90" i="24"/>
  <c r="Q88" i="23"/>
  <c r="Q88" i="19"/>
  <c r="Q88" i="18"/>
  <c r="Q88" i="27"/>
  <c r="Q88" i="21"/>
  <c r="Q88" i="22"/>
  <c r="Q88" i="16"/>
  <c r="Q88" i="13"/>
  <c r="Q88" i="12"/>
  <c r="Q88" i="11"/>
  <c r="Q88" i="15"/>
  <c r="Q88" i="8"/>
  <c r="Q88" i="17"/>
  <c r="Q88" i="14"/>
  <c r="Q88" i="10"/>
  <c r="Q88" i="7"/>
  <c r="Q88" i="20"/>
  <c r="Q88" i="9"/>
  <c r="D26" i="6"/>
  <c r="P87" i="6"/>
  <c r="P89" i="6"/>
  <c r="A52" i="6"/>
  <c r="S55" i="6" s="1"/>
  <c r="T55" i="6" s="1"/>
  <c r="A3" i="7"/>
  <c r="Q60" i="6"/>
  <c r="Q77" i="6"/>
  <c r="Q71" i="6"/>
  <c r="B26" i="35"/>
  <c r="E8" i="37" s="1"/>
  <c r="B26" i="34"/>
  <c r="B26" i="33"/>
  <c r="B26" i="31"/>
  <c r="B26" i="32"/>
  <c r="B26" i="28"/>
  <c r="B26" i="29"/>
  <c r="B26" i="27"/>
  <c r="B27" i="26"/>
  <c r="B26" i="25"/>
  <c r="B26" i="21"/>
  <c r="B26" i="30"/>
  <c r="B28" i="24"/>
  <c r="B26" i="22"/>
  <c r="B26" i="20"/>
  <c r="B26" i="23"/>
  <c r="B26" i="17"/>
  <c r="B26" i="15"/>
  <c r="B26" i="18"/>
  <c r="B26" i="14"/>
  <c r="B26" i="11"/>
  <c r="B26" i="13"/>
  <c r="B26" i="19"/>
  <c r="B26" i="8"/>
  <c r="B26" i="10"/>
  <c r="B26" i="9"/>
  <c r="B26" i="12"/>
  <c r="B26" i="16"/>
  <c r="J26" i="5"/>
  <c r="J26" i="31"/>
  <c r="J26" i="28"/>
  <c r="J26" i="27"/>
  <c r="J26" i="21"/>
  <c r="J26" i="19"/>
  <c r="J26" i="17"/>
  <c r="J26" i="15"/>
  <c r="J26" i="11"/>
  <c r="J26" i="13"/>
  <c r="J26" i="10"/>
  <c r="Q61" i="6"/>
  <c r="Q61" i="35"/>
  <c r="N7" i="37" s="1"/>
  <c r="Q61" i="31"/>
  <c r="Q61" i="34"/>
  <c r="Q61" i="32"/>
  <c r="Q61" i="30"/>
  <c r="Q61" i="29"/>
  <c r="Q61" i="28"/>
  <c r="Q63" i="24"/>
  <c r="Q61" i="27"/>
  <c r="Q61" i="23"/>
  <c r="Q61" i="25"/>
  <c r="Q61" i="21"/>
  <c r="Q61" i="33"/>
  <c r="Q61" i="22"/>
  <c r="Q61" i="20"/>
  <c r="Q61" i="19"/>
  <c r="Q62" i="26"/>
  <c r="Q61" i="15"/>
  <c r="Q61" i="16"/>
  <c r="Q61" i="12"/>
  <c r="Q61" i="18"/>
  <c r="Q61" i="14"/>
  <c r="Q61" i="11"/>
  <c r="Q61" i="10"/>
  <c r="Q61" i="9"/>
  <c r="Q61" i="8"/>
  <c r="Q61" i="13"/>
  <c r="Q61" i="7"/>
  <c r="Q66" i="35"/>
  <c r="Q66" i="33"/>
  <c r="Q66" i="32"/>
  <c r="Q66" i="34"/>
  <c r="Q66" i="31"/>
  <c r="Q66" i="30"/>
  <c r="Q66" i="29"/>
  <c r="Q67" i="26"/>
  <c r="Q66" i="25"/>
  <c r="Q66" i="28"/>
  <c r="Q68" i="24"/>
  <c r="Q66" i="27"/>
  <c r="Q66" i="23"/>
  <c r="Q66" i="19"/>
  <c r="Q66" i="18"/>
  <c r="Q66" i="21"/>
  <c r="Q66" i="20"/>
  <c r="Q66" i="22"/>
  <c r="Q66" i="15"/>
  <c r="Q66" i="13"/>
  <c r="Q66" i="10"/>
  <c r="Q66" i="12"/>
  <c r="Q66" i="17"/>
  <c r="Q66" i="16"/>
  <c r="Q66" i="14"/>
  <c r="Q66" i="7"/>
  <c r="Q66" i="9"/>
  <c r="Q66" i="8"/>
  <c r="Q66" i="11"/>
  <c r="Q70" i="35"/>
  <c r="P15" i="37" s="1"/>
  <c r="Q70" i="34"/>
  <c r="Q70" i="33"/>
  <c r="Q70" i="32"/>
  <c r="Q70" i="31"/>
  <c r="Q70" i="30"/>
  <c r="Q70" i="29"/>
  <c r="Q71" i="26"/>
  <c r="Q70" i="25"/>
  <c r="Q70" i="28"/>
  <c r="Q72" i="24"/>
  <c r="Q70" i="19"/>
  <c r="Q70" i="18"/>
  <c r="Q70" i="27"/>
  <c r="Q70" i="23"/>
  <c r="Q70" i="21"/>
  <c r="Q70" i="20"/>
  <c r="Q70" i="15"/>
  <c r="Q70" i="13"/>
  <c r="Q70" i="10"/>
  <c r="Q70" i="16"/>
  <c r="Q70" i="12"/>
  <c r="Q70" i="22"/>
  <c r="Q70" i="17"/>
  <c r="Q70" i="11"/>
  <c r="Q70" i="8"/>
  <c r="Q70" i="7"/>
  <c r="Q70" i="14"/>
  <c r="Q70" i="9"/>
  <c r="Q74" i="35"/>
  <c r="P21" i="37" s="1"/>
  <c r="Q74" i="33"/>
  <c r="Q74" i="32"/>
  <c r="Q74" i="31"/>
  <c r="Q74" i="34"/>
  <c r="Q74" i="30"/>
  <c r="Q74" i="29"/>
  <c r="Q75" i="26"/>
  <c r="Q74" i="25"/>
  <c r="Q74" i="28"/>
  <c r="Q76" i="24"/>
  <c r="Q74" i="23"/>
  <c r="Q74" i="19"/>
  <c r="Q74" i="18"/>
  <c r="Q74" i="27"/>
  <c r="Q74" i="21"/>
  <c r="Q74" i="22"/>
  <c r="Q74" i="15"/>
  <c r="Q74" i="17"/>
  <c r="Q74" i="13"/>
  <c r="Q74" i="10"/>
  <c r="Q74" i="12"/>
  <c r="Q74" i="20"/>
  <c r="Q74" i="16"/>
  <c r="Q74" i="8"/>
  <c r="Q74" i="11"/>
  <c r="Q74" i="9"/>
  <c r="Q74" i="7"/>
  <c r="Q74" i="14"/>
  <c r="M26" i="6"/>
  <c r="Q88" i="6"/>
  <c r="Q74" i="6"/>
  <c r="Q70" i="6"/>
  <c r="Q63" i="6"/>
  <c r="Q69" i="7"/>
  <c r="Q69" i="8"/>
  <c r="Q69" i="6"/>
  <c r="B26" i="7"/>
  <c r="B26" i="5"/>
  <c r="B26" i="6"/>
  <c r="K17" i="6"/>
  <c r="P56" i="6" s="1"/>
  <c r="L16" i="6"/>
  <c r="P87" i="5"/>
  <c r="Q78" i="5"/>
  <c r="Q76" i="5"/>
  <c r="L16" i="5"/>
  <c r="P59" i="5"/>
  <c r="K17" i="5"/>
  <c r="P56" i="5" s="1"/>
  <c r="K22" i="5"/>
  <c r="Q65" i="5"/>
  <c r="Q75" i="5"/>
  <c r="P82" i="5"/>
  <c r="P83" i="5"/>
  <c r="C23" i="32" l="1"/>
  <c r="F22" i="14"/>
  <c r="C26" i="15"/>
  <c r="Q55" i="15" s="1"/>
  <c r="R71" i="6"/>
  <c r="R72" i="6"/>
  <c r="R70" i="6"/>
  <c r="J26" i="12"/>
  <c r="J26" i="18"/>
  <c r="J26" i="25"/>
  <c r="J26" i="33"/>
  <c r="L22" i="5"/>
  <c r="C26" i="8"/>
  <c r="Q55" i="8" s="1"/>
  <c r="E26" i="5"/>
  <c r="F26" i="5" s="1"/>
  <c r="Q59" i="5" s="1"/>
  <c r="E26" i="15"/>
  <c r="Q58" i="15" s="1"/>
  <c r="E27" i="26"/>
  <c r="Q59" i="26" s="1"/>
  <c r="J26" i="8"/>
  <c r="J26" i="7"/>
  <c r="J28" i="24"/>
  <c r="J26" i="16"/>
  <c r="J26" i="22"/>
  <c r="J26" i="30"/>
  <c r="J26" i="32"/>
  <c r="J26" i="35"/>
  <c r="E9" i="37" s="1"/>
  <c r="E26" i="17"/>
  <c r="Q58" i="17" s="1"/>
  <c r="E26" i="20"/>
  <c r="Q58" i="20" s="1"/>
  <c r="L24" i="27"/>
  <c r="K24" i="28"/>
  <c r="E24" i="28"/>
  <c r="F24" i="28" s="1"/>
  <c r="L23" i="27"/>
  <c r="E26" i="18"/>
  <c r="Q58" i="18" s="1"/>
  <c r="J26" i="9"/>
  <c r="J26" i="14"/>
  <c r="J26" i="23"/>
  <c r="J26" i="20"/>
  <c r="J27" i="26"/>
  <c r="J26" i="29"/>
  <c r="J26" i="34"/>
  <c r="E26" i="13"/>
  <c r="Q58" i="13" s="1"/>
  <c r="E26" i="10"/>
  <c r="Q58" i="10" s="1"/>
  <c r="E26" i="12"/>
  <c r="Q58" i="12" s="1"/>
  <c r="E28" i="24"/>
  <c r="Q60" i="24" s="1"/>
  <c r="P85" i="6"/>
  <c r="Q75" i="35"/>
  <c r="E7" i="37" s="1"/>
  <c r="R8" i="37" s="1"/>
  <c r="N8" i="37" s="1"/>
  <c r="C22" i="6"/>
  <c r="C26" i="10"/>
  <c r="Q55" i="10" s="1"/>
  <c r="C26" i="14"/>
  <c r="Q55" i="14" s="1"/>
  <c r="C26" i="9"/>
  <c r="Q55" i="9" s="1"/>
  <c r="F22" i="5"/>
  <c r="C26" i="7"/>
  <c r="Q55" i="7" s="1"/>
  <c r="C26" i="12"/>
  <c r="Q55" i="12" s="1"/>
  <c r="C26" i="13"/>
  <c r="Q55" i="13" s="1"/>
  <c r="O20" i="37"/>
  <c r="O18" i="37"/>
  <c r="O17" i="37"/>
  <c r="O19" i="37"/>
  <c r="O15" i="37"/>
  <c r="O16" i="37"/>
  <c r="O21" i="37"/>
  <c r="K26" i="14"/>
  <c r="Q87" i="14" s="1"/>
  <c r="K26" i="11"/>
  <c r="Q89" i="11" s="1"/>
  <c r="K22" i="6"/>
  <c r="Q76" i="35"/>
  <c r="Q76" i="34"/>
  <c r="Q76" i="33"/>
  <c r="Q76" i="32"/>
  <c r="Q76" i="29"/>
  <c r="Q76" i="28"/>
  <c r="Q78" i="24"/>
  <c r="Q76" i="31"/>
  <c r="Q76" i="27"/>
  <c r="Q76" i="23"/>
  <c r="Q77" i="26"/>
  <c r="Q76" i="25"/>
  <c r="Q76" i="21"/>
  <c r="Q76" i="22"/>
  <c r="Q76" i="20"/>
  <c r="Q76" i="30"/>
  <c r="Q76" i="17"/>
  <c r="Q76" i="18"/>
  <c r="Q76" i="16"/>
  <c r="Q76" i="19"/>
  <c r="Q76" i="15"/>
  <c r="Q76" i="14"/>
  <c r="Q76" i="11"/>
  <c r="Q76" i="13"/>
  <c r="Q76" i="12"/>
  <c r="Q76" i="10"/>
  <c r="Q76" i="9"/>
  <c r="Q78" i="35"/>
  <c r="P20" i="37" s="1"/>
  <c r="Q78" i="33"/>
  <c r="Q78" i="32"/>
  <c r="Q78" i="31"/>
  <c r="Q78" i="34"/>
  <c r="Q78" i="30"/>
  <c r="Q78" i="29"/>
  <c r="Q79" i="26"/>
  <c r="Q78" i="25"/>
  <c r="Q78" i="28"/>
  <c r="Q80" i="24"/>
  <c r="Q78" i="19"/>
  <c r="Q78" i="18"/>
  <c r="Q78" i="23"/>
  <c r="Q78" i="21"/>
  <c r="Q78" i="20"/>
  <c r="Q78" i="27"/>
  <c r="Q78" i="22"/>
  <c r="Q78" i="15"/>
  <c r="Q78" i="13"/>
  <c r="Q78" i="10"/>
  <c r="Q78" i="17"/>
  <c r="Q78" i="16"/>
  <c r="Q78" i="12"/>
  <c r="Q78" i="9"/>
  <c r="Q78" i="11"/>
  <c r="Q78" i="14"/>
  <c r="E26" i="8"/>
  <c r="E26" i="14"/>
  <c r="Q58" i="14" s="1"/>
  <c r="E26" i="19"/>
  <c r="E26" i="22"/>
  <c r="Q58" i="22" s="1"/>
  <c r="E26" i="27"/>
  <c r="Q58" i="27" s="1"/>
  <c r="Q75" i="34"/>
  <c r="Q75" i="33"/>
  <c r="Q75" i="32"/>
  <c r="Q75" i="31"/>
  <c r="Q75" i="30"/>
  <c r="Q75" i="27"/>
  <c r="Q76" i="26"/>
  <c r="Q75" i="25"/>
  <c r="Q77" i="24"/>
  <c r="Q75" i="22"/>
  <c r="Q75" i="20"/>
  <c r="Q75" i="29"/>
  <c r="Q75" i="28"/>
  <c r="Q75" i="23"/>
  <c r="Q75" i="19"/>
  <c r="Q75" i="18"/>
  <c r="Q75" i="17"/>
  <c r="Q75" i="16"/>
  <c r="Q75" i="21"/>
  <c r="Q75" i="15"/>
  <c r="Q75" i="14"/>
  <c r="Q75" i="11"/>
  <c r="Q75" i="13"/>
  <c r="Q75" i="10"/>
  <c r="Q75" i="12"/>
  <c r="Q75" i="9"/>
  <c r="A52" i="7"/>
  <c r="S55" i="7" s="1"/>
  <c r="T55" i="7" s="1"/>
  <c r="A3" i="8"/>
  <c r="E26" i="16"/>
  <c r="E26" i="9"/>
  <c r="Q58" i="9" s="1"/>
  <c r="E26" i="25"/>
  <c r="Q58" i="25" s="1"/>
  <c r="E26" i="21"/>
  <c r="Q58" i="21" s="1"/>
  <c r="Q65" i="6"/>
  <c r="Q65" i="35"/>
  <c r="P18" i="37" s="1"/>
  <c r="Q65" i="34"/>
  <c r="Q65" i="31"/>
  <c r="Q65" i="33"/>
  <c r="Q65" i="30"/>
  <c r="Q65" i="32"/>
  <c r="Q65" i="29"/>
  <c r="Q65" i="28"/>
  <c r="Q67" i="24"/>
  <c r="Q65" i="27"/>
  <c r="Q65" i="23"/>
  <c r="Q66" i="26"/>
  <c r="Q65" i="25"/>
  <c r="Q65" i="21"/>
  <c r="Q65" i="22"/>
  <c r="Q65" i="20"/>
  <c r="Q65" i="18"/>
  <c r="Q65" i="15"/>
  <c r="Q65" i="19"/>
  <c r="Q65" i="17"/>
  <c r="Q65" i="12"/>
  <c r="Q65" i="16"/>
  <c r="Q65" i="14"/>
  <c r="Q65" i="11"/>
  <c r="Q65" i="9"/>
  <c r="Q65" i="10"/>
  <c r="Q65" i="8"/>
  <c r="Q65" i="13"/>
  <c r="Q65" i="7"/>
  <c r="E26" i="7"/>
  <c r="E26" i="11"/>
  <c r="Q58" i="11" s="1"/>
  <c r="E26" i="23"/>
  <c r="Q58" i="23" s="1"/>
  <c r="Q78" i="7"/>
  <c r="Q78" i="8"/>
  <c r="Q78" i="6"/>
  <c r="Q76" i="8"/>
  <c r="Q76" i="7"/>
  <c r="Q76" i="6"/>
  <c r="Q83" i="5"/>
  <c r="Q75" i="8"/>
  <c r="Q83" i="8" s="1"/>
  <c r="Q75" i="7"/>
  <c r="Q75" i="6"/>
  <c r="L17" i="6"/>
  <c r="P57" i="6" s="1"/>
  <c r="L17" i="5"/>
  <c r="P57" i="5" s="1"/>
  <c r="P85" i="5"/>
  <c r="K26" i="5"/>
  <c r="P81" i="5"/>
  <c r="P80" i="5"/>
  <c r="Q79" i="5"/>
  <c r="E26" i="28" l="1"/>
  <c r="Q58" i="28" s="1"/>
  <c r="F23" i="28"/>
  <c r="C23" i="33"/>
  <c r="L22" i="16"/>
  <c r="F22" i="15"/>
  <c r="R70" i="7"/>
  <c r="R72" i="7"/>
  <c r="R71" i="7"/>
  <c r="Q58" i="5"/>
  <c r="C26" i="11"/>
  <c r="Q55" i="11" s="1"/>
  <c r="L24" i="28"/>
  <c r="K24" i="29"/>
  <c r="L23" i="28"/>
  <c r="E24" i="29"/>
  <c r="F24" i="29" s="1"/>
  <c r="Q83" i="12"/>
  <c r="F23" i="29"/>
  <c r="Q58" i="19"/>
  <c r="Q58" i="16"/>
  <c r="F26" i="8"/>
  <c r="Q59" i="8" s="1"/>
  <c r="Q58" i="8"/>
  <c r="F26" i="7"/>
  <c r="Q59" i="7" s="1"/>
  <c r="Q58" i="7"/>
  <c r="F26" i="10"/>
  <c r="Q59" i="10" s="1"/>
  <c r="L22" i="14"/>
  <c r="F26" i="15"/>
  <c r="Q59" i="15" s="1"/>
  <c r="Q83" i="15"/>
  <c r="L22" i="6"/>
  <c r="F26" i="13"/>
  <c r="Q59" i="13" s="1"/>
  <c r="Q89" i="14"/>
  <c r="Q83" i="10"/>
  <c r="Q83" i="13"/>
  <c r="Q87" i="11"/>
  <c r="Q83" i="9"/>
  <c r="Q83" i="7"/>
  <c r="F26" i="12"/>
  <c r="Q59" i="12" s="1"/>
  <c r="F26" i="9"/>
  <c r="Q59" i="9" s="1"/>
  <c r="C26" i="6"/>
  <c r="Q55" i="6" s="1"/>
  <c r="R16" i="37"/>
  <c r="R17" i="37"/>
  <c r="R21" i="37"/>
  <c r="R19" i="37"/>
  <c r="R20" i="37"/>
  <c r="R15" i="37"/>
  <c r="R18" i="37"/>
  <c r="K26" i="6"/>
  <c r="Q87" i="6" s="1"/>
  <c r="L22" i="11"/>
  <c r="N9" i="37"/>
  <c r="N10" i="37" s="1"/>
  <c r="N12" i="37" s="1"/>
  <c r="Q79" i="35"/>
  <c r="Q79" i="33"/>
  <c r="Q79" i="32"/>
  <c r="Q79" i="31"/>
  <c r="Q79" i="34"/>
  <c r="Q79" i="30"/>
  <c r="Q79" i="27"/>
  <c r="Q79" i="29"/>
  <c r="Q80" i="26"/>
  <c r="Q79" i="25"/>
  <c r="Q79" i="22"/>
  <c r="Q79" i="20"/>
  <c r="Q81" i="24"/>
  <c r="Q79" i="19"/>
  <c r="Q79" i="18"/>
  <c r="Q79" i="28"/>
  <c r="Q79" i="21"/>
  <c r="Q79" i="17"/>
  <c r="Q79" i="23"/>
  <c r="Q79" i="16"/>
  <c r="Q79" i="14"/>
  <c r="Q82" i="14" s="1"/>
  <c r="Q79" i="13"/>
  <c r="Q79" i="10"/>
  <c r="Q79" i="15"/>
  <c r="Q79" i="12"/>
  <c r="Q79" i="9"/>
  <c r="K26" i="7"/>
  <c r="L22" i="7"/>
  <c r="K27" i="11"/>
  <c r="Q56" i="11" s="1"/>
  <c r="K26" i="21"/>
  <c r="K26" i="19"/>
  <c r="K26" i="28"/>
  <c r="K26" i="27"/>
  <c r="F26" i="14"/>
  <c r="Q59" i="14" s="1"/>
  <c r="Q83" i="14"/>
  <c r="A52" i="8"/>
  <c r="S55" i="8" s="1"/>
  <c r="T55" i="8" s="1"/>
  <c r="A3" i="9"/>
  <c r="K26" i="15"/>
  <c r="L22" i="15"/>
  <c r="L22" i="12"/>
  <c r="K26" i="12"/>
  <c r="K27" i="14"/>
  <c r="Q56" i="14" s="1"/>
  <c r="L26" i="14"/>
  <c r="K26" i="16"/>
  <c r="L22" i="8"/>
  <c r="K26" i="8"/>
  <c r="L22" i="10"/>
  <c r="K26" i="10"/>
  <c r="K26" i="17"/>
  <c r="K26" i="23"/>
  <c r="K26" i="20"/>
  <c r="K26" i="25"/>
  <c r="Q87" i="5"/>
  <c r="Q89" i="5"/>
  <c r="L22" i="9"/>
  <c r="K26" i="9"/>
  <c r="L22" i="13"/>
  <c r="K26" i="13"/>
  <c r="K26" i="18"/>
  <c r="K28" i="24"/>
  <c r="K26" i="22"/>
  <c r="K27" i="26"/>
  <c r="Q79" i="7"/>
  <c r="Q79" i="8"/>
  <c r="Q79" i="6"/>
  <c r="L26" i="5"/>
  <c r="K27" i="5"/>
  <c r="Q56" i="5" s="1"/>
  <c r="Q81" i="5"/>
  <c r="Q80" i="5"/>
  <c r="Q82" i="5"/>
  <c r="C23" i="34" l="1"/>
  <c r="F22" i="16"/>
  <c r="C22" i="17"/>
  <c r="C26" i="16"/>
  <c r="Q82" i="16" s="1"/>
  <c r="F26" i="11"/>
  <c r="Q59" i="11" s="1"/>
  <c r="Q83" i="11"/>
  <c r="L26" i="11"/>
  <c r="Q82" i="11"/>
  <c r="R71" i="8"/>
  <c r="R72" i="8"/>
  <c r="R70" i="8"/>
  <c r="K26" i="29"/>
  <c r="K27" i="29" s="1"/>
  <c r="Q56" i="29" s="1"/>
  <c r="E24" i="30"/>
  <c r="F24" i="30" s="1"/>
  <c r="E23" i="30"/>
  <c r="F23" i="30" s="1"/>
  <c r="E26" i="29"/>
  <c r="K24" i="30"/>
  <c r="L24" i="29"/>
  <c r="K23" i="30"/>
  <c r="L23" i="29"/>
  <c r="F26" i="6"/>
  <c r="Q59" i="6" s="1"/>
  <c r="K27" i="6"/>
  <c r="Q56" i="6" s="1"/>
  <c r="L26" i="6"/>
  <c r="Q89" i="6"/>
  <c r="Q83" i="6"/>
  <c r="N13" i="37"/>
  <c r="K27" i="18"/>
  <c r="Q56" i="18" s="1"/>
  <c r="Q87" i="18"/>
  <c r="Q89" i="18"/>
  <c r="L27" i="5"/>
  <c r="Q57" i="5" s="1"/>
  <c r="Q85" i="5"/>
  <c r="L27" i="14"/>
  <c r="Q57" i="14" s="1"/>
  <c r="Q85" i="14"/>
  <c r="L26" i="15"/>
  <c r="K27" i="15"/>
  <c r="Q56" i="15" s="1"/>
  <c r="Q89" i="15"/>
  <c r="Q87" i="15"/>
  <c r="K27" i="7"/>
  <c r="Q56" i="7" s="1"/>
  <c r="L26" i="7"/>
  <c r="Q87" i="7"/>
  <c r="Q89" i="7"/>
  <c r="Q81" i="10"/>
  <c r="Q80" i="10"/>
  <c r="Q82" i="10"/>
  <c r="Q80" i="16"/>
  <c r="Q81" i="16"/>
  <c r="Q81" i="28"/>
  <c r="Q80" i="28"/>
  <c r="Q81" i="20"/>
  <c r="Q80" i="20"/>
  <c r="Q81" i="29"/>
  <c r="Q80" i="29"/>
  <c r="Q81" i="31"/>
  <c r="Q80" i="31"/>
  <c r="L26" i="9"/>
  <c r="K27" i="9"/>
  <c r="Q56" i="9" s="1"/>
  <c r="Q87" i="9"/>
  <c r="Q89" i="9"/>
  <c r="Q81" i="6"/>
  <c r="Q80" i="6"/>
  <c r="Q82" i="6"/>
  <c r="Q81" i="8"/>
  <c r="Q80" i="8"/>
  <c r="Q82" i="8"/>
  <c r="K28" i="26"/>
  <c r="Q57" i="26" s="1"/>
  <c r="Q90" i="26"/>
  <c r="Q88" i="26"/>
  <c r="Q89" i="24"/>
  <c r="K29" i="24"/>
  <c r="Q58" i="24" s="1"/>
  <c r="Q91" i="24"/>
  <c r="L26" i="13"/>
  <c r="K27" i="13"/>
  <c r="Q56" i="13" s="1"/>
  <c r="Q87" i="13"/>
  <c r="Q89" i="13"/>
  <c r="Q87" i="23"/>
  <c r="K27" i="23"/>
  <c r="Q56" i="23" s="1"/>
  <c r="Q89" i="23"/>
  <c r="K27" i="10"/>
  <c r="Q56" i="10" s="1"/>
  <c r="L26" i="10"/>
  <c r="Q89" i="10"/>
  <c r="Q87" i="10"/>
  <c r="L26" i="12"/>
  <c r="K27" i="12"/>
  <c r="Q56" i="12" s="1"/>
  <c r="Q89" i="12"/>
  <c r="Q87" i="12"/>
  <c r="Q89" i="19"/>
  <c r="K27" i="19"/>
  <c r="Q56" i="19" s="1"/>
  <c r="Q87" i="19"/>
  <c r="L27" i="11"/>
  <c r="Q57" i="11" s="1"/>
  <c r="Q85" i="11"/>
  <c r="Q80" i="9"/>
  <c r="Q81" i="9"/>
  <c r="Q82" i="9"/>
  <c r="Q81" i="13"/>
  <c r="Q80" i="13"/>
  <c r="Q82" i="13"/>
  <c r="Q81" i="23"/>
  <c r="Q80" i="23"/>
  <c r="Q81" i="18"/>
  <c r="Q80" i="18"/>
  <c r="Q81" i="22"/>
  <c r="Q80" i="22"/>
  <c r="Q81" i="27"/>
  <c r="Q80" i="27"/>
  <c r="Q80" i="32"/>
  <c r="Q81" i="32"/>
  <c r="K27" i="25"/>
  <c r="Q56" i="25" s="1"/>
  <c r="Q87" i="25"/>
  <c r="Q89" i="25"/>
  <c r="K27" i="16"/>
  <c r="Q56" i="16" s="1"/>
  <c r="Q89" i="16"/>
  <c r="Q87" i="16"/>
  <c r="A52" i="9"/>
  <c r="S55" i="9" s="1"/>
  <c r="T55" i="9" s="1"/>
  <c r="A3" i="10"/>
  <c r="K27" i="27"/>
  <c r="Q56" i="27" s="1"/>
  <c r="Q87" i="27"/>
  <c r="Q89" i="27"/>
  <c r="Q81" i="12"/>
  <c r="Q80" i="12"/>
  <c r="Q82" i="12"/>
  <c r="Q81" i="11"/>
  <c r="Q80" i="11"/>
  <c r="Q81" i="17"/>
  <c r="Q80" i="17"/>
  <c r="Q81" i="19"/>
  <c r="Q80" i="19"/>
  <c r="Q81" i="25"/>
  <c r="Q80" i="25"/>
  <c r="Q81" i="30"/>
  <c r="Q80" i="30"/>
  <c r="Q81" i="33"/>
  <c r="Q80" i="33"/>
  <c r="Q81" i="7"/>
  <c r="Q80" i="7"/>
  <c r="Q82" i="7"/>
  <c r="Q87" i="22"/>
  <c r="K27" i="22"/>
  <c r="Q56" i="22" s="1"/>
  <c r="Q89" i="22"/>
  <c r="K27" i="20"/>
  <c r="Q56" i="20" s="1"/>
  <c r="Q87" i="20"/>
  <c r="Q89" i="20"/>
  <c r="K27" i="17"/>
  <c r="Q56" i="17" s="1"/>
  <c r="Q87" i="17"/>
  <c r="Q89" i="17"/>
  <c r="K27" i="8"/>
  <c r="Q56" i="8" s="1"/>
  <c r="L26" i="8"/>
  <c r="Q89" i="8"/>
  <c r="Q87" i="8"/>
  <c r="Q87" i="28"/>
  <c r="K27" i="28"/>
  <c r="Q56" i="28" s="1"/>
  <c r="Q89" i="28"/>
  <c r="Q89" i="21"/>
  <c r="K27" i="21"/>
  <c r="Q56" i="21" s="1"/>
  <c r="Q87" i="21"/>
  <c r="Q81" i="15"/>
  <c r="Q80" i="15"/>
  <c r="Q82" i="15"/>
  <c r="Q81" i="14"/>
  <c r="Q80" i="14"/>
  <c r="Q81" i="21"/>
  <c r="Q80" i="21"/>
  <c r="Q83" i="24"/>
  <c r="Q82" i="24"/>
  <c r="Q82" i="26"/>
  <c r="Q81" i="26"/>
  <c r="Q80" i="34"/>
  <c r="Q81" i="34"/>
  <c r="Q81" i="35"/>
  <c r="Q80" i="35"/>
  <c r="C23" i="35" l="1"/>
  <c r="L26" i="16"/>
  <c r="F22" i="17"/>
  <c r="C22" i="18"/>
  <c r="C26" i="17"/>
  <c r="L22" i="17"/>
  <c r="Q55" i="16"/>
  <c r="Q83" i="16"/>
  <c r="F26" i="16"/>
  <c r="Q59" i="16" s="1"/>
  <c r="R72" i="9"/>
  <c r="R70" i="9"/>
  <c r="R71" i="9"/>
  <c r="Q87" i="29"/>
  <c r="Q89" i="29"/>
  <c r="K24" i="31"/>
  <c r="L24" i="30"/>
  <c r="E24" i="31"/>
  <c r="F24" i="31" s="1"/>
  <c r="Q58" i="29"/>
  <c r="K23" i="31"/>
  <c r="L23" i="30"/>
  <c r="K26" i="30"/>
  <c r="E23" i="31"/>
  <c r="F23" i="31" s="1"/>
  <c r="E26" i="30"/>
  <c r="Q85" i="6"/>
  <c r="L27" i="6"/>
  <c r="Q57" i="6" s="1"/>
  <c r="Q85" i="21"/>
  <c r="L27" i="8"/>
  <c r="Q57" i="8" s="1"/>
  <c r="Q85" i="8"/>
  <c r="Q85" i="28"/>
  <c r="Q85" i="22"/>
  <c r="Q85" i="27"/>
  <c r="L27" i="12"/>
  <c r="Q57" i="12" s="1"/>
  <c r="Q85" i="12"/>
  <c r="L27" i="13"/>
  <c r="Q57" i="13" s="1"/>
  <c r="Q85" i="13"/>
  <c r="Q86" i="26"/>
  <c r="L27" i="15"/>
  <c r="Q57" i="15" s="1"/>
  <c r="Q85" i="15"/>
  <c r="Q85" i="18"/>
  <c r="Q85" i="17"/>
  <c r="Q85" i="20"/>
  <c r="A3" i="11"/>
  <c r="A52" i="10"/>
  <c r="S55" i="10" s="1"/>
  <c r="T55" i="10" s="1"/>
  <c r="L27" i="16"/>
  <c r="Q57" i="16" s="1"/>
  <c r="Q85" i="16"/>
  <c r="Q85" i="25"/>
  <c r="L27" i="10"/>
  <c r="Q57" i="10" s="1"/>
  <c r="Q85" i="10"/>
  <c r="L27" i="7"/>
  <c r="Q57" i="7" s="1"/>
  <c r="Q85" i="7"/>
  <c r="L27" i="9"/>
  <c r="Q57" i="9" s="1"/>
  <c r="Q85" i="9"/>
  <c r="Q85" i="29"/>
  <c r="Q85" i="19"/>
  <c r="Q85" i="23"/>
  <c r="Q87" i="24"/>
  <c r="Q55" i="17" l="1"/>
  <c r="Q83" i="17"/>
  <c r="F26" i="17"/>
  <c r="Q59" i="17" s="1"/>
  <c r="L26" i="17"/>
  <c r="Q82" i="17"/>
  <c r="F22" i="18"/>
  <c r="C22" i="19"/>
  <c r="C26" i="18"/>
  <c r="L22" i="18"/>
  <c r="L27" i="17"/>
  <c r="Q57" i="17" s="1"/>
  <c r="R72" i="10"/>
  <c r="R71" i="10"/>
  <c r="R70" i="10"/>
  <c r="Q58" i="30"/>
  <c r="E24" i="32"/>
  <c r="F24" i="32" s="1"/>
  <c r="L23" i="31"/>
  <c r="K23" i="32"/>
  <c r="K26" i="31"/>
  <c r="E23" i="32"/>
  <c r="F23" i="32" s="1"/>
  <c r="E26" i="31"/>
  <c r="Q89" i="30"/>
  <c r="Q87" i="30"/>
  <c r="K27" i="30"/>
  <c r="K24" i="32"/>
  <c r="L24" i="31"/>
  <c r="A3" i="12"/>
  <c r="A52" i="11"/>
  <c r="S55" i="11" s="1"/>
  <c r="T55" i="11" s="1"/>
  <c r="Q55" i="18" l="1"/>
  <c r="F26" i="18"/>
  <c r="Q59" i="18" s="1"/>
  <c r="Q83" i="18"/>
  <c r="L26" i="18"/>
  <c r="Q82" i="18"/>
  <c r="L27" i="18"/>
  <c r="Q57" i="18" s="1"/>
  <c r="F22" i="19"/>
  <c r="C22" i="20"/>
  <c r="C26" i="19"/>
  <c r="L22" i="19"/>
  <c r="R70" i="11"/>
  <c r="R72" i="11"/>
  <c r="R71" i="11"/>
  <c r="K27" i="31"/>
  <c r="Q89" i="31"/>
  <c r="Q87" i="31"/>
  <c r="K24" i="33"/>
  <c r="L24" i="32"/>
  <c r="Q58" i="31"/>
  <c r="K23" i="33"/>
  <c r="L23" i="32"/>
  <c r="K26" i="32"/>
  <c r="Q56" i="30"/>
  <c r="Q85" i="30"/>
  <c r="E23" i="33"/>
  <c r="F23" i="33" s="1"/>
  <c r="E26" i="32"/>
  <c r="E24" i="33"/>
  <c r="F24" i="33" s="1"/>
  <c r="A52" i="12"/>
  <c r="S55" i="12" s="1"/>
  <c r="T55" i="12" s="1"/>
  <c r="A3" i="13"/>
  <c r="F22" i="20" l="1"/>
  <c r="C22" i="21"/>
  <c r="C26" i="20"/>
  <c r="L22" i="20"/>
  <c r="Q55" i="19"/>
  <c r="F26" i="19"/>
  <c r="Q59" i="19" s="1"/>
  <c r="Q83" i="19"/>
  <c r="Q82" i="19"/>
  <c r="L26" i="19"/>
  <c r="L27" i="19"/>
  <c r="Q57" i="19" s="1"/>
  <c r="R71" i="12"/>
  <c r="R70" i="12"/>
  <c r="R72" i="12"/>
  <c r="E23" i="34"/>
  <c r="F23" i="34" s="1"/>
  <c r="E26" i="33"/>
  <c r="Q87" i="32"/>
  <c r="K27" i="32"/>
  <c r="Q89" i="32"/>
  <c r="E24" i="34"/>
  <c r="F24" i="34" s="1"/>
  <c r="Q56" i="31"/>
  <c r="Q85" i="31"/>
  <c r="Q58" i="32"/>
  <c r="K23" i="34"/>
  <c r="L23" i="33"/>
  <c r="K26" i="33"/>
  <c r="K24" i="34"/>
  <c r="L24" i="33"/>
  <c r="A3" i="14"/>
  <c r="A52" i="13"/>
  <c r="S55" i="13" s="1"/>
  <c r="T55" i="13" s="1"/>
  <c r="Q55" i="20" l="1"/>
  <c r="F26" i="20"/>
  <c r="Q59" i="20" s="1"/>
  <c r="Q83" i="20"/>
  <c r="Q82" i="20"/>
  <c r="L26" i="20"/>
  <c r="L27" i="20"/>
  <c r="Q57" i="20" s="1"/>
  <c r="F22" i="21"/>
  <c r="C22" i="22"/>
  <c r="C26" i="21"/>
  <c r="L22" i="21"/>
  <c r="R72" i="13"/>
  <c r="R71" i="13"/>
  <c r="R70" i="13"/>
  <c r="L23" i="34"/>
  <c r="K23" i="35"/>
  <c r="K26" i="34"/>
  <c r="Q58" i="33"/>
  <c r="K24" i="35"/>
  <c r="L24" i="35" s="1"/>
  <c r="L24" i="34"/>
  <c r="Q89" i="33"/>
  <c r="Q87" i="33"/>
  <c r="K27" i="33"/>
  <c r="E24" i="35"/>
  <c r="F24" i="35" s="1"/>
  <c r="Q56" i="32"/>
  <c r="Q85" i="32"/>
  <c r="E23" i="35"/>
  <c r="F23" i="35" s="1"/>
  <c r="E26" i="34"/>
  <c r="A52" i="14"/>
  <c r="S55" i="14" s="1"/>
  <c r="T55" i="14" s="1"/>
  <c r="A3" i="15"/>
  <c r="F22" i="22" l="1"/>
  <c r="C22" i="23"/>
  <c r="C26" i="22"/>
  <c r="L22" i="22"/>
  <c r="Q55" i="21"/>
  <c r="F26" i="21"/>
  <c r="Q59" i="21" s="1"/>
  <c r="Q83" i="21"/>
  <c r="L26" i="21"/>
  <c r="Q82" i="21"/>
  <c r="L27" i="21"/>
  <c r="Q57" i="21" s="1"/>
  <c r="R71" i="14"/>
  <c r="R70" i="14"/>
  <c r="R72" i="14"/>
  <c r="Q58" i="34"/>
  <c r="K27" i="34"/>
  <c r="Q89" i="34"/>
  <c r="Q87" i="34"/>
  <c r="Q56" i="33"/>
  <c r="Q85" i="33"/>
  <c r="L23" i="35"/>
  <c r="K26" i="35"/>
  <c r="E26" i="35"/>
  <c r="A52" i="15"/>
  <c r="S55" i="15" s="1"/>
  <c r="T55" i="15" s="1"/>
  <c r="A3" i="16"/>
  <c r="Q55" i="22" l="1"/>
  <c r="F26" i="22"/>
  <c r="Q59" i="22" s="1"/>
  <c r="Q83" i="22"/>
  <c r="L26" i="22"/>
  <c r="Q82" i="22"/>
  <c r="L27" i="22"/>
  <c r="Q57" i="22" s="1"/>
  <c r="F22" i="23"/>
  <c r="C24" i="24"/>
  <c r="C26" i="23"/>
  <c r="L22" i="23"/>
  <c r="R70" i="15"/>
  <c r="R72" i="15"/>
  <c r="R71" i="15"/>
  <c r="Q58" i="35"/>
  <c r="F12" i="37"/>
  <c r="Q56" i="34"/>
  <c r="Q85" i="34"/>
  <c r="Q89" i="35"/>
  <c r="K27" i="35"/>
  <c r="Q87" i="35"/>
  <c r="A3" i="17"/>
  <c r="A52" i="16"/>
  <c r="S55" i="16" s="1"/>
  <c r="T55" i="16" s="1"/>
  <c r="F24" i="24" l="1"/>
  <c r="C22" i="25"/>
  <c r="C28" i="24"/>
  <c r="L24" i="24"/>
  <c r="Q55" i="23"/>
  <c r="Q83" i="23"/>
  <c r="F26" i="23"/>
  <c r="Q59" i="23" s="1"/>
  <c r="Q82" i="23"/>
  <c r="L26" i="23"/>
  <c r="L27" i="23"/>
  <c r="Q57" i="23" s="1"/>
  <c r="R71" i="16"/>
  <c r="R70" i="16"/>
  <c r="R72" i="16"/>
  <c r="F9" i="37"/>
  <c r="Q56" i="35"/>
  <c r="Q85" i="35"/>
  <c r="A3" i="18"/>
  <c r="A52" i="17"/>
  <c r="S55" i="17" s="1"/>
  <c r="T55" i="17" s="1"/>
  <c r="Q57" i="24" l="1"/>
  <c r="F28" i="24"/>
  <c r="Q61" i="24" s="1"/>
  <c r="Q85" i="24"/>
  <c r="Q84" i="24"/>
  <c r="L28" i="24"/>
  <c r="L29" i="24"/>
  <c r="Q59" i="24" s="1"/>
  <c r="F22" i="25"/>
  <c r="C23" i="26"/>
  <c r="C26" i="25"/>
  <c r="L22" i="25"/>
  <c r="R72" i="17"/>
  <c r="R70" i="17"/>
  <c r="R71" i="17"/>
  <c r="N24" i="37"/>
  <c r="N25" i="37"/>
  <c r="N23" i="37"/>
  <c r="N26" i="37"/>
  <c r="A3" i="19"/>
  <c r="A52" i="18"/>
  <c r="S55" i="18" s="1"/>
  <c r="T55" i="18" s="1"/>
  <c r="F23" i="26" l="1"/>
  <c r="C22" i="27"/>
  <c r="C27" i="26"/>
  <c r="L23" i="26"/>
  <c r="Q55" i="25"/>
  <c r="F26" i="25"/>
  <c r="Q59" i="25" s="1"/>
  <c r="Q83" i="25"/>
  <c r="Q82" i="25"/>
  <c r="L26" i="25"/>
  <c r="L27" i="25"/>
  <c r="Q57" i="25" s="1"/>
  <c r="R70" i="18"/>
  <c r="R72" i="18"/>
  <c r="R71" i="18"/>
  <c r="A3" i="20"/>
  <c r="A52" i="19"/>
  <c r="S55" i="19" s="1"/>
  <c r="T55" i="19" s="1"/>
  <c r="F22" i="27" l="1"/>
  <c r="C26" i="27"/>
  <c r="L22" i="27"/>
  <c r="Q56" i="26"/>
  <c r="Q84" i="26"/>
  <c r="F27" i="26"/>
  <c r="Q60" i="26" s="1"/>
  <c r="L27" i="26"/>
  <c r="Q83" i="26"/>
  <c r="L28" i="26"/>
  <c r="Q58" i="26" s="1"/>
  <c r="R70" i="19"/>
  <c r="R72" i="19"/>
  <c r="R71" i="19"/>
  <c r="A3" i="21"/>
  <c r="A52" i="20"/>
  <c r="S55" i="20" s="1"/>
  <c r="T55" i="20" s="1"/>
  <c r="Q55" i="27" l="1"/>
  <c r="F26" i="27"/>
  <c r="Q59" i="27" s="1"/>
  <c r="Q83" i="27"/>
  <c r="L26" i="27"/>
  <c r="Q82" i="27"/>
  <c r="L27" i="27"/>
  <c r="Q57" i="27" s="1"/>
  <c r="F22" i="28"/>
  <c r="C26" i="28"/>
  <c r="L22" i="28"/>
  <c r="R71" i="20"/>
  <c r="R72" i="20"/>
  <c r="R70" i="20"/>
  <c r="A3" i="22"/>
  <c r="A52" i="21"/>
  <c r="S55" i="21" s="1"/>
  <c r="T55" i="21" s="1"/>
  <c r="F22" i="29" l="1"/>
  <c r="C22" i="30"/>
  <c r="C26" i="29"/>
  <c r="L22" i="29"/>
  <c r="Q55" i="28"/>
  <c r="F26" i="28"/>
  <c r="Q59" i="28" s="1"/>
  <c r="Q83" i="28"/>
  <c r="L26" i="28"/>
  <c r="Q82" i="28"/>
  <c r="L27" i="28"/>
  <c r="Q57" i="28" s="1"/>
  <c r="R72" i="21"/>
  <c r="R71" i="21"/>
  <c r="R70" i="21"/>
  <c r="A3" i="23"/>
  <c r="A52" i="22"/>
  <c r="S55" i="22" s="1"/>
  <c r="T55" i="22" s="1"/>
  <c r="Q55" i="29" l="1"/>
  <c r="Q83" i="29"/>
  <c r="Q82" i="29"/>
  <c r="L26" i="29"/>
  <c r="F26" i="29"/>
  <c r="Q59" i="29" s="1"/>
  <c r="L27" i="29"/>
  <c r="Q57" i="29" s="1"/>
  <c r="F22" i="30"/>
  <c r="C22" i="31"/>
  <c r="C26" i="30"/>
  <c r="L22" i="30"/>
  <c r="R71" i="22"/>
  <c r="R72" i="22"/>
  <c r="R70" i="22"/>
  <c r="A3" i="24"/>
  <c r="A52" i="23"/>
  <c r="S55" i="23" s="1"/>
  <c r="T55" i="23" s="1"/>
  <c r="Q55" i="30" l="1"/>
  <c r="Q83" i="30"/>
  <c r="Q82" i="30"/>
  <c r="F26" i="30"/>
  <c r="Q59" i="30" s="1"/>
  <c r="L26" i="30"/>
  <c r="L27" i="30"/>
  <c r="Q57" i="30" s="1"/>
  <c r="F22" i="31"/>
  <c r="C22" i="32"/>
  <c r="C26" i="31"/>
  <c r="L22" i="31"/>
  <c r="R70" i="23"/>
  <c r="R71" i="23"/>
  <c r="R72" i="23"/>
  <c r="A3" i="25"/>
  <c r="A54" i="24"/>
  <c r="S57" i="24" s="1"/>
  <c r="T57" i="24" s="1"/>
  <c r="F22" i="32" l="1"/>
  <c r="C22" i="33"/>
  <c r="C26" i="32"/>
  <c r="L22" i="32"/>
  <c r="Q55" i="31"/>
  <c r="Q83" i="31"/>
  <c r="Q82" i="31"/>
  <c r="F26" i="31"/>
  <c r="Q59" i="31" s="1"/>
  <c r="L26" i="31"/>
  <c r="L27" i="31"/>
  <c r="Q57" i="31" s="1"/>
  <c r="R73" i="24"/>
  <c r="R72" i="24"/>
  <c r="R74" i="24"/>
  <c r="A52" i="25"/>
  <c r="S55" i="25" s="1"/>
  <c r="T55" i="25" s="1"/>
  <c r="A3" i="26"/>
  <c r="Q55" i="32" l="1"/>
  <c r="Q83" i="32"/>
  <c r="Q82" i="32"/>
  <c r="L26" i="32"/>
  <c r="F26" i="32"/>
  <c r="Q59" i="32" s="1"/>
  <c r="L27" i="32"/>
  <c r="Q57" i="32" s="1"/>
  <c r="F22" i="33"/>
  <c r="C22" i="34"/>
  <c r="C26" i="33"/>
  <c r="L22" i="33"/>
  <c r="R72" i="25"/>
  <c r="R70" i="25"/>
  <c r="R71" i="25"/>
  <c r="A3" i="27"/>
  <c r="A53" i="26"/>
  <c r="S56" i="26" s="1"/>
  <c r="T56" i="26" s="1"/>
  <c r="F22" i="34" l="1"/>
  <c r="C22" i="35"/>
  <c r="C26" i="34"/>
  <c r="L22" i="34"/>
  <c r="Q55" i="33"/>
  <c r="Q83" i="33"/>
  <c r="Q82" i="33"/>
  <c r="F26" i="33"/>
  <c r="Q59" i="33" s="1"/>
  <c r="L26" i="33"/>
  <c r="L27" i="33"/>
  <c r="Q57" i="33" s="1"/>
  <c r="R71" i="26"/>
  <c r="R73" i="26"/>
  <c r="R72" i="26"/>
  <c r="A3" i="28"/>
  <c r="A52" i="27"/>
  <c r="S55" i="27" s="1"/>
  <c r="T55" i="27" s="1"/>
  <c r="Q55" i="34" l="1"/>
  <c r="Q83" i="34"/>
  <c r="Q82" i="34"/>
  <c r="F26" i="34"/>
  <c r="Q59" i="34" s="1"/>
  <c r="L26" i="34"/>
  <c r="L27" i="34"/>
  <c r="Q57" i="34" s="1"/>
  <c r="F22" i="35"/>
  <c r="C26" i="35"/>
  <c r="L22" i="35"/>
  <c r="R70" i="27"/>
  <c r="R72" i="27"/>
  <c r="R71" i="27"/>
  <c r="A3" i="29"/>
  <c r="A52" i="28"/>
  <c r="S55" i="28" s="1"/>
  <c r="T55" i="28" s="1"/>
  <c r="Q55" i="35" l="1"/>
  <c r="Q83" i="35"/>
  <c r="F8" i="37"/>
  <c r="Q82" i="35"/>
  <c r="L26" i="35"/>
  <c r="F26" i="35"/>
  <c r="Q59" i="35" s="1"/>
  <c r="L27" i="35"/>
  <c r="Q57" i="35" s="1"/>
  <c r="R71" i="28"/>
  <c r="R72" i="28"/>
  <c r="R70" i="28"/>
  <c r="A3" i="30"/>
  <c r="A52" i="29"/>
  <c r="S55" i="29" s="1"/>
  <c r="T55" i="29" s="1"/>
  <c r="H13" i="37" l="1"/>
  <c r="N11" i="37"/>
  <c r="P23" i="37"/>
  <c r="P24" i="37"/>
  <c r="H12" i="37"/>
  <c r="F11" i="37"/>
  <c r="R72" i="29"/>
  <c r="R71" i="29"/>
  <c r="R70" i="29"/>
  <c r="A3" i="31"/>
  <c r="A52" i="30"/>
  <c r="S55" i="30" s="1"/>
  <c r="T55" i="30" s="1"/>
  <c r="R71" i="30" l="1"/>
  <c r="R72" i="30"/>
  <c r="R70" i="30"/>
  <c r="A3" i="32"/>
  <c r="A52" i="31"/>
  <c r="S55" i="31" s="1"/>
  <c r="T55" i="31" s="1"/>
  <c r="R70" i="31" l="1"/>
  <c r="R71" i="31"/>
  <c r="R72" i="31"/>
  <c r="A52" i="32"/>
  <c r="S55" i="32" s="1"/>
  <c r="T55" i="32" s="1"/>
  <c r="A3" i="33"/>
  <c r="R71" i="32" l="1"/>
  <c r="R70" i="32"/>
  <c r="R72" i="32"/>
  <c r="A3" i="34"/>
  <c r="A52" i="33"/>
  <c r="S55" i="33" s="1"/>
  <c r="T55" i="33" s="1"/>
  <c r="R72" i="33" l="1"/>
  <c r="R71" i="33"/>
  <c r="R70" i="33"/>
  <c r="A3" i="35"/>
  <c r="A52" i="35" s="1"/>
  <c r="S55" i="35" s="1"/>
  <c r="T55" i="35" s="1"/>
  <c r="A52" i="34"/>
  <c r="S55" i="34" s="1"/>
  <c r="T55" i="34" s="1"/>
  <c r="R71" i="34" l="1"/>
  <c r="R72" i="34"/>
  <c r="R70" i="34"/>
  <c r="R70" i="35"/>
  <c r="R71" i="35"/>
  <c r="R72" i="35"/>
</calcChain>
</file>

<file path=xl/sharedStrings.xml><?xml version="1.0" encoding="utf-8"?>
<sst xmlns="http://schemas.openxmlformats.org/spreadsheetml/2006/main" count="7048" uniqueCount="478">
  <si>
    <t>TMS 4</t>
  </si>
  <si>
    <t>WR</t>
  </si>
  <si>
    <t>Page</t>
  </si>
  <si>
    <t>1/2</t>
  </si>
  <si>
    <t>DAILY PRODUCTION REPORT</t>
  </si>
  <si>
    <t>BILLET</t>
  </si>
  <si>
    <t>PRODUCT</t>
  </si>
  <si>
    <t>Rolled</t>
  </si>
  <si>
    <t>Cobble</t>
  </si>
  <si>
    <t>A1</t>
  </si>
  <si>
    <t>WIP</t>
  </si>
  <si>
    <t>ID</t>
  </si>
  <si>
    <t>Pc</t>
  </si>
  <si>
    <t>Kg</t>
  </si>
  <si>
    <t>%</t>
  </si>
  <si>
    <t>Type</t>
  </si>
  <si>
    <t>Section</t>
  </si>
  <si>
    <t>Grade</t>
  </si>
  <si>
    <t>Coil</t>
  </si>
  <si>
    <t>Yield</t>
  </si>
  <si>
    <t>Total Production A1 + WIP</t>
  </si>
  <si>
    <t>MONTH-TO-DATE</t>
  </si>
  <si>
    <t xml:space="preserve">A1 </t>
  </si>
  <si>
    <t>2/2</t>
  </si>
  <si>
    <t>PRODUCTIVITY &amp; OPERATION REPORT</t>
  </si>
  <si>
    <t>Time</t>
  </si>
  <si>
    <t>Billet Rolled</t>
  </si>
  <si>
    <t>Details of Breakdown</t>
  </si>
  <si>
    <t>min</t>
  </si>
  <si>
    <t>Parameter</t>
  </si>
  <si>
    <t>Unit</t>
  </si>
  <si>
    <t>D</t>
  </si>
  <si>
    <t>M-to-D</t>
  </si>
  <si>
    <t>Range</t>
  </si>
  <si>
    <t>(pcs)</t>
  </si>
  <si>
    <t>07 - 08</t>
  </si>
  <si>
    <t>1. Working Time Available</t>
  </si>
  <si>
    <t>08 - 09</t>
  </si>
  <si>
    <t>2. Planned Stoppage (a+b+c)</t>
  </si>
  <si>
    <t>09 - 10</t>
  </si>
  <si>
    <t xml:space="preserve">   a. Shut Down</t>
  </si>
  <si>
    <t>10 - 11</t>
  </si>
  <si>
    <t xml:space="preserve">   b. Peak Hour</t>
  </si>
  <si>
    <t>11 - 12</t>
  </si>
  <si>
    <t xml:space="preserve">   c. Others</t>
  </si>
  <si>
    <t>12 - 13</t>
  </si>
  <si>
    <t>3. Delay Maintenance (a+b+c)</t>
  </si>
  <si>
    <t>13 - 14</t>
  </si>
  <si>
    <t xml:space="preserve">   a. Daily Maintenance</t>
  </si>
  <si>
    <t>14 - 15</t>
  </si>
  <si>
    <t xml:space="preserve">   b. Section / Pass / Grade Change</t>
  </si>
  <si>
    <t>15 - 16</t>
  </si>
  <si>
    <t xml:space="preserve">   c. Section Setting</t>
  </si>
  <si>
    <t>16 - 17</t>
  </si>
  <si>
    <t>4. Break Down</t>
  </si>
  <si>
    <t>17 - 18</t>
  </si>
  <si>
    <t xml:space="preserve">   a. Operation</t>
  </si>
  <si>
    <t>18 - 19</t>
  </si>
  <si>
    <t xml:space="preserve">   b. Mechanical</t>
  </si>
  <si>
    <t>19 - 20</t>
  </si>
  <si>
    <t xml:space="preserve">   c. Electrical</t>
  </si>
  <si>
    <t>20 - 21</t>
  </si>
  <si>
    <t xml:space="preserve">   d. Material / Billet Defect</t>
  </si>
  <si>
    <t>21 - 22</t>
  </si>
  <si>
    <t xml:space="preserve">   e. Un-Controllable</t>
  </si>
  <si>
    <t>22 - 23</t>
  </si>
  <si>
    <t>5. Production Time Available (1-2)</t>
  </si>
  <si>
    <t>23 - 24</t>
  </si>
  <si>
    <t>6. Registered Delay (3+4)</t>
  </si>
  <si>
    <t>24 - 01</t>
  </si>
  <si>
    <t xml:space="preserve">7. Delay Counter </t>
  </si>
  <si>
    <t>01 - 02</t>
  </si>
  <si>
    <t>8. Slow Rolling (7-6)</t>
  </si>
  <si>
    <t>02 - 03</t>
  </si>
  <si>
    <t>9. Effective Production Time (5-6-8)</t>
  </si>
  <si>
    <t>03 - 04</t>
  </si>
  <si>
    <t>10. a. Nett Utilization (9/5)</t>
  </si>
  <si>
    <t>04 - 05</t>
  </si>
  <si>
    <t xml:space="preserve">      b. Gross Utilization (9/1)</t>
  </si>
  <si>
    <t>05 - 06</t>
  </si>
  <si>
    <t>11. a. Nett Rolling Rate (Billet / (9))</t>
  </si>
  <si>
    <t>MT/hour</t>
  </si>
  <si>
    <t>06 - 07</t>
  </si>
  <si>
    <t xml:space="preserve">      b. Gross Rolling Rate (Billet / (5))</t>
  </si>
  <si>
    <t>12. Gas Consumption</t>
  </si>
  <si>
    <t>Nmc</t>
  </si>
  <si>
    <t>Nmc/ T</t>
  </si>
  <si>
    <t>NOTES</t>
  </si>
  <si>
    <t>13. Electricity Consumption</t>
  </si>
  <si>
    <t>MWH</t>
  </si>
  <si>
    <t>KWH / T</t>
  </si>
  <si>
    <t>14. Water Consumption</t>
  </si>
  <si>
    <t xml:space="preserve">M3 </t>
  </si>
  <si>
    <t>M3 / Ton</t>
  </si>
  <si>
    <t>SM</t>
  </si>
  <si>
    <t>GM</t>
  </si>
  <si>
    <t>LAPORAN PRODUKSI WIRE ROD TMS-4</t>
  </si>
  <si>
    <t>NO</t>
  </si>
  <si>
    <t>DESCRIPTION</t>
  </si>
  <si>
    <t>PRODUCTION DAY</t>
  </si>
  <si>
    <t>BILLET CONSUMPTION</t>
  </si>
  <si>
    <t>NET PRODUCTION ( Actual )</t>
  </si>
  <si>
    <t>NET PRODUCTION ( Table )</t>
  </si>
  <si>
    <t>YIELD ( Net )</t>
  </si>
  <si>
    <t>COBBLE</t>
  </si>
  <si>
    <t>REJECT/DOWN GRADE</t>
  </si>
  <si>
    <t>SECTION ROLLED ( Net Production )</t>
  </si>
  <si>
    <t>No.</t>
  </si>
  <si>
    <t>Ton</t>
  </si>
  <si>
    <t>QTY</t>
  </si>
  <si>
    <t>TONAGE</t>
  </si>
  <si>
    <t>TARGET</t>
  </si>
  <si>
    <t>TIME REMARK ( Record )</t>
  </si>
  <si>
    <t>PL SHUT DOWN / HOLDAY / NOT WORKING DAY</t>
  </si>
  <si>
    <t>AVAILABLE WORKING DAY</t>
  </si>
  <si>
    <t>TOTAL DOWN TIME</t>
  </si>
  <si>
    <t>ACTUAL ROLLING TIME</t>
  </si>
  <si>
    <t>ROLLING RATE</t>
  </si>
  <si>
    <t>UTILIZATION ( Gross )</t>
  </si>
  <si>
    <t>UTILIZATION ( Net )</t>
  </si>
  <si>
    <t>DOWNTIME DETAIL</t>
  </si>
  <si>
    <t>DOWN TIME</t>
  </si>
  <si>
    <t>OPERATION</t>
  </si>
  <si>
    <t>MECHANICAL</t>
  </si>
  <si>
    <t>ELECTRICAL</t>
  </si>
  <si>
    <t>MAINT, SECTION, PASS/GRADE CHANGE</t>
  </si>
  <si>
    <t>MATERIAL PROBLEM</t>
  </si>
  <si>
    <t>SLOW ROLLING</t>
  </si>
  <si>
    <t>UNCONTROLLABLE</t>
  </si>
  <si>
    <t>Hrs</t>
  </si>
  <si>
    <t>ENERGY CONSUMPTION</t>
  </si>
  <si>
    <t>GAS CONSUMTION</t>
  </si>
  <si>
    <t>ELECTRIC CONSUMPTION</t>
  </si>
  <si>
    <t>WATER CONSUMPTION</t>
  </si>
  <si>
    <t>WIRE ROD</t>
  </si>
  <si>
    <t>MMBTU/T</t>
  </si>
  <si>
    <t>Kwh/T</t>
  </si>
  <si>
    <t>L/T</t>
  </si>
  <si>
    <t>REWORK RESULT</t>
  </si>
  <si>
    <t>JUMLAH WIP</t>
  </si>
  <si>
    <t>HOLDED</t>
  </si>
  <si>
    <t>REJECT</t>
  </si>
  <si>
    <r>
      <t>NM</t>
    </r>
    <r>
      <rPr>
        <i/>
        <vertAlign val="superscript"/>
        <sz val="10"/>
        <color theme="1"/>
        <rFont val="Arial Narrow"/>
        <family val="2"/>
      </rPr>
      <t>3</t>
    </r>
    <r>
      <rPr>
        <i/>
        <sz val="10"/>
        <color theme="1"/>
        <rFont val="Arial Narrow"/>
        <family val="2"/>
      </rPr>
      <t>/T</t>
    </r>
  </si>
  <si>
    <t>Row Labels</t>
  </si>
  <si>
    <t>Sum of Coil</t>
  </si>
  <si>
    <t>Sum of Kg</t>
  </si>
  <si>
    <t>TOTAL :</t>
  </si>
  <si>
    <t>HRS</t>
  </si>
  <si>
    <t>TON/HRS</t>
  </si>
  <si>
    <t>/</t>
  </si>
  <si>
    <t>4.1 Detail Cobble</t>
  </si>
  <si>
    <t>Pcs</t>
  </si>
  <si>
    <t>-</t>
  </si>
  <si>
    <t xml:space="preserve"> </t>
  </si>
  <si>
    <t xml:space="preserve">  No. Dok     :  TMS/QHSE/QCT/FR/03-08</t>
  </si>
  <si>
    <t xml:space="preserve">  No. Revisi  :  0</t>
  </si>
  <si>
    <t>PENYERAHAN COIL REWORK</t>
  </si>
  <si>
    <t xml:space="preserve">  Tanggal     :  05 - 04 - 2019          </t>
  </si>
  <si>
    <t xml:space="preserve">  Halaman   :  1 - 1</t>
  </si>
  <si>
    <r>
      <t xml:space="preserve">PLANT                       : TMS </t>
    </r>
    <r>
      <rPr>
        <sz val="11"/>
        <rFont val="Century Schoolbook"/>
        <family val="1"/>
      </rPr>
      <t>4</t>
    </r>
  </si>
  <si>
    <t>Kepada</t>
  </si>
  <si>
    <t>: Bagian Dispacth</t>
  </si>
  <si>
    <t>Dari</t>
  </si>
  <si>
    <t>: Bagian Quality Control.</t>
  </si>
  <si>
    <t>Perihal</t>
  </si>
  <si>
    <t>: Penyerahan Coil Rework.</t>
  </si>
  <si>
    <t>Dengan hormat,</t>
  </si>
  <si>
    <t>Dengan ini kami serahkan beberapa coil holded yang telah dirework menjadi : A 1.</t>
  </si>
  <si>
    <t>SIZE</t>
  </si>
  <si>
    <t>GRADE</t>
  </si>
  <si>
    <t xml:space="preserve">JUMLAH </t>
  </si>
  <si>
    <t>TONASE</t>
  </si>
  <si>
    <t>STATUS</t>
  </si>
  <si>
    <t>TANGGAL</t>
  </si>
  <si>
    <t>KETERANGAN</t>
  </si>
  <si>
    <t>COIL</t>
  </si>
  <si>
    <t>HEAT</t>
  </si>
  <si>
    <t>REWORK</t>
  </si>
  <si>
    <t>Bj Bkr</t>
  </si>
  <si>
    <t>LAIN"</t>
  </si>
  <si>
    <t>TO / SC</t>
  </si>
  <si>
    <t>PRODUKSI</t>
  </si>
  <si>
    <t>Jumlah</t>
  </si>
  <si>
    <t>Penerima :</t>
  </si>
  <si>
    <t>Manager Dept  Dispacth</t>
  </si>
  <si>
    <t>Manager Dept  Quality Control</t>
  </si>
  <si>
    <r>
      <t xml:space="preserve">Dengan ini kami serahkan beberapa coil holded yang telah di </t>
    </r>
    <r>
      <rPr>
        <b/>
        <i/>
        <sz val="10"/>
        <rFont val="Century Schoolbook"/>
        <family val="1"/>
      </rPr>
      <t>Scraping / Riject</t>
    </r>
  </si>
  <si>
    <t>15. Adjustment</t>
  </si>
  <si>
    <t xml:space="preserve">   a. Gas</t>
  </si>
  <si>
    <t xml:space="preserve">   b. Electrical</t>
  </si>
  <si>
    <t xml:space="preserve">   c. Water</t>
  </si>
  <si>
    <t>A1+WIP</t>
  </si>
  <si>
    <t>Coble</t>
  </si>
  <si>
    <t>HARI</t>
  </si>
  <si>
    <t>STOP. PRD</t>
  </si>
  <si>
    <t>BIC</t>
  </si>
  <si>
    <t>MIC</t>
  </si>
  <si>
    <t>JML</t>
  </si>
  <si>
    <t>WRM Stop produksi</t>
  </si>
  <si>
    <t>Jakarta,  Februari 2026</t>
  </si>
  <si>
    <t>5GX-01</t>
  </si>
  <si>
    <t>P.6</t>
  </si>
  <si>
    <t>BjTPG280</t>
  </si>
  <si>
    <t>Bj KR 15</t>
  </si>
  <si>
    <t>Bj KR 8</t>
  </si>
  <si>
    <t>5GX-02</t>
  </si>
  <si>
    <t>Bj KR 10</t>
  </si>
  <si>
    <t>Check section(5) ; Statik guide entry box #14 bagian bawah patah(10)</t>
  </si>
  <si>
    <t>Check finger. Coil luka. Lepas pipa drumfinger</t>
  </si>
  <si>
    <t>Baut clamp entry box #2, #6 longgar</t>
  </si>
  <si>
    <t>Ekor coil tersangkut di flaper TFH</t>
  </si>
  <si>
    <t>Emergency roll conveyor. Coil goyang saat keluar TFH dan sulit masuk finger</t>
  </si>
  <si>
    <t>Coil kusut saat keluar TFH dan sulit masuk finger(10) ; Roll table exit BRF mati(19)</t>
  </si>
  <si>
    <t>Kepala material loop diantara #16 - WCB1. Vlooper tidak naik</t>
  </si>
  <si>
    <t>Emergency. Coil kusut saat keluar TFH</t>
  </si>
  <si>
    <t>Cylinder hydraulic pit plate Finger bocor</t>
  </si>
  <si>
    <t>Cylinder hydraulic pit plate Finger bocor(15) ; Ganti section. P.6 - 6.5(45)</t>
  </si>
  <si>
    <t>Ganti section. P.6 - 6.5(15) ; Material bagian tengah putus diantara #10 - #11(5) ; check section(5)</t>
  </si>
  <si>
    <t>Chain lock di B6. maximum tension alarm</t>
  </si>
  <si>
    <t>Grade change. 1008 - 1010(5) ; handle valve bypass dari stripper ke cooler patah(14) ; Check visual coil(5)</t>
  </si>
  <si>
    <t>P.6 - BjTPG280 ; 6.5 - BjKR15, 8, 10</t>
  </si>
  <si>
    <t>5LX-03</t>
  </si>
  <si>
    <t>Ganti section. 6.5 - 5.5</t>
  </si>
  <si>
    <t>Ganti section. 6.5 - 5.5(7) ; Check section(5) ; Kepala material bengkok. Blade SH1 tidak sesuai posisi(11)</t>
  </si>
  <si>
    <t>Grade change. 1006 - 22.A(1) ; check visual coil(10)</t>
  </si>
  <si>
    <t>Check FFB. Coil line. Roller entry box #18 macet. Oil mist tidak keluar</t>
  </si>
  <si>
    <t>Grade change. 22.A - Y.11</t>
  </si>
  <si>
    <t>Maint. Ganti pass #25, #26</t>
  </si>
  <si>
    <t>Ganti entry box #12 - #26(27) ; check section(5)</t>
  </si>
  <si>
    <t>Grade change. 1006 - 8.A(1) ; check visual coil(8)</t>
  </si>
  <si>
    <t>Grade change. 8.A - 67.A</t>
  </si>
  <si>
    <t>Check visual coil</t>
  </si>
  <si>
    <t>Ganti section. 5.5 - P.8</t>
  </si>
  <si>
    <t>Rolling terlambat. Saat maintenance as sepatu crane patah(12) ; check section(5)</t>
  </si>
  <si>
    <t>Chain hook conveyor mati. Maximum tension alarm</t>
  </si>
  <si>
    <t>6.5 - BjKR10 ; 5.5 - BjKR6, SWRCH22A, 8A, SWRY11, SWRH67A ; P.8 - BjTPG280</t>
  </si>
  <si>
    <t>5KX-06</t>
  </si>
  <si>
    <t>Bj KR 6</t>
  </si>
  <si>
    <t>4LX-03</t>
  </si>
  <si>
    <t>SWRCH22A</t>
  </si>
  <si>
    <t>5LX-01</t>
  </si>
  <si>
    <t>SWRY 11</t>
  </si>
  <si>
    <t>4KX-07</t>
  </si>
  <si>
    <t>SWRCH8A</t>
  </si>
  <si>
    <t>3HX-13</t>
  </si>
  <si>
    <t>Bj KT 67A</t>
  </si>
  <si>
    <t>P.8</t>
  </si>
  <si>
    <t>8.A</t>
  </si>
  <si>
    <t>22.A</t>
  </si>
  <si>
    <t>Y.11</t>
  </si>
  <si>
    <t>67.A</t>
  </si>
  <si>
    <t>Check visual. Sirip coil kurang bagus</t>
  </si>
  <si>
    <t>Ganti section. S.8 - S.10</t>
  </si>
  <si>
    <t>Ganti section. S.8 - S.10(30) ; Check section dan Ts(13)</t>
  </si>
  <si>
    <t>Ganti section. S.10 - 5.5</t>
  </si>
  <si>
    <t>Ganti section. S.10 - 5.5(48) ; Check section(5)</t>
  </si>
  <si>
    <t>P.8 - BjTPG280 ; S.8 - BjTSG420 ; S.10 -BjTSG420 ; 5.5 - BjKR6</t>
  </si>
  <si>
    <t>Ganti section. P.8 - S.8</t>
  </si>
  <si>
    <t>Ganti section. P.8 - S.8.  Check turning forming head by Danieli(51) ; Check section(6)</t>
  </si>
  <si>
    <t>S.8</t>
  </si>
  <si>
    <t>S.10</t>
  </si>
  <si>
    <t>5LL-001</t>
  </si>
  <si>
    <t>BjTSG420</t>
  </si>
  <si>
    <t>SWRY11</t>
  </si>
  <si>
    <t>Grade change. 1006 - 1008</t>
  </si>
  <si>
    <t>Maint. Ganti pass #25, #26 ; entry box #12 - #26(30) ; check section(5)</t>
  </si>
  <si>
    <t>Grade change. 1008 - Y11(1) ; Kepala material bengkok dan tidak masuk entry #16(13)</t>
  </si>
  <si>
    <t>Kepala material bengkok dan tidak masuk entry #16</t>
  </si>
  <si>
    <t>Check FFB. Ada alarm filter clogged FFB area lubrication pump #2</t>
  </si>
  <si>
    <t>Kepala material bengkok dan tidak masuk entry #16(26) ; Maint. Ganti pass #23, #24 ; TC ring #25, #26(28)</t>
  </si>
  <si>
    <t>Ganti roll #15 ; entry box #12 - #26(17) ; check section(5)</t>
  </si>
  <si>
    <t>Chain hook conveyor mati. Close time out di B6</t>
  </si>
  <si>
    <t>5.5 - BjKR6, 8, SWRY11</t>
  </si>
  <si>
    <t>SAE 1006</t>
  </si>
  <si>
    <t>4LX-04</t>
  </si>
  <si>
    <t>5KX-01</t>
  </si>
  <si>
    <t>Bj KT 67B</t>
  </si>
  <si>
    <t>P.10</t>
  </si>
  <si>
    <t>67.B</t>
  </si>
  <si>
    <t>Chain hook conveyor mati. Close time out di B5</t>
  </si>
  <si>
    <t>Maint. Ganti pass/TC ring #19 - #26 ; roll #13, #14, #16 ; entry box #8, #12 - #26(50) ; check section(5)</t>
  </si>
  <si>
    <t>Coil overfin. Roller entry box #22 terganjal shaving</t>
  </si>
  <si>
    <t>Grade change. Y.11 - 22.A(2) ; check visual coil(7)</t>
  </si>
  <si>
    <t>Pump #1 fiter clogged(5) ; Maint. Ganti TC ring #25, #26 ; entry box #12 - #26(15)</t>
  </si>
  <si>
    <t>Maint. Ganti TC ring #25, #26 ; entry box #12 - #26(15) ; check section(6)</t>
  </si>
  <si>
    <t>Ganti entry box #16. roller bagian atas rusak</t>
  </si>
  <si>
    <t>Delivery #8 kendor</t>
  </si>
  <si>
    <t>Kepala material bengkok dan tidak masuk entry #16(6) ; Maint. Ganti pass/TC ring #22 - #26(8)</t>
  </si>
  <si>
    <t>Ganti roll #11 - #16 ; entry box #12 - #26(52) ; check section(3)</t>
  </si>
  <si>
    <t>Grade change. 1008 - CHQ 8.A(1) ; check visual coil(5) ; Ekor coil tersangkut di flaper TFH(4)</t>
  </si>
  <si>
    <t>Ekor coil tersangkut di flaper TFH. Flaper lepas tidak ada stoper</t>
  </si>
  <si>
    <t>Grade change. CHQ 8.A - 67.B(1) ; check visual coil(5)</t>
  </si>
  <si>
    <t>Maint. Ganti pass #21, #22</t>
  </si>
  <si>
    <t>Ganti TC ring #25, #26 ; entry box #12 - #26(32) ; Check section(2)</t>
  </si>
  <si>
    <t>Plate limit hook melipat dan menabrak pin arm saat masuk jalur parkir</t>
  </si>
  <si>
    <t>Grade change. 67.B - 67.A</t>
  </si>
  <si>
    <t>Grade change. 67.A - 8.A(1) ; Ganti section. 5.5 - P.8(14)</t>
  </si>
  <si>
    <t>Ganti section. 5.5 - P.8(3) ; check section(5)</t>
  </si>
  <si>
    <t>Ganti section. P.8 - P.10(50) ; check section(3)</t>
  </si>
  <si>
    <t>5.5 - SWRY11, SWRCH22A, BjKR6, SAE1006</t>
  </si>
  <si>
    <t>5.5 - BjKR6, 8, SWRCH8A, BjKT67B, 67A ; P.8 - BjTPG280 ; P.10 BjTPG280</t>
  </si>
  <si>
    <t>S.6</t>
  </si>
  <si>
    <t>Ganti section. P.10 - S.8</t>
  </si>
  <si>
    <t>Check section</t>
  </si>
  <si>
    <t>Material loop di #20. bearing entry box rusak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</si>
  <si>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</si>
  <si>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Ganti section. S8 - S6</t>
  </si>
  <si>
    <t>Ganti section. S8 - S6(20) ; Rolling terlambat(10) ; check section, Ts, Yp(12)</t>
  </si>
  <si>
    <t>Ganti section. S6 - 17.0</t>
  </si>
  <si>
    <t>Ganti section. S6 - 17.0(49) ; check section(8)</t>
  </si>
  <si>
    <t>Check section(6) ; Ekor coil tersangkur di fronthand(4)</t>
  </si>
  <si>
    <t>Ekor coil tersangkur di fronthand(3) ; Coil bagian tengah tidak masuk finger(14)</t>
  </si>
  <si>
    <t>Ekor coil tersangkur di fronthand(3) ; Compacting terlambat. Coil sulit di ikat(5)</t>
  </si>
  <si>
    <t>Compacting terlambat. Shape coil kurang bagus sehingga sulit di ikat</t>
  </si>
  <si>
    <t>Ganti section. 17.0 - 8.5</t>
  </si>
  <si>
    <t>5KL-001</t>
  </si>
  <si>
    <t>5JL-001</t>
  </si>
  <si>
    <t>P.10 - BjTPG280 ; S.8 - BjTSG420 ; S6 - BjTSG420 ; 17.0 - BjKR8</t>
  </si>
  <si>
    <t>SAE 1015</t>
  </si>
  <si>
    <t>5LX-02</t>
  </si>
  <si>
    <t>Ganti section. 17.0 - 8.5(19) ; Check section(5)</t>
  </si>
  <si>
    <t>Compacting terlambat. Karena pasang protektor coil</t>
  </si>
  <si>
    <t>Maint. Ganti TC ring #23, pass #24 ; entry box #12 - #24</t>
  </si>
  <si>
    <t>Ganti section. 8.5 - 6.5</t>
  </si>
  <si>
    <t>Ganti section. 8.5 - 6.5(15) ; Rolling terlambat(5) ; check section(6)</t>
  </si>
  <si>
    <t>Double hook di B8, close time out di B13(3) ; Grade change. 1008 - 1015(1) ; Check visual coil(5)</t>
  </si>
  <si>
    <t>Roll cooling conveyor section 2, roll no. 4 - 5 tersendat</t>
  </si>
  <si>
    <t>8.5 - SAE1015, BjKR15 ; 6.5 - BjKR8, SAE1015</t>
  </si>
  <si>
    <t>5HX-04</t>
  </si>
  <si>
    <t>5IX-01</t>
  </si>
  <si>
    <t>Kepala material tidak masuk delivery #26 karena terhalang shaving</t>
  </si>
  <si>
    <t>Ganti section. 6.5 - 18.0</t>
  </si>
  <si>
    <t>Ganti section. 6.5 - 18.0(24) ; check section(24) ; check visual. Coil luka(6)</t>
  </si>
  <si>
    <t>Check visual. Coil luka</t>
  </si>
  <si>
    <t>TM2 tidak bisa ikat. Tali lolos dari arrival clamp</t>
  </si>
  <si>
    <t>Ganti section. 18.0 - 7.5</t>
  </si>
  <si>
    <t>Ganti section. 18.0 - 7.5(33) ; Check section(5)</t>
  </si>
  <si>
    <t>Grade change. 1008 - 1015</t>
  </si>
  <si>
    <t>Maint. Ganti pass #24, TC ring #23 ; entry box #12 - #24(30) ; check section(3)</t>
  </si>
  <si>
    <t>Check FFB. Side coil miring(25) ; Emergency cooling conveyor. Roll sect #2 berhenti. Rantai lepas(4)</t>
  </si>
  <si>
    <t>4JL-101</t>
  </si>
  <si>
    <t>Bj KR 22</t>
  </si>
  <si>
    <t>5FL-103</t>
  </si>
  <si>
    <t>Roll sect #2 berhenti tiba - tiba. Rantai lepas(47) ; check section(5)</t>
  </si>
  <si>
    <t>Ganti section. 7.5 - 5.5</t>
  </si>
  <si>
    <t>Ganti section. 7.5 - 5.5(45) ; Kepala material loop dan putus diantara #18 - #19(13)</t>
  </si>
  <si>
    <t>Maint. Ganti TC ring #25, #26 ; roll #8, #11, #12, #14</t>
  </si>
  <si>
    <t>Ganti entry box #12 - #26(20) ; check section(5) ; Grade change. 1006 - 1022(2) ; Check visual coil(5)</t>
  </si>
  <si>
    <t>Ganti entry box #16. bearing bagian bawah rusak</t>
  </si>
  <si>
    <t>Maint. Ganti pass/TC ring #23 - #26 ; roll #15, #16</t>
  </si>
  <si>
    <t>Open time out di B8(5) ; check FFB. Coil luka. Roll entry box #26 aus(14)</t>
  </si>
  <si>
    <t>Grade change. 1022 - 22.A(1) ; check visual coil(8)</t>
  </si>
  <si>
    <t>Ganti entry box #12 - #26(3) ; Heli coil bagian mill side roll #16 lepas(28) ; check section dan visual(7)</t>
  </si>
  <si>
    <t>7.5 - SAE1015 ; 5.5 - BjKR6</t>
  </si>
  <si>
    <t>5.5 - BjKR6, 22, SWRCH22A</t>
  </si>
  <si>
    <t>3HX-27</t>
  </si>
  <si>
    <t>SAE 1045</t>
  </si>
  <si>
    <t>5.5 - SWRCH22A, SAE 1045, BjKR8</t>
  </si>
  <si>
    <t>5.5 - BjKR8, 6, SWRY11 ; 9.5 - SAE1015 ; 12.0 - BjKR8</t>
  </si>
  <si>
    <t>Maint. Ganti pass/TC ring #19 - #26 ; roll #13, #14 ; entry box #6, #10, #12 - #26(50) ; Check section(5)</t>
  </si>
  <si>
    <t>Check visual. Pesanan BKRT</t>
  </si>
  <si>
    <t>Material dipotong di SH1, 2, 3. FFB trip. Minimum oil flow alarm</t>
  </si>
  <si>
    <t>Check FFB. Coil oval</t>
  </si>
  <si>
    <t>Gap billet. Produksi 22A BKRT - 22A Umum</t>
  </si>
  <si>
    <t>Maint. Ganti pass #25, #26 ; roll #11, #16 ; entry box #12 - #26</t>
  </si>
  <si>
    <t>Ganti entry box #12 - #26(6) ; check section(5) ; Grade change. 22A - SAE 1045(6)</t>
  </si>
  <si>
    <t>Check visual</t>
  </si>
  <si>
    <t>Grade change. SAE 1045 - 1008(8) ; check visual(6)</t>
  </si>
  <si>
    <t>Grade change. 1008 - 1006</t>
  </si>
  <si>
    <t>Ganti section. 5.5 - 9.5</t>
  </si>
  <si>
    <t>Ganti section. 5.5 - 9.5(49) ; Check section(5)</t>
  </si>
  <si>
    <t>Maint. Ganti TC ring #21, #22 ; entry box #16 - #22</t>
  </si>
  <si>
    <t>Check FFB. Side coil miring</t>
  </si>
  <si>
    <t>Ganti section. 9.5 - 12.0</t>
  </si>
  <si>
    <t>Ganti section. 9.5 - 12.0(47) ; Check section(2)</t>
  </si>
  <si>
    <t>Emergency mill area. Material oferfin saat keluar #16. roller entry box macet</t>
  </si>
  <si>
    <t>Ganti section. 12.0 - 5.5</t>
  </si>
  <si>
    <t>Ganti section. 12.0 - 5.5(35) ; check section(4) ; Grade change. 1006 - Y.11(1)</t>
  </si>
  <si>
    <t>Adjust blower karena roll conveyor sect #1, #2 tersendat(2) ; Baut base plate #1 patah(18)</t>
  </si>
  <si>
    <t>Bearing entry box #14 bagian atas rusak</t>
  </si>
  <si>
    <t>Ekor coil tersangkut di flaper TFH dan tertimpa coil berikutnya</t>
  </si>
  <si>
    <t>Close time out di B2</t>
  </si>
  <si>
    <t>Double hook di B13</t>
  </si>
  <si>
    <t>Maint. Ganti pass #25, #26 ; roll #11, #14 ; entry box #12 - #26(45) ; check section(4)</t>
  </si>
  <si>
    <t>Ganti section. 5.5 - 9.0</t>
  </si>
  <si>
    <t>Ganti section. 5.5 - 9.0(44) ; check section(4)</t>
  </si>
  <si>
    <t>Chain lock di B8(2) ; Check FFB. Coil Fin(8)</t>
  </si>
  <si>
    <t>Check FFB. Coil Fin. Check visual coil</t>
  </si>
  <si>
    <t>5LX-06</t>
  </si>
  <si>
    <t>5.5 - SWRY11, BjKR6 ; 9.0 - BjKR8</t>
  </si>
  <si>
    <t>Grade change. 1008 - 1010. ganti WCB pendek, ganti pompa stripper, adjust cooler, blower</t>
  </si>
  <si>
    <t>Ganti section. 9.0 - 5.5</t>
  </si>
  <si>
    <t>Ganti section. 9.0 - 5.5(10) ; check section(3)</t>
  </si>
  <si>
    <t>Limit no.3 roll conveyor error</t>
  </si>
  <si>
    <t>Grade change. 1015 - 67.A(1) ; Check visual coil(6)</t>
  </si>
  <si>
    <t>Grade change. 67.A - 72.A(1) ; Check visual coil(6)</t>
  </si>
  <si>
    <t>Ring coil bagian tengah kecil sehingga sulit turun di finger</t>
  </si>
  <si>
    <t>Ganti section. 5.5 - 12.0</t>
  </si>
  <si>
    <t>Ganti section. 5.5 - 12.0(25) ; Check section(6)</t>
  </si>
  <si>
    <t>Double hook di B8, close time out di B3</t>
  </si>
  <si>
    <t>Ganti section. 12.0 - 9.5</t>
  </si>
  <si>
    <t>Ganti section. 12.0 - 9.5(20) ; Check section(3)</t>
  </si>
  <si>
    <t>Ganti section. 9.5 - 7.5</t>
  </si>
  <si>
    <t>Ganti section. 9.5 - 7.5(6) ; Kepala material keropos dan putus di entry coble box(22) ; check section(5)</t>
  </si>
  <si>
    <t>Bj KT67A</t>
  </si>
  <si>
    <t>1CX-04</t>
  </si>
  <si>
    <t>3HX-22</t>
  </si>
  <si>
    <t>Bj KT72A</t>
  </si>
  <si>
    <t>2AX-06</t>
  </si>
  <si>
    <t>72.A</t>
  </si>
  <si>
    <t>9.0 - BjKR8, 10 ; 5.5 - SAE1015, BjKT67A, 72A ; 12.0 - SAE1015 ; 9.5 - SAE1015 ; 7.5 - SAE1015</t>
  </si>
  <si>
    <t>Ganti section. 7.5 - 8.5</t>
  </si>
  <si>
    <t>Ganti entry box #16. bearing roll guide bagian atas rusak</t>
  </si>
  <si>
    <t>Close time out di B6</t>
  </si>
  <si>
    <t>Ganti section. 8.5 - 6.5(34) ; Check section(7)</t>
  </si>
  <si>
    <t>Check visual. Produksi Export</t>
  </si>
  <si>
    <t>Grade change. 1015 - 1008</t>
  </si>
  <si>
    <t>Ganti entry box #16. roll guide bagian atas macet</t>
  </si>
  <si>
    <t>7.5 - SAE1015 ; 8.5 - SAE1015, BjKR8 ; 6.5 - SAE1015, BjKR8</t>
  </si>
  <si>
    <t>Ganti section. 6.5 - 7.0</t>
  </si>
  <si>
    <t>Ganti section. 6.5 - 7.0(18) ; rolling terlambat(15) ; check section(5)</t>
  </si>
  <si>
    <t>Double hook di B8</t>
  </si>
  <si>
    <t>Grade change. 1006 - 1010. Ganti WCB pendek,  pompa stripper, adjust cooler, blower</t>
  </si>
  <si>
    <t>Ganti section. 7.0 - 5.5</t>
  </si>
  <si>
    <t>Ganti section. 7.0 - 5.5(5) ; check section(5)</t>
  </si>
  <si>
    <t>Grade change. 1006 - 22.A(1) ; check visual coil(7)</t>
  </si>
  <si>
    <t>Check FFB. Coil oval. Entry box #26 aus</t>
  </si>
  <si>
    <t>Grade change. 22.A - 67.B(1) ; check visual coil(7)</t>
  </si>
  <si>
    <t>6.5 - BjKR8 ; 7.0 - BjKR6, 8, 10 ; 5.5 - BjKR6, SWRCH22A, BjKT67B</t>
  </si>
  <si>
    <t>SWRM8</t>
  </si>
  <si>
    <t>4KX-06</t>
  </si>
  <si>
    <t>Bj KT67B</t>
  </si>
  <si>
    <t>Maint. Ganti TC ring #17 - #26 ; roll #6, #13 - #16</t>
  </si>
  <si>
    <t>Ganti entry box #10 - #26(13) ; Air di Finishing mill tidak keluar(6) ; check section(4)</t>
  </si>
  <si>
    <t>Check FFB. Side coil kasar. Ganti entry box #26</t>
  </si>
  <si>
    <t>Check FFB. Side coil kasar. Ganti entry box #22, #24, #26(15) ; Grade change. 67.B - 1006(1) ; check visual coil(6)</t>
  </si>
  <si>
    <t>Grade change. 1006 - 67.A</t>
  </si>
  <si>
    <t>Ekor coil tersangkut di drum finger dan tertimpa coil berikutnya(7) ; Close time out di B6(2)</t>
  </si>
  <si>
    <t>Grade change. 67.A - 72.A(1) ; check visual coil(5)</t>
  </si>
  <si>
    <t>Maint. Ganti TC ring #19, #20 ; roll #11 ; entry box #12 - #26(35) ; check section(4)</t>
  </si>
  <si>
    <t>Grade change. 1008 - 72.B(1) ; check visual coil(7)</t>
  </si>
  <si>
    <t>Check FFB. Coil Oval. Entry box #26 aus</t>
  </si>
  <si>
    <t>Grade change. 72.B - 67.A(1) ; check visual coil(4)</t>
  </si>
  <si>
    <t>3HX-21</t>
  </si>
  <si>
    <t>2BX-04</t>
  </si>
  <si>
    <t>5KX-02</t>
  </si>
  <si>
    <t>Bj KT72B</t>
  </si>
  <si>
    <t>72.B</t>
  </si>
  <si>
    <t>5.5 - BjKR6, 8, BjKT67A, 67B, 72A, 72B</t>
  </si>
  <si>
    <t>5LX-04</t>
  </si>
  <si>
    <t>S10</t>
  </si>
  <si>
    <t>P10</t>
  </si>
  <si>
    <t>5.5 - BjKT67A, SWRY11 ; S10 - BjTSG420 ; P10 - BjTPG280</t>
  </si>
  <si>
    <t>Maint. Ganti pass/TC ring #23 - #26 ; roll #8, #14 - #16 ; entry box #12 - #26</t>
  </si>
  <si>
    <t>FFB lubrication unit pump #1 filter clogged</t>
  </si>
  <si>
    <t>FFB lubrication unit pump #2 filter clogged</t>
  </si>
  <si>
    <t>Ekor material loop diantara #26 - entry coble box</t>
  </si>
  <si>
    <t>B8 close time out</t>
  </si>
  <si>
    <t>Ganti section. 5.5 - S.10</t>
  </si>
  <si>
    <t>Ganti section. 5.5 - S.10(53) ; Rolling terlambat(7)</t>
  </si>
  <si>
    <t>Check section dan Yp(13) ; Kepala material loop di coble box(32)</t>
  </si>
  <si>
    <t>Ganti section. S.10 - P.10</t>
  </si>
  <si>
    <t>Ganti section. S.10 - P.10(10) ; Check section(10)</t>
  </si>
  <si>
    <t>Close time out di B6, B13, B3</t>
  </si>
  <si>
    <t>Ganti section. P.10 - 10.0</t>
  </si>
  <si>
    <t>Ganti section. P.10 - 10.0(23) ; check section(5)</t>
  </si>
  <si>
    <t>Compacting terlambat karena pasang protektor coil</t>
  </si>
  <si>
    <t>Ganti section. 10.0 - S.8</t>
  </si>
  <si>
    <t>Ganti section. 10.0 - S.8(24) ; Lub pump #1 filter clogged(4) ; check section(5)</t>
  </si>
  <si>
    <t>Bearing entry box #16 rusak</t>
  </si>
  <si>
    <t>Check FFB. Coil line</t>
  </si>
  <si>
    <t>Check FFB. Coil line. Bearing #20 rusak(13) ; Motor fan PR4 trip(7) ; check visual. Coil line(14)</t>
  </si>
  <si>
    <t>Ganti section. S.8 - 8.0</t>
  </si>
  <si>
    <t>Ganti section. S.8 - 8.0(18) ;  Ganti PR4 dan entry TFH(10) ; Check section(5)</t>
  </si>
  <si>
    <t>Close time out di B5, open time out di B2</t>
  </si>
  <si>
    <t>S8</t>
  </si>
  <si>
    <t>P.10 - BjTPG280 ; 10.0 - BjKR8 ; S.8 - BjTSG420 ; 8.0 - BjKR8</t>
  </si>
  <si>
    <t>Ekor material loop diantara #26 - entry coble box(11) ; Coil sulit masuk dan menumpuk di drum finger(10)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</si>
</sst>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#,##0;[Red]#,##0"/>
    <numFmt numFmtId="166" formatCode="_(* #,##0.0_);_(* \(#,##0.0\);_(* &quot;-&quot;??_);_(@_)"/>
    <numFmt numFmtId="167" formatCode="_(* #,##0_);_(* \(#,##0\);_(* &quot;-&quot;??_);_(@_)"/>
    <numFmt numFmtId="168" formatCode="0.0"/>
    <numFmt numFmtId="169" formatCode="#,##0.0"/>
    <numFmt numFmtId="170" formatCode="0.0%"/>
    <numFmt numFmtId="171" formatCode="#,##0&quot; PCS&quot;"/>
    <numFmt numFmtId="172" formatCode="#,##0&quot; DAY&quot;"/>
    <numFmt numFmtId="173" formatCode="[$-10409]dd\-mmm\-yy;@"/>
    <numFmt numFmtId="174" formatCode="[$-409]mmmm\ d\,\ yyyy;@"/>
    <numFmt numFmtId="175" formatCode="#,##0&quot; TON&quot;"/>
    <numFmt numFmtId="176" formatCode="_(* #,##0.0000_);_(* \(#,##0.0000\);_(* &quot;-&quot;??_);_(@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sz val="10"/>
      <color indexed="22"/>
      <name val="Arial Narrow"/>
      <family val="2"/>
    </font>
    <font>
      <b/>
      <u/>
      <sz val="12"/>
      <color indexed="8"/>
      <name val="Arial Narrow"/>
      <family val="2"/>
    </font>
    <font>
      <sz val="12"/>
      <color theme="1"/>
      <name val="Arial Narrow"/>
      <family val="2"/>
    </font>
    <font>
      <b/>
      <i/>
      <sz val="10"/>
      <color indexed="8"/>
      <name val="Arial Narrow"/>
      <family val="2"/>
    </font>
    <font>
      <b/>
      <i/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i/>
      <sz val="10"/>
      <color indexed="8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11"/>
      <color theme="1"/>
      <name val="Arial Narrow"/>
      <family val="2"/>
    </font>
    <font>
      <sz val="5"/>
      <color theme="1"/>
      <name val="Arial Narrow"/>
      <family val="2"/>
    </font>
    <font>
      <sz val="6"/>
      <color theme="1"/>
      <name val="Arial Narrow"/>
      <family val="2"/>
    </font>
    <font>
      <sz val="20"/>
      <color theme="1"/>
      <name val="Arial Narrow"/>
      <family val="2"/>
    </font>
    <font>
      <sz val="16"/>
      <color theme="1"/>
      <name val="Arial Narrow"/>
      <family val="2"/>
    </font>
    <font>
      <i/>
      <vertAlign val="superscript"/>
      <sz val="10"/>
      <color theme="1"/>
      <name val="Arial Narrow"/>
      <family val="2"/>
    </font>
    <font>
      <sz val="11"/>
      <name val="Bookman Old Style"/>
      <family val="1"/>
    </font>
    <font>
      <sz val="11"/>
      <name val="Calibri"/>
      <family val="2"/>
    </font>
    <font>
      <b/>
      <sz val="10"/>
      <name val="Calibri"/>
      <family val="2"/>
    </font>
    <font>
      <b/>
      <sz val="12"/>
      <name val="Century Schoolbook"/>
      <family val="1"/>
    </font>
    <font>
      <b/>
      <sz val="10"/>
      <name val="Century Schoolbook"/>
      <family val="1"/>
    </font>
    <font>
      <sz val="11"/>
      <name val="Century Schoolbook"/>
      <family val="1"/>
    </font>
    <font>
      <sz val="14"/>
      <name val="Berlin Sans FB Demi"/>
      <family val="2"/>
    </font>
    <font>
      <sz val="14"/>
      <name val="Calibri"/>
      <family val="2"/>
    </font>
    <font>
      <sz val="10"/>
      <name val="Century Schoolbook"/>
      <family val="1"/>
    </font>
    <font>
      <sz val="10"/>
      <name val="Calibri"/>
      <family val="2"/>
    </font>
    <font>
      <sz val="8"/>
      <color theme="1"/>
      <name val="Calibri"/>
      <family val="2"/>
      <scheme val="minor"/>
    </font>
    <font>
      <sz val="8"/>
      <name val="Century Schoolbook"/>
      <family val="1"/>
    </font>
    <font>
      <b/>
      <sz val="8"/>
      <name val="Century Schoolbook"/>
      <family val="1"/>
    </font>
    <font>
      <b/>
      <sz val="8"/>
      <name val="Calibri"/>
      <family val="2"/>
    </font>
    <font>
      <sz val="9"/>
      <name val="Century Schoolbook"/>
      <family val="1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FF0000"/>
      <name val="Century Schoolbook"/>
      <family val="1"/>
    </font>
    <font>
      <sz val="11"/>
      <color theme="1"/>
      <name val="Calibri"/>
      <family val="2"/>
    </font>
    <font>
      <b/>
      <i/>
      <sz val="10"/>
      <name val="Century Schoolbook"/>
      <family val="1"/>
    </font>
    <font>
      <b/>
      <sz val="11"/>
      <color theme="1"/>
      <name val="Arial Narrow"/>
      <family val="2"/>
    </font>
    <font>
      <sz val="10"/>
      <color theme="1"/>
      <name val="Calibri"/>
      <family val="2"/>
      <scheme val="minor"/>
    </font>
    <font>
      <sz val="10"/>
      <color rgb="FFFF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FCCC"/>
        <bgColor indexed="64"/>
      </patternFill>
    </fill>
    <fill>
      <patternFill patternType="solid">
        <fgColor rgb="FFEA9F08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2" fillId="0" borderId="0"/>
  </cellStyleXfs>
  <cellXfs count="6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" fontId="5" fillId="2" borderId="1" xfId="0" quotePrefix="1" applyNumberFormat="1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166" fontId="5" fillId="2" borderId="5" xfId="1" applyNumberFormat="1" applyFont="1" applyFill="1" applyBorder="1" applyAlignment="1">
      <alignment horizontal="right" vertical="center"/>
    </xf>
    <xf numFmtId="167" fontId="5" fillId="2" borderId="5" xfId="1" applyNumberFormat="1" applyFont="1" applyFill="1" applyBorder="1" applyAlignment="1">
      <alignment horizontal="right" vertical="center"/>
    </xf>
    <xf numFmtId="168" fontId="5" fillId="2" borderId="5" xfId="0" applyNumberFormat="1" applyFont="1" applyFill="1" applyBorder="1" applyAlignment="1">
      <alignment vertical="center"/>
    </xf>
    <xf numFmtId="3" fontId="5" fillId="2" borderId="5" xfId="0" applyNumberFormat="1" applyFont="1" applyFill="1" applyBorder="1" applyAlignment="1">
      <alignment vertical="center"/>
    </xf>
    <xf numFmtId="10" fontId="5" fillId="4" borderId="6" xfId="2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68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right" vertical="center"/>
    </xf>
    <xf numFmtId="10" fontId="5" fillId="4" borderId="5" xfId="0" applyNumberFormat="1" applyFont="1" applyFill="1" applyBorder="1" applyAlignment="1">
      <alignment horizontal="center" vertical="center"/>
    </xf>
    <xf numFmtId="166" fontId="5" fillId="2" borderId="8" xfId="1" applyNumberFormat="1" applyFont="1" applyFill="1" applyBorder="1" applyAlignment="1">
      <alignment horizontal="right" vertical="center"/>
    </xf>
    <xf numFmtId="167" fontId="5" fillId="2" borderId="8" xfId="1" applyNumberFormat="1" applyFont="1" applyFill="1" applyBorder="1" applyAlignment="1">
      <alignment horizontal="right" vertical="center"/>
    </xf>
    <xf numFmtId="168" fontId="5" fillId="2" borderId="8" xfId="0" applyNumberFormat="1" applyFont="1" applyFill="1" applyBorder="1" applyAlignment="1">
      <alignment vertical="center"/>
    </xf>
    <xf numFmtId="169" fontId="5" fillId="2" borderId="8" xfId="0" applyNumberFormat="1" applyFont="1" applyFill="1" applyBorder="1" applyAlignment="1">
      <alignment vertical="center"/>
    </xf>
    <xf numFmtId="10" fontId="5" fillId="4" borderId="9" xfId="2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68" fontId="4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3" fontId="5" fillId="2" borderId="8" xfId="0" applyNumberFormat="1" applyFont="1" applyFill="1" applyBorder="1" applyAlignment="1">
      <alignment horizontal="right" vertical="center"/>
    </xf>
    <xf numFmtId="3" fontId="5" fillId="2" borderId="8" xfId="0" applyNumberFormat="1" applyFont="1" applyFill="1" applyBorder="1" applyAlignment="1">
      <alignment vertical="center"/>
    </xf>
    <xf numFmtId="10" fontId="5" fillId="4" borderId="9" xfId="0" applyNumberFormat="1" applyFont="1" applyFill="1" applyBorder="1" applyAlignment="1">
      <alignment horizontal="center" vertical="center"/>
    </xf>
    <xf numFmtId="166" fontId="5" fillId="2" borderId="6" xfId="1" applyNumberFormat="1" applyFont="1" applyFill="1" applyBorder="1" applyAlignment="1">
      <alignment horizontal="right" vertical="center"/>
    </xf>
    <xf numFmtId="167" fontId="5" fillId="2" borderId="6" xfId="1" applyNumberFormat="1" applyFont="1" applyFill="1" applyBorder="1" applyAlignment="1">
      <alignment horizontal="right" vertical="center"/>
    </xf>
    <xf numFmtId="168" fontId="5" fillId="2" borderId="6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168" fontId="4" fillId="3" borderId="9" xfId="0" applyNumberFormat="1" applyFont="1" applyFill="1" applyBorder="1" applyAlignment="1">
      <alignment horizontal="center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6" xfId="1" applyNumberFormat="1" applyFont="1" applyFill="1" applyBorder="1" applyAlignment="1">
      <alignment horizontal="right" vertical="center"/>
    </xf>
    <xf numFmtId="10" fontId="5" fillId="4" borderId="6" xfId="0" applyNumberFormat="1" applyFont="1" applyFill="1" applyBorder="1" applyAlignment="1">
      <alignment horizontal="center" vertical="center"/>
    </xf>
    <xf numFmtId="3" fontId="5" fillId="2" borderId="12" xfId="0" applyNumberFormat="1" applyFont="1" applyFill="1" applyBorder="1" applyAlignment="1">
      <alignment horizontal="right" vertical="center"/>
    </xf>
    <xf numFmtId="167" fontId="5" fillId="2" borderId="12" xfId="1" applyNumberFormat="1" applyFont="1" applyFill="1" applyBorder="1" applyAlignment="1">
      <alignment horizontal="right" vertical="center"/>
    </xf>
    <xf numFmtId="166" fontId="2" fillId="2" borderId="1" xfId="1" applyNumberFormat="1" applyFont="1" applyFill="1" applyBorder="1" applyAlignment="1">
      <alignment horizontal="right" vertical="center"/>
    </xf>
    <xf numFmtId="168" fontId="2" fillId="2" borderId="1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10" fontId="2" fillId="4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167" fontId="2" fillId="2" borderId="1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0" borderId="15" xfId="0" applyFont="1" applyBorder="1"/>
    <xf numFmtId="169" fontId="5" fillId="2" borderId="5" xfId="0" applyNumberFormat="1" applyFont="1" applyFill="1" applyBorder="1" applyAlignment="1">
      <alignment horizontal="right" vertical="center"/>
    </xf>
    <xf numFmtId="169" fontId="5" fillId="2" borderId="5" xfId="0" applyNumberFormat="1" applyFont="1" applyFill="1" applyBorder="1" applyAlignment="1">
      <alignment horizontal="center" vertical="center"/>
    </xf>
    <xf numFmtId="169" fontId="5" fillId="2" borderId="16" xfId="0" applyNumberFormat="1" applyFont="1" applyFill="1" applyBorder="1" applyAlignment="1">
      <alignment horizontal="right" vertical="center"/>
    </xf>
    <xf numFmtId="10" fontId="5" fillId="2" borderId="5" xfId="0" applyNumberFormat="1" applyFont="1" applyFill="1" applyBorder="1" applyAlignment="1">
      <alignment horizontal="right" vertical="center"/>
    </xf>
    <xf numFmtId="169" fontId="5" fillId="2" borderId="9" xfId="0" applyNumberFormat="1" applyFont="1" applyFill="1" applyBorder="1" applyAlignment="1">
      <alignment horizontal="right" vertical="center"/>
    </xf>
    <xf numFmtId="167" fontId="5" fillId="2" borderId="9" xfId="1" applyNumberFormat="1" applyFont="1" applyFill="1" applyBorder="1" applyAlignment="1">
      <alignment horizontal="right" vertical="center"/>
    </xf>
    <xf numFmtId="168" fontId="5" fillId="2" borderId="9" xfId="0" applyNumberFormat="1" applyFont="1" applyFill="1" applyBorder="1" applyAlignment="1">
      <alignment vertical="center"/>
    </xf>
    <xf numFmtId="167" fontId="5" fillId="2" borderId="9" xfId="1" applyNumberFormat="1" applyFont="1" applyFill="1" applyBorder="1" applyAlignment="1">
      <alignment vertical="center"/>
    </xf>
    <xf numFmtId="165" fontId="5" fillId="2" borderId="9" xfId="0" applyNumberFormat="1" applyFont="1" applyFill="1" applyBorder="1" applyAlignment="1">
      <alignment vertical="center"/>
    </xf>
    <xf numFmtId="167" fontId="5" fillId="2" borderId="9" xfId="1" applyNumberFormat="1" applyFont="1" applyFill="1" applyBorder="1" applyAlignment="1">
      <alignment horizontal="center" vertical="center"/>
    </xf>
    <xf numFmtId="169" fontId="2" fillId="2" borderId="1" xfId="0" applyNumberFormat="1" applyFont="1" applyFill="1" applyBorder="1" applyAlignment="1">
      <alignment horizontal="right" vertical="center"/>
    </xf>
    <xf numFmtId="167" fontId="2" fillId="2" borderId="1" xfId="1" applyNumberFormat="1" applyFont="1" applyFill="1" applyBorder="1" applyAlignment="1">
      <alignment horizontal="right" vertical="center"/>
    </xf>
    <xf numFmtId="167" fontId="2" fillId="2" borderId="1" xfId="1" applyNumberFormat="1" applyFont="1" applyFill="1" applyBorder="1" applyAlignment="1">
      <alignment vertical="center"/>
    </xf>
    <xf numFmtId="0" fontId="3" fillId="0" borderId="17" xfId="0" applyFont="1" applyBorder="1"/>
    <xf numFmtId="165" fontId="2" fillId="2" borderId="1" xfId="0" applyNumberFormat="1" applyFont="1" applyFill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167" fontId="5" fillId="2" borderId="0" xfId="1" applyNumberFormat="1" applyFont="1" applyFill="1" applyBorder="1" applyAlignment="1">
      <alignment horizontal="right" vertical="center"/>
    </xf>
    <xf numFmtId="10" fontId="5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3" fontId="4" fillId="3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3" fontId="4" fillId="0" borderId="9" xfId="0" applyNumberFormat="1" applyFont="1" applyBorder="1"/>
    <xf numFmtId="0" fontId="4" fillId="0" borderId="12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3" fontId="4" fillId="3" borderId="12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49" fontId="3" fillId="3" borderId="15" xfId="0" applyNumberFormat="1" applyFont="1" applyFill="1" applyBorder="1" applyAlignment="1">
      <alignment horizontal="center" vertical="center"/>
    </xf>
    <xf numFmtId="49" fontId="3" fillId="3" borderId="17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5" fillId="0" borderId="5" xfId="3" applyFont="1" applyBorder="1" applyAlignment="1">
      <alignment horizontal="center" vertical="center" wrapText="1"/>
    </xf>
    <xf numFmtId="37" fontId="4" fillId="3" borderId="5" xfId="1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49" fontId="4" fillId="3" borderId="9" xfId="0" applyNumberFormat="1" applyFont="1" applyFill="1" applyBorder="1" applyAlignment="1">
      <alignment horizontal="center" vertical="center"/>
    </xf>
    <xf numFmtId="0" fontId="5" fillId="0" borderId="9" xfId="3" applyFont="1" applyBorder="1" applyAlignment="1">
      <alignment horizontal="center" vertical="center" wrapText="1"/>
    </xf>
    <xf numFmtId="37" fontId="4" fillId="3" borderId="9" xfId="1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right" vertical="center"/>
    </xf>
    <xf numFmtId="3" fontId="4" fillId="3" borderId="9" xfId="0" applyNumberFormat="1" applyFont="1" applyFill="1" applyBorder="1" applyAlignment="1">
      <alignment vertical="center"/>
    </xf>
    <xf numFmtId="3" fontId="4" fillId="3" borderId="8" xfId="0" applyNumberFormat="1" applyFont="1" applyFill="1" applyBorder="1" applyAlignment="1">
      <alignment vertical="center"/>
    </xf>
    <xf numFmtId="3" fontId="4" fillId="3" borderId="6" xfId="0" applyNumberFormat="1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170" fontId="4" fillId="3" borderId="10" xfId="0" applyNumberFormat="1" applyFont="1" applyFill="1" applyBorder="1" applyAlignment="1">
      <alignment horizontal="right" vertical="center"/>
    </xf>
    <xf numFmtId="0" fontId="11" fillId="3" borderId="6" xfId="0" applyFont="1" applyFill="1" applyBorder="1" applyAlignment="1">
      <alignment horizontal="center" vertical="center"/>
    </xf>
    <xf numFmtId="170" fontId="4" fillId="3" borderId="24" xfId="0" applyNumberFormat="1" applyFont="1" applyFill="1" applyBorder="1" applyAlignment="1">
      <alignment horizontal="right" vertical="center"/>
    </xf>
    <xf numFmtId="0" fontId="11" fillId="3" borderId="5" xfId="0" applyFont="1" applyFill="1" applyBorder="1" applyAlignment="1">
      <alignment horizontal="center" vertical="center"/>
    </xf>
    <xf numFmtId="39" fontId="4" fillId="3" borderId="5" xfId="1" applyNumberFormat="1" applyFont="1" applyFill="1" applyBorder="1" applyAlignment="1">
      <alignment horizontal="right" vertical="center"/>
    </xf>
    <xf numFmtId="4" fontId="4" fillId="3" borderId="5" xfId="0" applyNumberFormat="1" applyFont="1" applyFill="1" applyBorder="1" applyAlignment="1">
      <alignment horizontal="right" vertical="center"/>
    </xf>
    <xf numFmtId="49" fontId="4" fillId="3" borderId="12" xfId="0" applyNumberFormat="1" applyFont="1" applyFill="1" applyBorder="1" applyAlignment="1">
      <alignment horizontal="center" vertical="center"/>
    </xf>
    <xf numFmtId="0" fontId="5" fillId="0" borderId="12" xfId="3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39" fontId="4" fillId="3" borderId="12" xfId="1" applyNumberFormat="1" applyFont="1" applyFill="1" applyBorder="1" applyAlignment="1">
      <alignment horizontal="right" vertical="center"/>
    </xf>
    <xf numFmtId="4" fontId="4" fillId="3" borderId="12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vertical="center"/>
    </xf>
    <xf numFmtId="1" fontId="3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7" fontId="3" fillId="3" borderId="1" xfId="1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43" fontId="4" fillId="3" borderId="24" xfId="1" applyFont="1" applyFill="1" applyBorder="1" applyAlignment="1">
      <alignment horizontal="right" vertical="center"/>
    </xf>
    <xf numFmtId="49" fontId="15" fillId="3" borderId="19" xfId="0" applyNumberFormat="1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center" vertical="center"/>
    </xf>
    <xf numFmtId="169" fontId="4" fillId="3" borderId="5" xfId="0" applyNumberFormat="1" applyFont="1" applyFill="1" applyBorder="1" applyAlignment="1">
      <alignment vertical="center"/>
    </xf>
    <xf numFmtId="0" fontId="14" fillId="2" borderId="12" xfId="0" applyFont="1" applyFill="1" applyBorder="1" applyAlignment="1">
      <alignment horizontal="center" vertical="center"/>
    </xf>
    <xf numFmtId="4" fontId="4" fillId="3" borderId="12" xfId="0" applyNumberFormat="1" applyFont="1" applyFill="1" applyBorder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vertical="center"/>
    </xf>
    <xf numFmtId="0" fontId="14" fillId="2" borderId="31" xfId="0" applyFont="1" applyFill="1" applyBorder="1" applyAlignment="1">
      <alignment horizontal="center" vertical="center"/>
    </xf>
    <xf numFmtId="2" fontId="4" fillId="3" borderId="12" xfId="0" applyNumberFormat="1" applyFont="1" applyFill="1" applyBorder="1" applyAlignment="1">
      <alignment vertical="center"/>
    </xf>
    <xf numFmtId="0" fontId="16" fillId="0" borderId="28" xfId="0" applyFont="1" applyBorder="1"/>
    <xf numFmtId="0" fontId="16" fillId="0" borderId="18" xfId="0" applyFont="1" applyBorder="1"/>
    <xf numFmtId="0" fontId="16" fillId="0" borderId="20" xfId="0" applyFont="1" applyBorder="1"/>
    <xf numFmtId="0" fontId="16" fillId="0" borderId="25" xfId="0" applyFont="1" applyBorder="1"/>
    <xf numFmtId="0" fontId="4" fillId="0" borderId="16" xfId="0" applyFont="1" applyBorder="1"/>
    <xf numFmtId="0" fontId="3" fillId="0" borderId="0" xfId="0" applyFont="1"/>
    <xf numFmtId="0" fontId="4" fillId="0" borderId="0" xfId="0" applyFont="1"/>
    <xf numFmtId="166" fontId="4" fillId="3" borderId="5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3" fontId="4" fillId="6" borderId="9" xfId="0" applyNumberFormat="1" applyFont="1" applyFill="1" applyBorder="1" applyAlignment="1">
      <alignment vertical="center"/>
    </xf>
    <xf numFmtId="3" fontId="4" fillId="6" borderId="6" xfId="0" applyNumberFormat="1" applyFont="1" applyFill="1" applyBorder="1" applyAlignment="1">
      <alignment vertical="center"/>
    </xf>
    <xf numFmtId="3" fontId="4" fillId="6" borderId="8" xfId="0" applyNumberFormat="1" applyFont="1" applyFill="1" applyBorder="1" applyAlignment="1">
      <alignment vertical="center"/>
    </xf>
    <xf numFmtId="3" fontId="4" fillId="6" borderId="12" xfId="0" applyNumberFormat="1" applyFont="1" applyFill="1" applyBorder="1" applyAlignment="1">
      <alignment vertical="center"/>
    </xf>
    <xf numFmtId="3" fontId="4" fillId="6" borderId="1" xfId="0" applyNumberFormat="1" applyFont="1" applyFill="1" applyBorder="1" applyAlignment="1">
      <alignment vertical="center"/>
    </xf>
    <xf numFmtId="169" fontId="4" fillId="6" borderId="5" xfId="0" applyNumberFormat="1" applyFont="1" applyFill="1" applyBorder="1" applyAlignment="1">
      <alignment vertical="center"/>
    </xf>
    <xf numFmtId="3" fontId="4" fillId="6" borderId="5" xfId="0" applyNumberFormat="1" applyFont="1" applyFill="1" applyBorder="1" applyAlignment="1">
      <alignment vertical="center"/>
    </xf>
    <xf numFmtId="3" fontId="4" fillId="3" borderId="26" xfId="0" applyNumberFormat="1" applyFont="1" applyFill="1" applyBorder="1" applyAlignment="1">
      <alignment horizontal="right" vertical="center"/>
    </xf>
    <xf numFmtId="43" fontId="4" fillId="3" borderId="12" xfId="1" applyFont="1" applyFill="1" applyBorder="1" applyAlignment="1">
      <alignment horizontal="right" vertical="center"/>
    </xf>
    <xf numFmtId="0" fontId="0" fillId="0" borderId="0" xfId="0"/>
    <xf numFmtId="4" fontId="4" fillId="3" borderId="9" xfId="0" applyNumberFormat="1" applyFont="1" applyFill="1" applyBorder="1" applyAlignment="1">
      <alignment horizontal="right" vertical="center"/>
    </xf>
    <xf numFmtId="170" fontId="4" fillId="3" borderId="8" xfId="0" applyNumberFormat="1" applyFont="1" applyFill="1" applyBorder="1" applyAlignment="1">
      <alignment horizontal="right" vertical="center"/>
    </xf>
    <xf numFmtId="4" fontId="4" fillId="3" borderId="8" xfId="0" applyNumberFormat="1" applyFont="1" applyFill="1" applyBorder="1" applyAlignment="1">
      <alignment horizontal="right" vertical="center"/>
    </xf>
    <xf numFmtId="170" fontId="4" fillId="3" borderId="5" xfId="0" applyNumberFormat="1" applyFont="1" applyFill="1" applyBorder="1" applyAlignment="1">
      <alignment horizontal="right" vertical="center"/>
    </xf>
    <xf numFmtId="170" fontId="4" fillId="3" borderId="12" xfId="0" applyNumberFormat="1" applyFont="1" applyFill="1" applyBorder="1" applyAlignment="1">
      <alignment horizontal="right" vertical="center"/>
    </xf>
    <xf numFmtId="0" fontId="14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166" fontId="4" fillId="3" borderId="9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166" fontId="4" fillId="5" borderId="9" xfId="0" applyNumberFormat="1" applyFont="1" applyFill="1" applyBorder="1" applyAlignment="1">
      <alignment horizontal="center" vertical="center"/>
    </xf>
    <xf numFmtId="166" fontId="4" fillId="0" borderId="5" xfId="0" applyNumberFormat="1" applyFont="1" applyFill="1" applyBorder="1" applyAlignment="1">
      <alignment horizontal="center" vertical="center"/>
    </xf>
    <xf numFmtId="166" fontId="4" fillId="0" borderId="9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left"/>
    </xf>
    <xf numFmtId="170" fontId="4" fillId="3" borderId="31" xfId="0" applyNumberFormat="1" applyFont="1" applyFill="1" applyBorder="1" applyAlignment="1">
      <alignment horizontal="right" vertical="center"/>
    </xf>
    <xf numFmtId="0" fontId="4" fillId="0" borderId="2" xfId="0" applyFont="1" applyBorder="1" applyAlignment="1"/>
    <xf numFmtId="0" fontId="3" fillId="0" borderId="3" xfId="0" applyFont="1" applyBorder="1" applyAlignment="1"/>
    <xf numFmtId="0" fontId="17" fillId="0" borderId="4" xfId="0" applyFont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3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4" fillId="6" borderId="27" xfId="0" applyFont="1" applyFill="1" applyBorder="1"/>
    <xf numFmtId="0" fontId="4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4" fillId="6" borderId="23" xfId="0" applyFont="1" applyFill="1" applyBorder="1"/>
    <xf numFmtId="0" fontId="4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4" fillId="6" borderId="33" xfId="0" applyFont="1" applyFill="1" applyBorder="1"/>
    <xf numFmtId="166" fontId="4" fillId="0" borderId="5" xfId="0" applyNumberFormat="1" applyFont="1" applyBorder="1"/>
    <xf numFmtId="166" fontId="4" fillId="0" borderId="9" xfId="0" applyNumberFormat="1" applyFont="1" applyBorder="1"/>
    <xf numFmtId="166" fontId="4" fillId="0" borderId="12" xfId="0" applyNumberFormat="1" applyFont="1" applyBorder="1"/>
    <xf numFmtId="0" fontId="19" fillId="3" borderId="0" xfId="0" applyFont="1" applyFill="1" applyAlignment="1" applyProtection="1">
      <alignment vertical="center"/>
      <protection locked="0"/>
    </xf>
    <xf numFmtId="0" fontId="18" fillId="3" borderId="0" xfId="0" applyFont="1" applyFill="1" applyAlignment="1" applyProtection="1">
      <alignment vertical="center"/>
      <protection locked="0"/>
    </xf>
    <xf numFmtId="0" fontId="17" fillId="3" borderId="0" xfId="0" applyFont="1" applyFill="1" applyAlignment="1" applyProtection="1">
      <alignment vertical="center"/>
      <protection locked="0"/>
    </xf>
    <xf numFmtId="0" fontId="4" fillId="3" borderId="0" xfId="0" applyFont="1" applyFill="1" applyAlignment="1" applyProtection="1">
      <alignment vertical="center"/>
      <protection locked="0"/>
    </xf>
    <xf numFmtId="0" fontId="4" fillId="7" borderId="15" xfId="0" applyFont="1" applyFill="1" applyBorder="1" applyAlignment="1" applyProtection="1">
      <alignment vertical="center"/>
      <protection locked="0"/>
    </xf>
    <xf numFmtId="0" fontId="4" fillId="7" borderId="16" xfId="0" applyFont="1" applyFill="1" applyBorder="1" applyAlignment="1" applyProtection="1">
      <alignment vertical="center"/>
      <protection locked="0"/>
    </xf>
    <xf numFmtId="0" fontId="4" fillId="7" borderId="1" xfId="0" applyFont="1" applyFill="1" applyBorder="1" applyAlignment="1" applyProtection="1">
      <alignment vertical="center"/>
      <protection locked="0"/>
    </xf>
    <xf numFmtId="0" fontId="4" fillId="7" borderId="28" xfId="0" applyFont="1" applyFill="1" applyBorder="1" applyAlignment="1" applyProtection="1">
      <alignment vertical="center"/>
      <protection locked="0"/>
    </xf>
    <xf numFmtId="0" fontId="4" fillId="7" borderId="17" xfId="0" applyFont="1" applyFill="1" applyBorder="1" applyAlignment="1" applyProtection="1">
      <alignment vertical="center"/>
      <protection locked="0"/>
    </xf>
    <xf numFmtId="0" fontId="17" fillId="8" borderId="2" xfId="0" applyFont="1" applyFill="1" applyBorder="1" applyAlignment="1" applyProtection="1">
      <alignment vertical="center"/>
      <protection locked="0"/>
    </xf>
    <xf numFmtId="0" fontId="4" fillId="7" borderId="19" xfId="0" applyFont="1" applyFill="1" applyBorder="1" applyAlignment="1" applyProtection="1">
      <alignment vertical="center"/>
      <protection locked="0"/>
    </xf>
    <xf numFmtId="0" fontId="17" fillId="3" borderId="28" xfId="0" applyFont="1" applyFill="1" applyBorder="1" applyAlignment="1" applyProtection="1">
      <alignment vertical="center"/>
      <protection locked="0"/>
    </xf>
    <xf numFmtId="0" fontId="4" fillId="7" borderId="20" xfId="0" applyFont="1" applyFill="1" applyBorder="1" applyAlignment="1" applyProtection="1">
      <alignment vertical="center"/>
      <protection locked="0"/>
    </xf>
    <xf numFmtId="0" fontId="4" fillId="7" borderId="26" xfId="0" applyFont="1" applyFill="1" applyBorder="1" applyAlignment="1" applyProtection="1">
      <alignment vertical="center"/>
    </xf>
    <xf numFmtId="0" fontId="4" fillId="7" borderId="7" xfId="0" applyFont="1" applyFill="1" applyBorder="1" applyAlignment="1" applyProtection="1">
      <alignment vertical="center"/>
    </xf>
    <xf numFmtId="171" fontId="4" fillId="7" borderId="9" xfId="0" applyNumberFormat="1" applyFont="1" applyFill="1" applyBorder="1" applyAlignment="1" applyProtection="1">
      <alignment horizontal="right" vertical="center"/>
    </xf>
    <xf numFmtId="0" fontId="4" fillId="7" borderId="9" xfId="0" applyFont="1" applyFill="1" applyBorder="1" applyAlignment="1" applyProtection="1">
      <alignment vertical="center"/>
    </xf>
    <xf numFmtId="171" fontId="4" fillId="7" borderId="9" xfId="0" applyNumberFormat="1" applyFont="1" applyFill="1" applyBorder="1" applyAlignment="1" applyProtection="1">
      <alignment vertical="center"/>
    </xf>
    <xf numFmtId="43" fontId="4" fillId="7" borderId="26" xfId="1" applyFont="1" applyFill="1" applyBorder="1" applyAlignment="1" applyProtection="1">
      <alignment vertical="center"/>
    </xf>
    <xf numFmtId="10" fontId="4" fillId="7" borderId="7" xfId="2" applyNumberFormat="1" applyFont="1" applyFill="1" applyBorder="1" applyAlignment="1" applyProtection="1">
      <alignment vertical="center"/>
    </xf>
    <xf numFmtId="10" fontId="4" fillId="7" borderId="27" xfId="2" applyNumberFormat="1" applyFont="1" applyFill="1" applyBorder="1" applyAlignment="1" applyProtection="1">
      <alignment vertical="center"/>
    </xf>
    <xf numFmtId="43" fontId="4" fillId="7" borderId="22" xfId="1" applyFont="1" applyFill="1" applyBorder="1" applyAlignment="1" applyProtection="1">
      <alignment vertical="center"/>
    </xf>
    <xf numFmtId="10" fontId="4" fillId="7" borderId="11" xfId="2" applyNumberFormat="1" applyFont="1" applyFill="1" applyBorder="1" applyAlignment="1" applyProtection="1">
      <alignment vertical="center"/>
    </xf>
    <xf numFmtId="10" fontId="4" fillId="7" borderId="23" xfId="2" applyNumberFormat="1" applyFont="1" applyFill="1" applyBorder="1" applyAlignment="1" applyProtection="1">
      <alignment vertical="center"/>
    </xf>
    <xf numFmtId="43" fontId="4" fillId="7" borderId="32" xfId="1" applyFont="1" applyFill="1" applyBorder="1" applyAlignment="1" applyProtection="1">
      <alignment vertical="center"/>
    </xf>
    <xf numFmtId="10" fontId="4" fillId="7" borderId="31" xfId="2" applyNumberFormat="1" applyFont="1" applyFill="1" applyBorder="1" applyAlignment="1" applyProtection="1">
      <alignment vertical="center"/>
    </xf>
    <xf numFmtId="10" fontId="4" fillId="7" borderId="33" xfId="2" applyNumberFormat="1" applyFont="1" applyFill="1" applyBorder="1" applyAlignment="1" applyProtection="1">
      <alignment vertical="center"/>
    </xf>
    <xf numFmtId="0" fontId="0" fillId="0" borderId="36" xfId="0" applyBorder="1"/>
    <xf numFmtId="0" fontId="23" fillId="0" borderId="37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/>
    </xf>
    <xf numFmtId="167" fontId="23" fillId="0" borderId="37" xfId="1" applyNumberFormat="1" applyFont="1" applyBorder="1" applyAlignment="1"/>
    <xf numFmtId="167" fontId="23" fillId="0" borderId="37" xfId="1" applyNumberFormat="1" applyFont="1" applyBorder="1" applyAlignment="1">
      <alignment horizontal="center" vertical="center"/>
    </xf>
    <xf numFmtId="167" fontId="23" fillId="0" borderId="37" xfId="1" applyNumberFormat="1" applyFont="1" applyBorder="1"/>
    <xf numFmtId="0" fontId="23" fillId="0" borderId="37" xfId="0" applyFont="1" applyBorder="1"/>
    <xf numFmtId="0" fontId="24" fillId="0" borderId="37" xfId="0" applyFont="1" applyBorder="1"/>
    <xf numFmtId="0" fontId="24" fillId="0" borderId="37" xfId="0" applyFont="1" applyBorder="1" applyAlignment="1">
      <alignment horizontal="center"/>
    </xf>
    <xf numFmtId="0" fontId="0" fillId="0" borderId="38" xfId="0" applyBorder="1"/>
    <xf numFmtId="0" fontId="0" fillId="0" borderId="39" xfId="0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9" xfId="0" applyBorder="1"/>
    <xf numFmtId="0" fontId="0" fillId="0" borderId="40" xfId="0" applyBorder="1"/>
    <xf numFmtId="0" fontId="29" fillId="0" borderId="3" xfId="0" applyFont="1" applyBorder="1" applyAlignment="1">
      <alignment horizontal="center" vertical="center"/>
    </xf>
    <xf numFmtId="167" fontId="29" fillId="0" borderId="3" xfId="1" applyNumberFormat="1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1" fillId="0" borderId="0" xfId="0" applyFont="1"/>
    <xf numFmtId="0" fontId="31" fillId="0" borderId="0" xfId="0" applyFont="1" applyAlignment="1">
      <alignment horizontal="center"/>
    </xf>
    <xf numFmtId="167" fontId="31" fillId="0" borderId="0" xfId="1" applyNumberFormat="1" applyFont="1" applyBorder="1" applyAlignment="1"/>
    <xf numFmtId="167" fontId="31" fillId="0" borderId="0" xfId="1" applyNumberFormat="1" applyFont="1" applyBorder="1" applyAlignment="1">
      <alignment horizontal="center" vertical="center"/>
    </xf>
    <xf numFmtId="167" fontId="31" fillId="0" borderId="0" xfId="1" applyNumberFormat="1" applyFont="1" applyBorder="1"/>
    <xf numFmtId="0" fontId="32" fillId="0" borderId="0" xfId="0" applyFont="1"/>
    <xf numFmtId="0" fontId="32" fillId="0" borderId="0" xfId="0" applyFont="1" applyAlignment="1">
      <alignment horizontal="center"/>
    </xf>
    <xf numFmtId="0" fontId="31" fillId="0" borderId="18" xfId="0" applyFont="1" applyBorder="1"/>
    <xf numFmtId="167" fontId="31" fillId="0" borderId="0" xfId="1" applyNumberFormat="1" applyFont="1" applyBorder="1" applyAlignment="1">
      <alignment vertical="center"/>
    </xf>
    <xf numFmtId="0" fontId="33" fillId="0" borderId="39" xfId="0" applyFont="1" applyBorder="1"/>
    <xf numFmtId="0" fontId="35" fillId="0" borderId="15" xfId="0" applyFont="1" applyBorder="1" applyAlignment="1">
      <alignment horizontal="center"/>
    </xf>
    <xf numFmtId="167" fontId="35" fillId="0" borderId="15" xfId="1" applyNumberFormat="1" applyFont="1" applyFill="1" applyBorder="1" applyAlignment="1">
      <alignment horizontal="center"/>
    </xf>
    <xf numFmtId="167" fontId="35" fillId="0" borderId="15" xfId="1" applyNumberFormat="1" applyFont="1" applyFill="1" applyBorder="1" applyAlignment="1">
      <alignment horizontal="center" vertical="center"/>
    </xf>
    <xf numFmtId="0" fontId="36" fillId="0" borderId="15" xfId="0" applyFont="1" applyBorder="1" applyAlignment="1">
      <alignment horizontal="center"/>
    </xf>
    <xf numFmtId="0" fontId="33" fillId="0" borderId="40" xfId="0" applyFont="1" applyBorder="1"/>
    <xf numFmtId="0" fontId="35" fillId="0" borderId="17" xfId="0" applyFont="1" applyBorder="1" applyAlignment="1">
      <alignment horizontal="center"/>
    </xf>
    <xf numFmtId="167" fontId="35" fillId="0" borderId="17" xfId="1" applyNumberFormat="1" applyFont="1" applyFill="1" applyBorder="1" applyAlignment="1">
      <alignment horizontal="center"/>
    </xf>
    <xf numFmtId="167" fontId="35" fillId="0" borderId="17" xfId="1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167" fontId="38" fillId="0" borderId="17" xfId="1" applyNumberFormat="1" applyFont="1" applyFill="1" applyBorder="1" applyAlignment="1">
      <alignment horizontal="center" vertical="center"/>
    </xf>
    <xf numFmtId="1" fontId="38" fillId="0" borderId="17" xfId="1" applyNumberFormat="1" applyFont="1" applyFill="1" applyBorder="1" applyAlignment="1">
      <alignment horizontal="center" vertical="center"/>
    </xf>
    <xf numFmtId="167" fontId="38" fillId="0" borderId="20" xfId="1" applyNumberFormat="1" applyFont="1" applyFill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 vertical="center"/>
    </xf>
    <xf numFmtId="173" fontId="38" fillId="0" borderId="17" xfId="0" applyNumberFormat="1" applyFont="1" applyBorder="1" applyAlignment="1">
      <alignment horizontal="center" vertical="center"/>
    </xf>
    <xf numFmtId="0" fontId="0" fillId="0" borderId="0" xfId="0" applyFill="1" applyAlignment="1">
      <alignment horizontal="right"/>
    </xf>
    <xf numFmtId="0" fontId="39" fillId="0" borderId="43" xfId="0" applyFont="1" applyBorder="1" applyAlignment="1">
      <alignment horizontal="center" vertical="center"/>
    </xf>
    <xf numFmtId="0" fontId="40" fillId="0" borderId="43" xfId="0" applyFont="1" applyBorder="1" applyAlignment="1">
      <alignment horizontal="center" vertical="center"/>
    </xf>
    <xf numFmtId="167" fontId="39" fillId="0" borderId="43" xfId="1" applyNumberFormat="1" applyFont="1" applyFill="1" applyBorder="1" applyAlignment="1">
      <alignment horizontal="center" vertical="center"/>
    </xf>
    <xf numFmtId="1" fontId="39" fillId="0" borderId="43" xfId="1" applyNumberFormat="1" applyFont="1" applyFill="1" applyBorder="1" applyAlignment="1">
      <alignment horizontal="center" vertical="center"/>
    </xf>
    <xf numFmtId="167" fontId="40" fillId="0" borderId="41" xfId="1" applyNumberFormat="1" applyFont="1" applyFill="1" applyBorder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164" fontId="39" fillId="0" borderId="43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67" fontId="39" fillId="0" borderId="0" xfId="1" applyNumberFormat="1" applyFont="1" applyFill="1" applyBorder="1" applyAlignment="1">
      <alignment horizontal="center" vertical="center"/>
    </xf>
    <xf numFmtId="1" fontId="39" fillId="0" borderId="0" xfId="1" applyNumberFormat="1" applyFont="1" applyFill="1" applyBorder="1" applyAlignment="1">
      <alignment horizontal="center" vertical="center"/>
    </xf>
    <xf numFmtId="167" fontId="40" fillId="0" borderId="0" xfId="1" applyNumberFormat="1" applyFont="1" applyFill="1" applyBorder="1" applyAlignment="1">
      <alignment horizontal="center" vertical="center"/>
    </xf>
    <xf numFmtId="164" fontId="39" fillId="0" borderId="0" xfId="0" applyNumberFormat="1" applyFont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174" fontId="31" fillId="0" borderId="0" xfId="0" applyNumberFormat="1" applyFont="1" applyAlignment="1">
      <alignment horizontal="center"/>
    </xf>
    <xf numFmtId="174" fontId="31" fillId="0" borderId="18" xfId="0" applyNumberFormat="1" applyFont="1" applyBorder="1" applyAlignment="1">
      <alignment horizontal="center"/>
    </xf>
    <xf numFmtId="0" fontId="41" fillId="0" borderId="0" xfId="0" applyFont="1"/>
    <xf numFmtId="174" fontId="32" fillId="0" borderId="0" xfId="0" applyNumberFormat="1" applyFont="1" applyAlignment="1">
      <alignment horizontal="center"/>
    </xf>
    <xf numFmtId="0" fontId="31" fillId="0" borderId="20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/>
    </xf>
    <xf numFmtId="167" fontId="31" fillId="0" borderId="21" xfId="1" applyNumberFormat="1" applyFont="1" applyBorder="1" applyAlignment="1"/>
    <xf numFmtId="167" fontId="31" fillId="0" borderId="21" xfId="1" applyNumberFormat="1" applyFont="1" applyBorder="1" applyAlignment="1">
      <alignment horizontal="center" vertical="center"/>
    </xf>
    <xf numFmtId="167" fontId="31" fillId="0" borderId="21" xfId="1" applyNumberFormat="1" applyFont="1" applyBorder="1"/>
    <xf numFmtId="0" fontId="31" fillId="0" borderId="21" xfId="0" applyFont="1" applyBorder="1"/>
    <xf numFmtId="0" fontId="32" fillId="0" borderId="21" xfId="0" applyFont="1" applyBorder="1"/>
    <xf numFmtId="0" fontId="0" fillId="0" borderId="44" xfId="0" applyBorder="1"/>
    <xf numFmtId="0" fontId="0" fillId="0" borderId="45" xfId="0" applyBorder="1"/>
    <xf numFmtId="0" fontId="0" fillId="0" borderId="45" xfId="0" applyBorder="1" applyAlignment="1">
      <alignment horizontal="center" vertical="center"/>
    </xf>
    <xf numFmtId="167" fontId="1" fillId="0" borderId="45" xfId="1" applyNumberFormat="1" applyFont="1" applyBorder="1"/>
    <xf numFmtId="0" fontId="42" fillId="0" borderId="45" xfId="0" applyFont="1" applyBorder="1"/>
    <xf numFmtId="0" fontId="0" fillId="0" borderId="46" xfId="0" applyBorder="1"/>
    <xf numFmtId="166" fontId="4" fillId="6" borderId="5" xfId="0" applyNumberFormat="1" applyFont="1" applyFill="1" applyBorder="1"/>
    <xf numFmtId="166" fontId="4" fillId="6" borderId="9" xfId="0" applyNumberFormat="1" applyFont="1" applyFill="1" applyBorder="1"/>
    <xf numFmtId="166" fontId="4" fillId="6" borderId="12" xfId="0" applyNumberFormat="1" applyFont="1" applyFill="1" applyBorder="1"/>
    <xf numFmtId="166" fontId="4" fillId="7" borderId="26" xfId="0" applyNumberFormat="1" applyFont="1" applyFill="1" applyBorder="1" applyAlignment="1" applyProtection="1">
      <alignment vertical="center"/>
    </xf>
    <xf numFmtId="166" fontId="4" fillId="7" borderId="22" xfId="1" applyNumberFormat="1" applyFont="1" applyFill="1" applyBorder="1" applyAlignment="1" applyProtection="1">
      <alignment vertical="center"/>
    </xf>
    <xf numFmtId="166" fontId="4" fillId="7" borderId="22" xfId="0" quotePrefix="1" applyNumberFormat="1" applyFont="1" applyFill="1" applyBorder="1" applyAlignment="1" applyProtection="1">
      <alignment horizontal="center" vertical="center"/>
    </xf>
    <xf numFmtId="166" fontId="4" fillId="7" borderId="32" xfId="1" applyNumberFormat="1" applyFont="1" applyFill="1" applyBorder="1" applyAlignment="1" applyProtection="1">
      <alignment vertical="center"/>
    </xf>
    <xf numFmtId="0" fontId="4" fillId="0" borderId="5" xfId="0" applyNumberFormat="1" applyFont="1" applyBorder="1" applyAlignment="1">
      <alignment horizontal="center"/>
    </xf>
    <xf numFmtId="0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16" fontId="5" fillId="2" borderId="17" xfId="0" quotePrefix="1" applyNumberFormat="1" applyFont="1" applyFill="1" applyBorder="1" applyAlignment="1">
      <alignment horizontal="center" vertical="center"/>
    </xf>
    <xf numFmtId="37" fontId="4" fillId="3" borderId="1" xfId="0" applyNumberFormat="1" applyFont="1" applyFill="1" applyBorder="1" applyAlignment="1">
      <alignment horizontal="center" vertical="center"/>
    </xf>
    <xf numFmtId="0" fontId="4" fillId="0" borderId="15" xfId="0" applyNumberFormat="1" applyFont="1" applyBorder="1" applyAlignment="1">
      <alignment horizontal="center"/>
    </xf>
    <xf numFmtId="0" fontId="0" fillId="0" borderId="0" xfId="0"/>
    <xf numFmtId="4" fontId="4" fillId="3" borderId="6" xfId="0" applyNumberFormat="1" applyFont="1" applyFill="1" applyBorder="1" applyAlignment="1">
      <alignment vertical="center"/>
    </xf>
    <xf numFmtId="4" fontId="4" fillId="3" borderId="17" xfId="0" applyNumberFormat="1" applyFont="1" applyFill="1" applyBorder="1" applyAlignment="1">
      <alignment vertical="center"/>
    </xf>
    <xf numFmtId="4" fontId="2" fillId="2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4" fontId="5" fillId="2" borderId="1" xfId="0" quotePrefix="1" applyNumberFormat="1" applyFont="1" applyFill="1" applyBorder="1" applyAlignment="1">
      <alignment horizontal="center" vertical="center"/>
    </xf>
    <xf numFmtId="172" fontId="4" fillId="7" borderId="5" xfId="0" applyNumberFormat="1" applyFont="1" applyFill="1" applyBorder="1" applyAlignment="1" applyProtection="1">
      <alignment horizontal="right" vertical="center"/>
      <protection locked="0"/>
    </xf>
    <xf numFmtId="0" fontId="19" fillId="3" borderId="0" xfId="0" applyFont="1" applyFill="1" applyAlignment="1" applyProtection="1">
      <alignment vertical="center"/>
    </xf>
    <xf numFmtId="0" fontId="18" fillId="3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7" fillId="3" borderId="0" xfId="0" applyFont="1" applyFill="1" applyAlignment="1" applyProtection="1">
      <alignment vertical="center"/>
    </xf>
    <xf numFmtId="0" fontId="17" fillId="0" borderId="0" xfId="0" applyFont="1" applyFill="1" applyAlignment="1" applyProtection="1">
      <alignment vertical="center"/>
    </xf>
    <xf numFmtId="0" fontId="17" fillId="8" borderId="1" xfId="0" applyFont="1" applyFill="1" applyBorder="1" applyAlignment="1" applyProtection="1">
      <alignment horizontal="center" vertical="center"/>
    </xf>
    <xf numFmtId="0" fontId="17" fillId="8" borderId="1" xfId="0" applyFont="1" applyFill="1" applyBorder="1" applyAlignment="1" applyProtection="1">
      <alignment vertical="center"/>
    </xf>
    <xf numFmtId="0" fontId="4" fillId="7" borderId="5" xfId="0" applyFont="1" applyFill="1" applyBorder="1" applyAlignment="1" applyProtection="1">
      <alignment horizontal="center" vertical="center"/>
    </xf>
    <xf numFmtId="0" fontId="4" fillId="7" borderId="27" xfId="0" applyFont="1" applyFill="1" applyBorder="1" applyAlignment="1" applyProtection="1">
      <alignment vertical="center"/>
    </xf>
    <xf numFmtId="0" fontId="4" fillId="7" borderId="9" xfId="0" applyFont="1" applyFill="1" applyBorder="1" applyAlignment="1" applyProtection="1">
      <alignment horizontal="center" vertical="center"/>
    </xf>
    <xf numFmtId="0" fontId="4" fillId="7" borderId="22" xfId="0" applyFont="1" applyFill="1" applyBorder="1" applyAlignment="1" applyProtection="1">
      <alignment vertical="center"/>
    </xf>
    <xf numFmtId="0" fontId="4" fillId="7" borderId="23" xfId="0" applyFont="1" applyFill="1" applyBorder="1" applyAlignment="1" applyProtection="1">
      <alignment vertical="center"/>
    </xf>
    <xf numFmtId="0" fontId="4" fillId="7" borderId="11" xfId="0" applyFont="1" applyFill="1" applyBorder="1" applyAlignment="1" applyProtection="1">
      <alignment vertical="center"/>
    </xf>
    <xf numFmtId="0" fontId="4" fillId="7" borderId="6" xfId="0" applyFont="1" applyFill="1" applyBorder="1" applyAlignment="1" applyProtection="1">
      <alignment horizontal="center" vertical="center"/>
    </xf>
    <xf numFmtId="0" fontId="4" fillId="7" borderId="32" xfId="0" applyFont="1" applyFill="1" applyBorder="1" applyAlignment="1" applyProtection="1">
      <alignment vertical="center"/>
    </xf>
    <xf numFmtId="0" fontId="4" fillId="7" borderId="33" xfId="0" applyFont="1" applyFill="1" applyBorder="1" applyAlignment="1" applyProtection="1">
      <alignment vertical="center"/>
    </xf>
    <xf numFmtId="0" fontId="4" fillId="7" borderId="31" xfId="0" applyFont="1" applyFill="1" applyBorder="1" applyAlignment="1" applyProtection="1">
      <alignment vertical="center"/>
    </xf>
    <xf numFmtId="0" fontId="4" fillId="7" borderId="6" xfId="0" applyFont="1" applyFill="1" applyBorder="1" applyAlignment="1" applyProtection="1">
      <alignment vertical="center"/>
    </xf>
    <xf numFmtId="0" fontId="4" fillId="7" borderId="5" xfId="0" applyFont="1" applyFill="1" applyBorder="1" applyAlignment="1" applyProtection="1">
      <alignment vertical="center"/>
    </xf>
    <xf numFmtId="10" fontId="4" fillId="7" borderId="9" xfId="0" applyNumberFormat="1" applyFont="1" applyFill="1" applyBorder="1" applyAlignment="1" applyProtection="1">
      <alignment horizontal="center" vertical="center"/>
    </xf>
    <xf numFmtId="10" fontId="4" fillId="7" borderId="9" xfId="0" applyNumberFormat="1" applyFont="1" applyFill="1" applyBorder="1" applyAlignment="1" applyProtection="1">
      <alignment vertical="center"/>
    </xf>
    <xf numFmtId="167" fontId="4" fillId="7" borderId="5" xfId="1" applyNumberFormat="1" applyFont="1" applyFill="1" applyBorder="1" applyAlignment="1" applyProtection="1">
      <alignment vertical="center"/>
    </xf>
    <xf numFmtId="10" fontId="4" fillId="7" borderId="5" xfId="0" applyNumberFormat="1" applyFont="1" applyFill="1" applyBorder="1" applyAlignment="1" applyProtection="1">
      <alignment vertical="center"/>
    </xf>
    <xf numFmtId="166" fontId="4" fillId="7" borderId="5" xfId="0" applyNumberFormat="1" applyFont="1" applyFill="1" applyBorder="1" applyAlignment="1" applyProtection="1">
      <alignment vertical="center"/>
    </xf>
    <xf numFmtId="0" fontId="4" fillId="7" borderId="12" xfId="0" applyFont="1" applyFill="1" applyBorder="1" applyAlignment="1" applyProtection="1">
      <alignment vertical="center"/>
    </xf>
    <xf numFmtId="0" fontId="4" fillId="7" borderId="2" xfId="0" applyFont="1" applyFill="1" applyBorder="1" applyAlignment="1" applyProtection="1">
      <alignment vertical="center"/>
    </xf>
    <xf numFmtId="0" fontId="4" fillId="7" borderId="3" xfId="0" applyFont="1" applyFill="1" applyBorder="1" applyAlignment="1" applyProtection="1">
      <alignment vertical="center"/>
    </xf>
    <xf numFmtId="0" fontId="4" fillId="7" borderId="4" xfId="0" applyFont="1" applyFill="1" applyBorder="1" applyAlignment="1" applyProtection="1">
      <alignment vertical="center"/>
    </xf>
    <xf numFmtId="0" fontId="3" fillId="7" borderId="1" xfId="0" applyFont="1" applyFill="1" applyBorder="1" applyAlignment="1" applyProtection="1">
      <alignment horizontal="center" vertical="center"/>
    </xf>
    <xf numFmtId="167" fontId="4" fillId="7" borderId="1" xfId="0" applyNumberFormat="1" applyFont="1" applyFill="1" applyBorder="1" applyAlignment="1" applyProtection="1">
      <alignment vertical="center"/>
    </xf>
    <xf numFmtId="10" fontId="4" fillId="7" borderId="1" xfId="0" applyNumberFormat="1" applyFont="1" applyFill="1" applyBorder="1" applyAlignment="1" applyProtection="1">
      <alignment vertical="center"/>
    </xf>
    <xf numFmtId="10" fontId="4" fillId="7" borderId="12" xfId="2" applyNumberFormat="1" applyFont="1" applyFill="1" applyBorder="1" applyAlignment="1" applyProtection="1">
      <alignment vertical="center"/>
    </xf>
    <xf numFmtId="0" fontId="4" fillId="7" borderId="3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vertical="center"/>
    </xf>
    <xf numFmtId="0" fontId="17" fillId="8" borderId="3" xfId="0" applyFont="1" applyFill="1" applyBorder="1" applyAlignment="1" applyProtection="1">
      <alignment vertical="center"/>
    </xf>
    <xf numFmtId="0" fontId="4" fillId="7" borderId="19" xfId="0" applyFont="1" applyFill="1" applyBorder="1" applyAlignment="1" applyProtection="1">
      <alignment vertical="center"/>
    </xf>
    <xf numFmtId="0" fontId="11" fillId="7" borderId="13" xfId="0" applyFont="1" applyFill="1" applyBorder="1" applyAlignment="1" applyProtection="1">
      <alignment vertical="center"/>
    </xf>
    <xf numFmtId="0" fontId="4" fillId="7" borderId="15" xfId="0" applyFont="1" applyFill="1" applyBorder="1" applyAlignment="1" applyProtection="1">
      <alignment vertical="center"/>
    </xf>
    <xf numFmtId="0" fontId="4" fillId="7" borderId="34" xfId="0" applyFont="1" applyFill="1" applyBorder="1" applyAlignment="1" applyProtection="1">
      <alignment vertical="center"/>
    </xf>
    <xf numFmtId="0" fontId="11" fillId="7" borderId="35" xfId="0" applyFont="1" applyFill="1" applyBorder="1" applyAlignment="1" applyProtection="1">
      <alignment vertical="center"/>
    </xf>
    <xf numFmtId="0" fontId="4" fillId="7" borderId="8" xfId="0" applyFont="1" applyFill="1" applyBorder="1" applyAlignment="1" applyProtection="1">
      <alignment vertical="center"/>
    </xf>
    <xf numFmtId="0" fontId="11" fillId="7" borderId="23" xfId="0" applyFont="1" applyFill="1" applyBorder="1" applyAlignment="1" applyProtection="1">
      <alignment vertical="center"/>
    </xf>
    <xf numFmtId="0" fontId="11" fillId="7" borderId="33" xfId="0" applyFont="1" applyFill="1" applyBorder="1" applyAlignment="1" applyProtection="1">
      <alignment vertical="center"/>
    </xf>
    <xf numFmtId="0" fontId="17" fillId="8" borderId="19" xfId="0" applyFont="1" applyFill="1" applyBorder="1" applyAlignment="1" applyProtection="1">
      <alignment vertical="center"/>
    </xf>
    <xf numFmtId="0" fontId="17" fillId="8" borderId="13" xfId="0" applyFont="1" applyFill="1" applyBorder="1" applyAlignment="1" applyProtection="1">
      <alignment vertical="center"/>
    </xf>
    <xf numFmtId="0" fontId="17" fillId="8" borderId="14" xfId="0" applyFont="1" applyFill="1" applyBorder="1" applyAlignment="1" applyProtection="1">
      <alignment vertical="center"/>
    </xf>
    <xf numFmtId="0" fontId="4" fillId="7" borderId="23" xfId="0" applyFont="1" applyFill="1" applyBorder="1" applyAlignment="1" applyProtection="1">
      <alignment vertical="center"/>
      <protection locked="0"/>
    </xf>
    <xf numFmtId="0" fontId="4" fillId="7" borderId="23" xfId="0" quotePrefix="1" applyFont="1" applyFill="1" applyBorder="1" applyAlignment="1" applyProtection="1">
      <alignment horizontal="center" vertical="center"/>
      <protection locked="0"/>
    </xf>
    <xf numFmtId="172" fontId="4" fillId="7" borderId="11" xfId="0" applyNumberFormat="1" applyFont="1" applyFill="1" applyBorder="1" applyAlignment="1" applyProtection="1">
      <alignment vertical="center"/>
      <protection locked="0"/>
    </xf>
    <xf numFmtId="0" fontId="5" fillId="4" borderId="5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9" xfId="0" applyFont="1" applyFill="1" applyBorder="1" applyAlignment="1">
      <alignment vertical="center"/>
    </xf>
    <xf numFmtId="0" fontId="4" fillId="0" borderId="9" xfId="0" applyFont="1" applyBorder="1"/>
    <xf numFmtId="0" fontId="9" fillId="2" borderId="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169" fontId="5" fillId="2" borderId="9" xfId="0" applyNumberFormat="1" applyFont="1" applyFill="1" applyBorder="1" applyAlignment="1">
      <alignment horizontal="center" vertical="center"/>
    </xf>
    <xf numFmtId="10" fontId="5" fillId="2" borderId="9" xfId="0" applyNumberFormat="1" applyFont="1" applyFill="1" applyBorder="1" applyAlignment="1">
      <alignment horizontal="right" vertical="center"/>
    </xf>
    <xf numFmtId="0" fontId="17" fillId="0" borderId="0" xfId="0" applyFont="1"/>
    <xf numFmtId="0" fontId="4" fillId="0" borderId="0" xfId="0" applyFont="1" applyAlignment="1"/>
    <xf numFmtId="0" fontId="15" fillId="0" borderId="0" xfId="0" applyFont="1"/>
    <xf numFmtId="0" fontId="44" fillId="0" borderId="15" xfId="0" applyFont="1" applyBorder="1" applyAlignment="1">
      <alignment horizontal="center"/>
    </xf>
    <xf numFmtId="0" fontId="44" fillId="0" borderId="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44" fillId="0" borderId="17" xfId="0" applyFont="1" applyBorder="1" applyAlignment="1">
      <alignment horizontal="center" vertical="center"/>
    </xf>
    <xf numFmtId="0" fontId="44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0" borderId="5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right" vertical="center"/>
    </xf>
    <xf numFmtId="167" fontId="4" fillId="0" borderId="5" xfId="0" applyNumberFormat="1" applyFont="1" applyBorder="1" applyAlignment="1">
      <alignment horizontal="right" vertical="center"/>
    </xf>
    <xf numFmtId="0" fontId="17" fillId="0" borderId="5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right" vertical="center"/>
    </xf>
    <xf numFmtId="167" fontId="4" fillId="0" borderId="9" xfId="0" applyNumberFormat="1" applyFont="1" applyBorder="1" applyAlignment="1">
      <alignment horizontal="right" vertical="center"/>
    </xf>
    <xf numFmtId="0" fontId="17" fillId="0" borderId="9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10" fontId="4" fillId="0" borderId="31" xfId="0" applyNumberFormat="1" applyFont="1" applyBorder="1" applyAlignment="1">
      <alignment horizontal="right" vertical="center"/>
    </xf>
    <xf numFmtId="10" fontId="4" fillId="0" borderId="12" xfId="0" applyNumberFormat="1" applyFont="1" applyBorder="1" applyAlignment="1">
      <alignment horizontal="right" vertical="center"/>
    </xf>
    <xf numFmtId="10" fontId="17" fillId="0" borderId="12" xfId="0" applyNumberFormat="1" applyFont="1" applyBorder="1" applyAlignment="1">
      <alignment horizontal="center"/>
    </xf>
    <xf numFmtId="10" fontId="17" fillId="0" borderId="12" xfId="2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37" fontId="16" fillId="0" borderId="0" xfId="0" applyNumberFormat="1" applyFont="1" applyAlignment="1">
      <alignment horizontal="center"/>
    </xf>
    <xf numFmtId="0" fontId="11" fillId="3" borderId="9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3" fontId="4" fillId="0" borderId="1" xfId="0" applyNumberFormat="1" applyFont="1" applyBorder="1"/>
    <xf numFmtId="0" fontId="16" fillId="0" borderId="0" xfId="0" applyFont="1"/>
    <xf numFmtId="10" fontId="17" fillId="0" borderId="5" xfId="0" applyNumberFormat="1" applyFont="1" applyBorder="1" applyAlignment="1">
      <alignment horizontal="center"/>
    </xf>
    <xf numFmtId="0" fontId="16" fillId="0" borderId="13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7" fillId="0" borderId="28" xfId="0" applyFont="1" applyBorder="1"/>
    <xf numFmtId="0" fontId="16" fillId="0" borderId="18" xfId="0" applyFont="1" applyBorder="1" applyAlignment="1">
      <alignment vertical="center"/>
    </xf>
    <xf numFmtId="0" fontId="16" fillId="0" borderId="2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3" fillId="0" borderId="0" xfId="0" applyFont="1" applyAlignment="1"/>
    <xf numFmtId="10" fontId="5" fillId="2" borderId="5" xfId="2" applyNumberFormat="1" applyFont="1" applyFill="1" applyBorder="1" applyAlignment="1">
      <alignment horizontal="right" vertical="center"/>
    </xf>
    <xf numFmtId="10" fontId="5" fillId="2" borderId="9" xfId="2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center" vertical="center"/>
    </xf>
    <xf numFmtId="0" fontId="5" fillId="0" borderId="5" xfId="3" applyFont="1" applyFill="1" applyBorder="1" applyAlignment="1">
      <alignment horizontal="center" vertical="center"/>
    </xf>
    <xf numFmtId="0" fontId="5" fillId="0" borderId="9" xfId="3" applyFont="1" applyFill="1" applyBorder="1" applyAlignment="1">
      <alignment horizontal="center" vertical="center"/>
    </xf>
    <xf numFmtId="0" fontId="5" fillId="0" borderId="12" xfId="3" applyFont="1" applyFill="1" applyBorder="1" applyAlignment="1">
      <alignment horizontal="center" vertical="center"/>
    </xf>
    <xf numFmtId="3" fontId="46" fillId="3" borderId="9" xfId="0" applyNumberFormat="1" applyFont="1" applyFill="1" applyBorder="1" applyAlignment="1">
      <alignment vertical="center"/>
    </xf>
    <xf numFmtId="10" fontId="46" fillId="0" borderId="12" xfId="0" applyNumberFormat="1" applyFont="1" applyBorder="1" applyAlignment="1">
      <alignment horizontal="right" vertical="center"/>
    </xf>
    <xf numFmtId="170" fontId="46" fillId="3" borderId="10" xfId="0" applyNumberFormat="1" applyFont="1" applyFill="1" applyBorder="1" applyAlignment="1">
      <alignment horizontal="right" vertical="center"/>
    </xf>
    <xf numFmtId="166" fontId="0" fillId="0" borderId="0" xfId="0" applyNumberFormat="1"/>
    <xf numFmtId="0" fontId="5" fillId="0" borderId="5" xfId="3" applyFont="1" applyFill="1" applyBorder="1" applyAlignment="1">
      <alignment horizontal="center" vertical="center" wrapText="1"/>
    </xf>
    <xf numFmtId="0" fontId="5" fillId="0" borderId="9" xfId="3" applyFont="1" applyFill="1" applyBorder="1" applyAlignment="1">
      <alignment horizontal="center" vertical="center" wrapText="1"/>
    </xf>
    <xf numFmtId="0" fontId="5" fillId="0" borderId="12" xfId="3" applyFont="1" applyFill="1" applyBorder="1" applyAlignment="1">
      <alignment horizontal="center" vertical="center" wrapText="1"/>
    </xf>
    <xf numFmtId="37" fontId="4" fillId="3" borderId="12" xfId="1" applyNumberFormat="1" applyFont="1" applyFill="1" applyBorder="1" applyAlignment="1">
      <alignment horizontal="center" vertical="center"/>
    </xf>
    <xf numFmtId="170" fontId="46" fillId="3" borderId="8" xfId="0" applyNumberFormat="1" applyFont="1" applyFill="1" applyBorder="1" applyAlignment="1">
      <alignment horizontal="right" vertical="center"/>
    </xf>
    <xf numFmtId="3" fontId="17" fillId="0" borderId="0" xfId="0" applyNumberFormat="1" applyFont="1"/>
    <xf numFmtId="167" fontId="5" fillId="2" borderId="5" xfId="0" applyNumberFormat="1" applyFont="1" applyFill="1" applyBorder="1" applyAlignment="1">
      <alignment horizontal="right" vertical="center"/>
    </xf>
    <xf numFmtId="1" fontId="4" fillId="3" borderId="5" xfId="1" applyNumberFormat="1" applyFont="1" applyFill="1" applyBorder="1" applyAlignment="1">
      <alignment horizontal="center" vertical="center"/>
    </xf>
    <xf numFmtId="1" fontId="4" fillId="3" borderId="9" xfId="1" applyNumberFormat="1" applyFont="1" applyFill="1" applyBorder="1" applyAlignment="1">
      <alignment horizontal="center" vertical="center"/>
    </xf>
    <xf numFmtId="1" fontId="4" fillId="3" borderId="12" xfId="1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3" fontId="4" fillId="0" borderId="0" xfId="0" applyNumberFormat="1" applyFont="1"/>
    <xf numFmtId="176" fontId="4" fillId="0" borderId="0" xfId="0" applyNumberFormat="1" applyFont="1"/>
    <xf numFmtId="10" fontId="4" fillId="0" borderId="0" xfId="2" applyNumberFormat="1" applyFont="1"/>
    <xf numFmtId="170" fontId="46" fillId="3" borderId="9" xfId="0" applyNumberFormat="1" applyFont="1" applyFill="1" applyBorder="1" applyAlignment="1">
      <alignment horizontal="right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17" fillId="0" borderId="0" xfId="0" applyFont="1"/>
    <xf numFmtId="0" fontId="4" fillId="0" borderId="0" xfId="0" applyFont="1"/>
    <xf numFmtId="1" fontId="4" fillId="0" borderId="5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0" fontId="17" fillId="0" borderId="0" xfId="0" applyFont="1"/>
    <xf numFmtId="0" fontId="4" fillId="0" borderId="0" xfId="0" applyFont="1"/>
    <xf numFmtId="0" fontId="4" fillId="0" borderId="22" xfId="0" applyFont="1" applyBorder="1" applyAlignment="1"/>
    <xf numFmtId="0" fontId="4" fillId="0" borderId="23" xfId="0" applyFont="1" applyBorder="1" applyAlignment="1"/>
    <xf numFmtId="0" fontId="4" fillId="0" borderId="11" xfId="0" applyFont="1" applyBorder="1" applyAlignment="1"/>
    <xf numFmtId="0" fontId="15" fillId="0" borderId="19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3" borderId="19" xfId="0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5" fillId="2" borderId="26" xfId="0" applyFont="1" applyFill="1" applyBorder="1" applyAlignment="1">
      <alignment horizontal="left" vertical="center"/>
    </xf>
    <xf numFmtId="0" fontId="4" fillId="0" borderId="2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168" fontId="5" fillId="2" borderId="19" xfId="0" applyNumberFormat="1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3" borderId="22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5" fillId="0" borderId="22" xfId="4" applyFont="1" applyBorder="1" applyAlignment="1">
      <alignment horizontal="left" vertical="center"/>
    </xf>
    <xf numFmtId="0" fontId="5" fillId="0" borderId="23" xfId="4" applyFont="1" applyBorder="1" applyAlignment="1">
      <alignment horizontal="left" vertical="center"/>
    </xf>
    <xf numFmtId="0" fontId="5" fillId="0" borderId="11" xfId="4" applyFont="1" applyBorder="1" applyAlignment="1">
      <alignment horizontal="left" vertical="center"/>
    </xf>
    <xf numFmtId="0" fontId="4" fillId="3" borderId="9" xfId="0" applyFont="1" applyFill="1" applyBorder="1" applyAlignment="1">
      <alignment vertical="center"/>
    </xf>
    <xf numFmtId="0" fontId="4" fillId="0" borderId="9" xfId="0" applyFont="1" applyBorder="1"/>
    <xf numFmtId="0" fontId="11" fillId="3" borderId="6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/>
    <xf numFmtId="0" fontId="4" fillId="3" borderId="15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3" fillId="3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3" fillId="0" borderId="18" xfId="0" applyFont="1" applyBorder="1"/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/>
    <xf numFmtId="0" fontId="3" fillId="3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4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4" fillId="0" borderId="0" xfId="0" applyFont="1"/>
    <xf numFmtId="0" fontId="3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45" fillId="0" borderId="9" xfId="0" applyFont="1" applyBorder="1" applyAlignment="1">
      <alignment horizontal="left" vertical="center"/>
    </xf>
    <xf numFmtId="0" fontId="5" fillId="0" borderId="22" xfId="4" applyFont="1" applyFill="1" applyBorder="1" applyAlignment="1">
      <alignment horizontal="left" vertical="center"/>
    </xf>
    <xf numFmtId="0" fontId="5" fillId="0" borderId="23" xfId="4" applyFont="1" applyFill="1" applyBorder="1" applyAlignment="1">
      <alignment horizontal="left" vertical="center"/>
    </xf>
    <xf numFmtId="0" fontId="5" fillId="0" borderId="11" xfId="4" applyFont="1" applyFill="1" applyBorder="1" applyAlignment="1">
      <alignment horizontal="left" vertical="center"/>
    </xf>
    <xf numFmtId="0" fontId="4" fillId="0" borderId="5" xfId="0" applyFont="1" applyBorder="1" applyAlignment="1"/>
    <xf numFmtId="0" fontId="45" fillId="0" borderId="5" xfId="0" applyFont="1" applyBorder="1" applyAlignment="1"/>
    <xf numFmtId="0" fontId="5" fillId="0" borderId="22" xfId="4" applyFont="1" applyFill="1" applyBorder="1" applyAlignment="1">
      <alignment horizontal="left" vertical="center" wrapText="1"/>
    </xf>
    <xf numFmtId="0" fontId="5" fillId="0" borderId="23" xfId="4" applyFont="1" applyFill="1" applyBorder="1" applyAlignment="1">
      <alignment horizontal="left" vertical="center" wrapText="1"/>
    </xf>
    <xf numFmtId="0" fontId="5" fillId="0" borderId="11" xfId="4" applyFont="1" applyFill="1" applyBorder="1" applyAlignment="1">
      <alignment horizontal="left" vertical="center" wrapText="1"/>
    </xf>
    <xf numFmtId="0" fontId="4" fillId="0" borderId="9" xfId="0" applyFont="1" applyBorder="1" applyAlignment="1"/>
    <xf numFmtId="0" fontId="45" fillId="0" borderId="9" xfId="0" applyFont="1" applyBorder="1" applyAlignment="1"/>
    <xf numFmtId="0" fontId="4" fillId="3" borderId="32" xfId="0" applyFont="1" applyFill="1" applyBorder="1" applyAlignment="1">
      <alignment horizontal="left" vertical="center"/>
    </xf>
    <xf numFmtId="0" fontId="4" fillId="3" borderId="33" xfId="0" applyFont="1" applyFill="1" applyBorder="1" applyAlignment="1">
      <alignment horizontal="left" vertical="center"/>
    </xf>
    <xf numFmtId="0" fontId="4" fillId="3" borderId="31" xfId="0" applyFont="1" applyFill="1" applyBorder="1" applyAlignment="1">
      <alignment horizontal="left" vertical="center"/>
    </xf>
    <xf numFmtId="0" fontId="4" fillId="0" borderId="22" xfId="0" applyFont="1" applyBorder="1" applyAlignment="1"/>
    <xf numFmtId="0" fontId="4" fillId="0" borderId="23" xfId="0" applyFont="1" applyBorder="1" applyAlignment="1"/>
    <xf numFmtId="0" fontId="4" fillId="0" borderId="11" xfId="0" applyFont="1" applyBorder="1" applyAlignment="1"/>
    <xf numFmtId="0" fontId="4" fillId="0" borderId="32" xfId="0" applyFont="1" applyBorder="1" applyAlignment="1"/>
    <xf numFmtId="0" fontId="4" fillId="0" borderId="33" xfId="0" applyFont="1" applyBorder="1" applyAlignment="1"/>
    <xf numFmtId="0" fontId="4" fillId="0" borderId="31" xfId="0" applyFont="1" applyBorder="1" applyAlignment="1"/>
    <xf numFmtId="0" fontId="45" fillId="0" borderId="5" xfId="0" applyFont="1" applyBorder="1"/>
    <xf numFmtId="0" fontId="45" fillId="0" borderId="9" xfId="0" applyFont="1" applyBorder="1"/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3" borderId="26" xfId="0" applyFont="1" applyFill="1" applyBorder="1" applyAlignment="1">
      <alignment horizontal="left" vertical="center"/>
    </xf>
    <xf numFmtId="0" fontId="4" fillId="3" borderId="2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11" fillId="3" borderId="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horizontal="left" vertical="center"/>
    </xf>
    <xf numFmtId="4" fontId="4" fillId="7" borderId="22" xfId="0" applyNumberFormat="1" applyFont="1" applyFill="1" applyBorder="1" applyAlignment="1" applyProtection="1">
      <alignment horizontal="center" vertical="center"/>
    </xf>
    <xf numFmtId="4" fontId="4" fillId="7" borderId="23" xfId="0" applyNumberFormat="1" applyFont="1" applyFill="1" applyBorder="1" applyAlignment="1" applyProtection="1">
      <alignment horizontal="center" vertical="center"/>
    </xf>
    <xf numFmtId="4" fontId="4" fillId="7" borderId="32" xfId="0" applyNumberFormat="1" applyFont="1" applyFill="1" applyBorder="1" applyAlignment="1" applyProtection="1">
      <alignment horizontal="center" vertical="center"/>
    </xf>
    <xf numFmtId="4" fontId="4" fillId="7" borderId="31" xfId="0" applyNumberFormat="1" applyFont="1" applyFill="1" applyBorder="1" applyAlignment="1" applyProtection="1">
      <alignment horizontal="center" vertical="center"/>
    </xf>
    <xf numFmtId="4" fontId="4" fillId="7" borderId="34" xfId="0" applyNumberFormat="1" applyFont="1" applyFill="1" applyBorder="1" applyAlignment="1" applyProtection="1">
      <alignment horizontal="center" vertical="center"/>
    </xf>
    <xf numFmtId="4" fontId="4" fillId="7" borderId="10" xfId="0" applyNumberFormat="1" applyFont="1" applyFill="1" applyBorder="1" applyAlignment="1" applyProtection="1">
      <alignment horizontal="center" vertical="center"/>
    </xf>
    <xf numFmtId="4" fontId="4" fillId="7" borderId="19" xfId="0" applyNumberFormat="1" applyFont="1" applyFill="1" applyBorder="1" applyAlignment="1" applyProtection="1">
      <alignment horizontal="center" vertical="center"/>
    </xf>
    <xf numFmtId="4" fontId="4" fillId="7" borderId="13" xfId="0" applyNumberFormat="1" applyFont="1" applyFill="1" applyBorder="1" applyAlignment="1" applyProtection="1">
      <alignment horizontal="center" vertical="center"/>
    </xf>
    <xf numFmtId="4" fontId="4" fillId="7" borderId="14" xfId="0" applyNumberFormat="1" applyFont="1" applyFill="1" applyBorder="1" applyAlignment="1" applyProtection="1">
      <alignment horizontal="center" vertical="center"/>
    </xf>
    <xf numFmtId="4" fontId="4" fillId="7" borderId="33" xfId="0" applyNumberFormat="1" applyFont="1" applyFill="1" applyBorder="1" applyAlignment="1" applyProtection="1">
      <alignment horizontal="center" vertical="center"/>
    </xf>
    <xf numFmtId="4" fontId="4" fillId="7" borderId="11" xfId="0" applyNumberFormat="1" applyFont="1" applyFill="1" applyBorder="1" applyAlignment="1" applyProtection="1">
      <alignment horizontal="center" vertical="center"/>
    </xf>
    <xf numFmtId="0" fontId="17" fillId="8" borderId="1" xfId="0" applyFont="1" applyFill="1" applyBorder="1" applyAlignment="1" applyProtection="1">
      <alignment horizontal="center" vertical="center"/>
    </xf>
    <xf numFmtId="4" fontId="4" fillId="7" borderId="35" xfId="0" applyNumberFormat="1" applyFont="1" applyFill="1" applyBorder="1" applyAlignment="1" applyProtection="1">
      <alignment horizontal="center" vertical="center"/>
    </xf>
    <xf numFmtId="2" fontId="4" fillId="7" borderId="26" xfId="0" applyNumberFormat="1" applyFont="1" applyFill="1" applyBorder="1" applyAlignment="1" applyProtection="1">
      <alignment horizontal="center" vertical="center"/>
    </xf>
    <xf numFmtId="2" fontId="4" fillId="7" borderId="27" xfId="0" applyNumberFormat="1" applyFont="1" applyFill="1" applyBorder="1" applyAlignment="1" applyProtection="1">
      <alignment horizontal="center" vertical="center"/>
    </xf>
    <xf numFmtId="0" fontId="4" fillId="7" borderId="23" xfId="0" applyFont="1" applyFill="1" applyBorder="1" applyAlignment="1" applyProtection="1">
      <alignment horizontal="left" vertical="center"/>
    </xf>
    <xf numFmtId="0" fontId="4" fillId="7" borderId="11" xfId="0" applyFont="1" applyFill="1" applyBorder="1" applyAlignment="1" applyProtection="1">
      <alignment horizontal="left" vertical="center"/>
    </xf>
    <xf numFmtId="0" fontId="4" fillId="7" borderId="33" xfId="0" applyFont="1" applyFill="1" applyBorder="1" applyAlignment="1" applyProtection="1">
      <alignment horizontal="left" vertical="center"/>
    </xf>
    <xf numFmtId="0" fontId="4" fillId="7" borderId="31" xfId="0" applyFont="1" applyFill="1" applyBorder="1" applyAlignment="1" applyProtection="1">
      <alignment horizontal="left" vertical="center"/>
    </xf>
    <xf numFmtId="0" fontId="20" fillId="8" borderId="19" xfId="0" applyFont="1" applyFill="1" applyBorder="1" applyAlignment="1" applyProtection="1">
      <alignment horizontal="center" vertical="center"/>
    </xf>
    <xf numFmtId="0" fontId="20" fillId="8" borderId="13" xfId="0" applyFont="1" applyFill="1" applyBorder="1" applyAlignment="1" applyProtection="1">
      <alignment horizontal="center" vertical="center"/>
    </xf>
    <xf numFmtId="0" fontId="20" fillId="8" borderId="14" xfId="0" applyFont="1" applyFill="1" applyBorder="1" applyAlignment="1" applyProtection="1">
      <alignment horizontal="center" vertical="center"/>
    </xf>
    <xf numFmtId="17" fontId="21" fillId="8" borderId="20" xfId="0" applyNumberFormat="1" applyFont="1" applyFill="1" applyBorder="1" applyAlignment="1" applyProtection="1">
      <alignment horizontal="center" vertical="center"/>
      <protection locked="0"/>
    </xf>
    <xf numFmtId="17" fontId="21" fillId="8" borderId="21" xfId="0" applyNumberFormat="1" applyFont="1" applyFill="1" applyBorder="1" applyAlignment="1" applyProtection="1">
      <alignment horizontal="center" vertical="center"/>
      <protection locked="0"/>
    </xf>
    <xf numFmtId="17" fontId="21" fillId="8" borderId="25" xfId="0" applyNumberFormat="1" applyFont="1" applyFill="1" applyBorder="1" applyAlignment="1" applyProtection="1">
      <alignment horizontal="center" vertical="center"/>
      <protection locked="0"/>
    </xf>
    <xf numFmtId="0" fontId="17" fillId="8" borderId="1" xfId="0" applyFont="1" applyFill="1" applyBorder="1" applyAlignment="1" applyProtection="1">
      <alignment horizontal="center" vertical="center"/>
      <protection locked="0"/>
    </xf>
    <xf numFmtId="0" fontId="17" fillId="8" borderId="2" xfId="0" applyFont="1" applyFill="1" applyBorder="1" applyAlignment="1" applyProtection="1">
      <alignment horizontal="center" vertical="center"/>
    </xf>
    <xf numFmtId="0" fontId="17" fillId="8" borderId="3" xfId="0" applyFont="1" applyFill="1" applyBorder="1" applyAlignment="1" applyProtection="1">
      <alignment horizontal="center" vertical="center"/>
    </xf>
    <xf numFmtId="0" fontId="17" fillId="8" borderId="4" xfId="0" applyFont="1" applyFill="1" applyBorder="1" applyAlignment="1" applyProtection="1">
      <alignment horizontal="center" vertical="center"/>
    </xf>
    <xf numFmtId="0" fontId="4" fillId="7" borderId="2" xfId="0" applyFont="1" applyFill="1" applyBorder="1" applyAlignment="1" applyProtection="1">
      <alignment horizontal="center" vertical="center"/>
    </xf>
    <xf numFmtId="0" fontId="4" fillId="7" borderId="4" xfId="0" applyFont="1" applyFill="1" applyBorder="1" applyAlignment="1" applyProtection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</xf>
    <xf numFmtId="175" fontId="4" fillId="7" borderId="22" xfId="0" applyNumberFormat="1" applyFont="1" applyFill="1" applyBorder="1" applyAlignment="1" applyProtection="1">
      <alignment horizontal="right" vertical="center"/>
    </xf>
    <xf numFmtId="175" fontId="4" fillId="7" borderId="11" xfId="0" applyNumberFormat="1" applyFont="1" applyFill="1" applyBorder="1" applyAlignment="1" applyProtection="1">
      <alignment horizontal="right" vertical="center"/>
    </xf>
    <xf numFmtId="10" fontId="4" fillId="7" borderId="22" xfId="0" applyNumberFormat="1" applyFont="1" applyFill="1" applyBorder="1" applyAlignment="1" applyProtection="1">
      <alignment horizontal="right" vertical="center"/>
    </xf>
    <xf numFmtId="10" fontId="4" fillId="7" borderId="11" xfId="0" applyNumberFormat="1" applyFont="1" applyFill="1" applyBorder="1" applyAlignment="1" applyProtection="1">
      <alignment horizontal="right" vertical="center"/>
    </xf>
    <xf numFmtId="0" fontId="4" fillId="7" borderId="22" xfId="0" applyFont="1" applyFill="1" applyBorder="1" applyAlignment="1" applyProtection="1">
      <alignment horizontal="center" vertical="center"/>
    </xf>
    <xf numFmtId="0" fontId="4" fillId="7" borderId="11" xfId="0" applyFont="1" applyFill="1" applyBorder="1" applyAlignment="1" applyProtection="1">
      <alignment horizontal="center" vertical="center"/>
    </xf>
    <xf numFmtId="0" fontId="4" fillId="7" borderId="27" xfId="0" applyFont="1" applyFill="1" applyBorder="1" applyAlignment="1" applyProtection="1">
      <alignment horizontal="left" vertical="center"/>
    </xf>
    <xf numFmtId="0" fontId="4" fillId="7" borderId="7" xfId="0" applyFont="1" applyFill="1" applyBorder="1" applyAlignment="1" applyProtection="1">
      <alignment horizontal="left" vertical="center"/>
    </xf>
    <xf numFmtId="0" fontId="31" fillId="0" borderId="28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2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7" fillId="0" borderId="28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18" xfId="0" applyFont="1" applyBorder="1" applyAlignment="1">
      <alignment horizontal="left" vertical="center"/>
    </xf>
    <xf numFmtId="0" fontId="34" fillId="0" borderId="15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35" fillId="0" borderId="15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27" fillId="0" borderId="41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174" fontId="31" fillId="0" borderId="0" xfId="0" applyNumberFormat="1" applyFont="1" applyAlignment="1">
      <alignment horizontal="center"/>
    </xf>
    <xf numFmtId="174" fontId="31" fillId="0" borderId="18" xfId="0" applyNumberFormat="1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1" fillId="0" borderId="25" xfId="0" applyFont="1" applyBorder="1" applyAlignment="1">
      <alignment horizontal="center"/>
    </xf>
    <xf numFmtId="9" fontId="9" fillId="2" borderId="15" xfId="0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_Sheet1" xfId="4"/>
    <cellStyle name="Normal_Sheet30" xfId="3"/>
    <cellStyle name="Percent" xfId="2" builtinId="5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9F08"/>
      <color rgb="FFF7FCCC"/>
      <color rgb="FFF9F1D3"/>
      <color rgb="FFFEF9E6"/>
      <color rgb="FFCFAC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38350" cy="4762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10BD8F7D-4528-4036-BE3C-5C840D2F23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03835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180975</xdr:colOff>
      <xdr:row>2</xdr:row>
      <xdr:rowOff>94074</xdr:rowOff>
    </xdr:from>
    <xdr:ext cx="2371725" cy="334552"/>
    <xdr:pic>
      <xdr:nvPicPr>
        <xdr:cNvPr id="3" name="Picture 7" descr="head_letter_with_logo.jpg">
          <a:extLst>
            <a:ext uri="{FF2B5EF4-FFF2-40B4-BE49-F238E27FC236}">
              <a16:creationId xmlns:a16="http://schemas.microsoft.com/office/drawing/2014/main" xmlns="" id="{5A916B20-7B5B-4F03-9003-2A1903CB1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265524"/>
          <a:ext cx="2371725" cy="3345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38350" cy="4762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10BD8F7D-4528-4036-BE3C-5C840D2F23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203835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180975</xdr:colOff>
      <xdr:row>2</xdr:row>
      <xdr:rowOff>94074</xdr:rowOff>
    </xdr:from>
    <xdr:ext cx="2371725" cy="334552"/>
    <xdr:pic>
      <xdr:nvPicPr>
        <xdr:cNvPr id="3" name="Picture 7" descr="head_letter_with_logo.jpg">
          <a:extLst>
            <a:ext uri="{FF2B5EF4-FFF2-40B4-BE49-F238E27FC236}">
              <a16:creationId xmlns:a16="http://schemas.microsoft.com/office/drawing/2014/main" xmlns="" id="{5A916B20-7B5B-4F03-9003-2A1903CB1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265524"/>
          <a:ext cx="2371725" cy="3345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GS-Mechanic" refreshedDate="46048.328211111111" createdVersion="4" refreshedVersion="4" minRefreshableVersion="3" recordCount="60">
  <cacheSource type="worksheet">
    <worksheetSource ref="A1:E61" sheet="Rolled"/>
  </cacheSource>
  <cacheFields count="5">
    <cacheField name="Type" numFmtId="0">
      <sharedItems/>
    </cacheField>
    <cacheField name="Section" numFmtId="166">
      <sharedItems containsMixedTypes="1" containsNumber="1" minValue="0" maxValue="18" count="21">
        <s v="P.6"/>
        <n v="6.5"/>
        <n v="5.5"/>
        <s v="P.8"/>
        <s v="S.8"/>
        <s v="S.10"/>
        <s v="P.10"/>
        <s v="S.6"/>
        <n v="17"/>
        <n v="8.5"/>
        <n v="18"/>
        <n v="7.5"/>
        <n v="9.5"/>
        <n v="12"/>
        <n v="9"/>
        <n v="7"/>
        <n v="10"/>
        <n v="8"/>
        <n v="0"/>
        <n v="1" u="1"/>
        <n v="11" u="1"/>
      </sharedItems>
    </cacheField>
    <cacheField name="Grade" numFmtId="166">
      <sharedItems containsMixedTypes="1" containsNumber="1" containsInteger="1" minValue="0" maxValue="1045"/>
    </cacheField>
    <cacheField name="Coil" numFmtId="166">
      <sharedItems containsSemiMixedTypes="0" containsString="0" containsNumber="1" containsInteger="1" minValue="0" maxValue="1052"/>
    </cacheField>
    <cacheField name="Kg" numFmtId="166">
      <sharedItems containsSemiMixedTypes="0" containsString="0" containsNumber="1" containsInteger="1" minValue="0" maxValue="219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s v="WR"/>
    <x v="0"/>
    <s v="BjTPG280"/>
    <n v="239"/>
    <n v="497038"/>
  </r>
  <r>
    <s v="WR"/>
    <x v="1"/>
    <n v="8"/>
    <n v="180"/>
    <n v="377095"/>
  </r>
  <r>
    <s v="WR"/>
    <x v="1"/>
    <n v="10"/>
    <n v="48"/>
    <n v="99149"/>
  </r>
  <r>
    <s v="WR"/>
    <x v="1"/>
    <n v="15"/>
    <n v="6"/>
    <n v="12304"/>
  </r>
  <r>
    <s v="WR"/>
    <x v="2"/>
    <n v="6"/>
    <n v="995"/>
    <n v="2086453"/>
  </r>
  <r>
    <s v="WR"/>
    <x v="2"/>
    <s v="8.A"/>
    <n v="75"/>
    <n v="157414"/>
  </r>
  <r>
    <s v="WR"/>
    <x v="2"/>
    <s v="22.A"/>
    <n v="813"/>
    <n v="1694379"/>
  </r>
  <r>
    <s v="WR"/>
    <x v="2"/>
    <s v="Y.11"/>
    <n v="1052"/>
    <n v="2198500"/>
  </r>
  <r>
    <s v="WR"/>
    <x v="2"/>
    <s v="67.A"/>
    <n v="312"/>
    <n v="660228"/>
  </r>
  <r>
    <s v="WR"/>
    <x v="3"/>
    <s v="BjTPG280"/>
    <n v="240"/>
    <n v="499780"/>
  </r>
  <r>
    <s v="WR"/>
    <x v="4"/>
    <s v="BjTSG420"/>
    <n v="476"/>
    <n v="981350"/>
  </r>
  <r>
    <s v="WR"/>
    <x v="5"/>
    <s v="BjTSG420"/>
    <n v="292"/>
    <n v="602112"/>
  </r>
  <r>
    <s v="WR"/>
    <x v="2"/>
    <n v="8"/>
    <n v="480"/>
    <n v="1006478"/>
  </r>
  <r>
    <s v="WR"/>
    <x v="2"/>
    <s v="67.B"/>
    <n v="288"/>
    <n v="609307"/>
  </r>
  <r>
    <s v="WR"/>
    <x v="6"/>
    <s v="BjTPG280"/>
    <n v="287"/>
    <n v="595480"/>
  </r>
  <r>
    <s v="WR"/>
    <x v="7"/>
    <s v="BjTSG420"/>
    <n v="48"/>
    <n v="98404"/>
  </r>
  <r>
    <s v="WR"/>
    <x v="8"/>
    <n v="8"/>
    <n v="91"/>
    <n v="188048"/>
  </r>
  <r>
    <s v="WR"/>
    <x v="9"/>
    <n v="15"/>
    <n v="576"/>
    <n v="1194727"/>
  </r>
  <r>
    <s v="WR"/>
    <x v="1"/>
    <n v="8"/>
    <n v="264"/>
    <n v="552714"/>
  </r>
  <r>
    <s v="WR"/>
    <x v="1"/>
    <n v="15"/>
    <n v="281"/>
    <n v="582161"/>
  </r>
  <r>
    <s v="WR"/>
    <x v="10"/>
    <n v="8"/>
    <n v="68"/>
    <n v="140152"/>
  </r>
  <r>
    <s v="WR"/>
    <x v="11"/>
    <n v="8"/>
    <n v="96"/>
    <n v="200884"/>
  </r>
  <r>
    <s v="WR"/>
    <x v="11"/>
    <n v="15"/>
    <n v="543"/>
    <n v="1124422"/>
  </r>
  <r>
    <s v="WR"/>
    <x v="2"/>
    <n v="22"/>
    <n v="436"/>
    <n v="893285"/>
  </r>
  <r>
    <s v="WR"/>
    <x v="2"/>
    <n v="1045"/>
    <n v="50"/>
    <n v="104556"/>
  </r>
  <r>
    <s v="WR"/>
    <x v="12"/>
    <n v="15"/>
    <n v="322"/>
    <n v="664963"/>
  </r>
  <r>
    <s v="WR"/>
    <x v="13"/>
    <n v="8"/>
    <n v="143"/>
    <n v="298814"/>
  </r>
  <r>
    <s v="WR"/>
    <x v="14"/>
    <n v="8"/>
    <n v="191"/>
    <n v="398927"/>
  </r>
  <r>
    <s v="WR"/>
    <x v="14"/>
    <n v="10"/>
    <n v="48"/>
    <n v="99117"/>
  </r>
  <r>
    <s v="WR"/>
    <x v="2"/>
    <n v="15"/>
    <n v="116"/>
    <n v="239659"/>
  </r>
  <r>
    <s v="WR"/>
    <x v="2"/>
    <s v="72.A"/>
    <n v="48"/>
    <n v="101358"/>
  </r>
  <r>
    <s v="WR"/>
    <x v="13"/>
    <n v="15"/>
    <n v="54"/>
    <n v="111148"/>
  </r>
  <r>
    <s v="WR"/>
    <x v="9"/>
    <n v="8"/>
    <n v="168"/>
    <n v="351899"/>
  </r>
  <r>
    <s v="WR"/>
    <x v="15"/>
    <n v="6"/>
    <n v="48"/>
    <n v="100641"/>
  </r>
  <r>
    <s v="WR"/>
    <x v="15"/>
    <n v="8"/>
    <n v="143"/>
    <n v="299375"/>
  </r>
  <r>
    <s v="WR"/>
    <x v="15"/>
    <n v="10"/>
    <n v="48"/>
    <n v="98999"/>
  </r>
  <r>
    <s v="WR"/>
    <x v="2"/>
    <s v="72.A"/>
    <n v="96"/>
    <n v="203214"/>
  </r>
  <r>
    <s v="WR"/>
    <x v="2"/>
    <s v="72.B"/>
    <n v="144"/>
    <n v="304424"/>
  </r>
  <r>
    <s v="WR"/>
    <x v="16"/>
    <n v="8"/>
    <n v="167"/>
    <n v="349862"/>
  </r>
  <r>
    <s v="WR"/>
    <x v="17"/>
    <n v="8"/>
    <n v="119"/>
    <n v="248951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  <r>
    <s v="WR"/>
    <x v="18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H1:J20" firstHeaderRow="0" firstDataRow="1" firstDataCol="1"/>
  <pivotFields count="5">
    <pivotField showAll="0"/>
    <pivotField axis="axisRow" numFmtId="41" showAll="0">
      <items count="22">
        <item x="18"/>
        <item x="2"/>
        <item x="1"/>
        <item x="15"/>
        <item x="11"/>
        <item m="1" x="20"/>
        <item m="1" x="19"/>
        <item x="0"/>
        <item x="3"/>
        <item x="4"/>
        <item x="5"/>
        <item x="6"/>
        <item x="7"/>
        <item x="8"/>
        <item x="9"/>
        <item x="10"/>
        <item x="12"/>
        <item x="13"/>
        <item x="14"/>
        <item x="16"/>
        <item x="17"/>
        <item t="default"/>
      </items>
    </pivotField>
    <pivotField numFmtId="41" showAll="0"/>
    <pivotField dataField="1" numFmtId="3" showAll="0"/>
    <pivotField dataField="1" numFmtId="3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2">
    <i>
      <x/>
    </i>
    <i i="1">
      <x v="1"/>
    </i>
  </colItems>
  <dataFields count="2">
    <dataField name="Sum of Coil" fld="3" baseField="0" baseItem="0"/>
    <dataField name="Sum of Kg" fld="4" baseField="0" baseItem="0"/>
  </dataFields>
  <formats count="3">
    <format dxfId="5">
      <pivotArea outline="0" collapsedLevelsAreSubtotals="1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B52" workbookViewId="0">
      <selection activeCell="R59" sqref="R59"/>
    </sheetView>
  </sheetViews>
  <sheetFormatPr defaultRowHeight="16.5" x14ac:dyDescent="0.3"/>
  <cols>
    <col min="1" max="1" width="7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v>46023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35"/>
      <c r="B7" s="14"/>
      <c r="C7" s="15"/>
      <c r="D7" s="15"/>
      <c r="E7" s="16"/>
      <c r="F7" s="17"/>
      <c r="G7" s="19" t="s">
        <v>1</v>
      </c>
      <c r="H7" s="19"/>
      <c r="I7" s="20"/>
      <c r="J7" s="22"/>
      <c r="K7" s="17"/>
      <c r="L7" s="372" t="e">
        <f t="shared" ref="L7:L15" si="0">K7/C7</f>
        <v>#DIV/0!</v>
      </c>
      <c r="M7" s="17"/>
      <c r="N7" s="22"/>
      <c r="O7" s="134"/>
      <c r="P7" s="134"/>
      <c r="Q7" s="134"/>
    </row>
    <row r="8" spans="1:17" x14ac:dyDescent="0.3">
      <c r="A8" s="35"/>
      <c r="B8" s="24"/>
      <c r="C8" s="25"/>
      <c r="D8" s="25"/>
      <c r="E8" s="26"/>
      <c r="F8" s="27"/>
      <c r="G8" s="29" t="s">
        <v>1</v>
      </c>
      <c r="H8" s="29"/>
      <c r="I8" s="30"/>
      <c r="J8" s="32"/>
      <c r="K8" s="33"/>
      <c r="L8" s="373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35"/>
      <c r="B9" s="24"/>
      <c r="C9" s="25"/>
      <c r="D9" s="25"/>
      <c r="E9" s="26"/>
      <c r="F9" s="27"/>
      <c r="G9" s="29" t="s">
        <v>1</v>
      </c>
      <c r="H9" s="29"/>
      <c r="I9" s="30"/>
      <c r="J9" s="32"/>
      <c r="K9" s="33"/>
      <c r="L9" s="373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73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73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73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73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73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73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ref="L16" si="1">K16/C16</f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B16</f>
        <v>0</v>
      </c>
      <c r="C22" s="57">
        <f t="shared" ref="C22:N22" si="2">C16</f>
        <v>0</v>
      </c>
      <c r="D22" s="57">
        <f t="shared" si="2"/>
        <v>0</v>
      </c>
      <c r="E22" s="57">
        <f t="shared" si="2"/>
        <v>0</v>
      </c>
      <c r="F22" s="423" t="e">
        <f>E22/C22</f>
        <v>#DIV/0!</v>
      </c>
      <c r="G22" s="58" t="s">
        <v>1</v>
      </c>
      <c r="H22" s="59"/>
      <c r="I22" s="59"/>
      <c r="J22" s="57">
        <f>J16</f>
        <v>0</v>
      </c>
      <c r="K22" s="57">
        <f t="shared" si="2"/>
        <v>0</v>
      </c>
      <c r="L22" s="60" t="e">
        <f>K22/C22</f>
        <v>#DIV/0!</v>
      </c>
      <c r="M22" s="57">
        <f t="shared" si="2"/>
        <v>0</v>
      </c>
      <c r="N22" s="57">
        <f t="shared" si="2"/>
        <v>0</v>
      </c>
      <c r="O22" s="135"/>
      <c r="P22" s="135"/>
      <c r="Q22" s="135"/>
    </row>
    <row r="23" spans="1:17" x14ac:dyDescent="0.3">
      <c r="A23" s="521"/>
      <c r="B23" s="61">
        <v>0</v>
      </c>
      <c r="C23" s="61">
        <v>0</v>
      </c>
      <c r="D23" s="61">
        <v>0</v>
      </c>
      <c r="E23" s="61">
        <v>0</v>
      </c>
      <c r="F23" s="424" t="e">
        <f>E23/C23</f>
        <v>#DIV/0!</v>
      </c>
      <c r="G23" s="381" t="s">
        <v>195</v>
      </c>
      <c r="H23" s="59"/>
      <c r="I23" s="59"/>
      <c r="J23" s="61">
        <v>0</v>
      </c>
      <c r="K23" s="61">
        <v>0</v>
      </c>
      <c r="L23" s="382" t="e">
        <f>K23/C23</f>
        <v>#DIV/0!</v>
      </c>
      <c r="M23" s="61">
        <v>0</v>
      </c>
      <c r="N23" s="61">
        <v>0</v>
      </c>
      <c r="O23" s="135"/>
      <c r="P23" s="135"/>
      <c r="Q23" s="135"/>
    </row>
    <row r="24" spans="1:17" x14ac:dyDescent="0.3">
      <c r="A24" s="521"/>
      <c r="B24" s="61">
        <v>0</v>
      </c>
      <c r="C24" s="61">
        <v>0</v>
      </c>
      <c r="D24" s="61">
        <v>0</v>
      </c>
      <c r="E24" s="61">
        <v>0</v>
      </c>
      <c r="F24" s="424" t="e">
        <f t="shared" ref="F24" si="3">E24/C24</f>
        <v>#DIV/0!</v>
      </c>
      <c r="G24" s="381" t="s">
        <v>196</v>
      </c>
      <c r="H24" s="59"/>
      <c r="I24" s="59"/>
      <c r="J24" s="61">
        <v>0</v>
      </c>
      <c r="K24" s="61">
        <v>0</v>
      </c>
      <c r="L24" s="382" t="e">
        <f>K24/C24</f>
        <v>#DIV/0!</v>
      </c>
      <c r="M24" s="61">
        <v>0</v>
      </c>
      <c r="N24" s="61"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0</v>
      </c>
      <c r="C26" s="68">
        <f>SUM(C21:C25)</f>
        <v>0</v>
      </c>
      <c r="D26" s="49">
        <f>SUM(D21:D25)</f>
        <v>0</v>
      </c>
      <c r="E26" s="69">
        <f>SUM(E22:E25)</f>
        <v>0</v>
      </c>
      <c r="F26" s="51" t="e">
        <f>E26/C26</f>
        <v>#DIV/0!</v>
      </c>
      <c r="G26" s="51"/>
      <c r="H26" s="70"/>
      <c r="I26" s="70"/>
      <c r="J26" s="71">
        <f>SUM(J22:J25)</f>
        <v>0</v>
      </c>
      <c r="K26" s="68">
        <f>SUM(K22:K25)</f>
        <v>0</v>
      </c>
      <c r="L26" s="51" t="e">
        <f>K26/C26</f>
        <v>#DIV/0!</v>
      </c>
      <c r="M26" s="71">
        <f>SUM(M22:M25)</f>
        <v>0</v>
      </c>
      <c r="N26" s="54">
        <f>SUM(N22:N25)</f>
        <v>0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0</v>
      </c>
      <c r="L27" s="51" t="e">
        <f>K27/C26</f>
        <v>#DIV/0!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21" t="s">
        <v>1</v>
      </c>
      <c r="B30" s="20"/>
      <c r="C30" s="77"/>
      <c r="D30" s="78"/>
      <c r="E30" s="78"/>
      <c r="F30" s="79"/>
      <c r="G30" s="80" t="s">
        <v>1</v>
      </c>
      <c r="H30" s="80"/>
      <c r="I30" s="80"/>
      <c r="J30" s="80"/>
      <c r="K30" s="81"/>
      <c r="L30" s="79"/>
      <c r="M30" s="80" t="s">
        <v>1</v>
      </c>
      <c r="N30" s="80"/>
      <c r="O30" s="80"/>
      <c r="P30" s="80"/>
      <c r="Q30" s="81"/>
    </row>
    <row r="31" spans="1:17" x14ac:dyDescent="0.3">
      <c r="A31" s="21" t="s">
        <v>1</v>
      </c>
      <c r="B31" s="40"/>
      <c r="C31" s="77"/>
      <c r="D31" s="78"/>
      <c r="E31" s="78"/>
      <c r="F31" s="135"/>
      <c r="G31" s="80" t="s">
        <v>1</v>
      </c>
      <c r="H31" s="82"/>
      <c r="I31" s="82"/>
      <c r="J31" s="378"/>
      <c r="K31" s="83"/>
      <c r="L31" s="135"/>
      <c r="M31" s="80" t="s">
        <v>1</v>
      </c>
      <c r="N31" s="82"/>
      <c r="O31" s="82"/>
      <c r="P31" s="378"/>
      <c r="Q31" s="83"/>
    </row>
    <row r="32" spans="1:17" x14ac:dyDescent="0.3">
      <c r="A32" s="21" t="s">
        <v>1</v>
      </c>
      <c r="B32" s="40"/>
      <c r="C32" s="77"/>
      <c r="D32" s="78"/>
      <c r="E32" s="78"/>
      <c r="F32" s="135"/>
      <c r="G32" s="80" t="s">
        <v>1</v>
      </c>
      <c r="H32" s="82"/>
      <c r="I32" s="82"/>
      <c r="J32" s="378"/>
      <c r="K32" s="83"/>
      <c r="L32" s="135"/>
      <c r="M32" s="80" t="s">
        <v>1</v>
      </c>
      <c r="N32" s="82"/>
      <c r="O32" s="82"/>
      <c r="P32" s="378"/>
      <c r="Q32" s="83"/>
    </row>
    <row r="33" spans="1:17" x14ac:dyDescent="0.3">
      <c r="A33" s="21" t="s">
        <v>1</v>
      </c>
      <c r="B33" s="40"/>
      <c r="C33" s="77"/>
      <c r="D33" s="78"/>
      <c r="E33" s="78"/>
      <c r="F33" s="135"/>
      <c r="G33" s="80" t="s">
        <v>1</v>
      </c>
      <c r="H33" s="82"/>
      <c r="I33" s="82"/>
      <c r="J33" s="378"/>
      <c r="K33" s="83"/>
      <c r="L33" s="135"/>
      <c r="M33" s="80" t="s">
        <v>1</v>
      </c>
      <c r="N33" s="82"/>
      <c r="O33" s="82"/>
      <c r="P33" s="378"/>
      <c r="Q33" s="83"/>
    </row>
    <row r="34" spans="1:17" x14ac:dyDescent="0.3">
      <c r="A34" s="21" t="s">
        <v>1</v>
      </c>
      <c r="B34" s="40"/>
      <c r="C34" s="77"/>
      <c r="D34" s="78"/>
      <c r="E34" s="78"/>
      <c r="F34" s="135"/>
      <c r="G34" s="80" t="s">
        <v>1</v>
      </c>
      <c r="H34" s="82"/>
      <c r="I34" s="82"/>
      <c r="J34" s="378"/>
      <c r="K34" s="83"/>
      <c r="L34" s="135"/>
      <c r="M34" s="80" t="s">
        <v>1</v>
      </c>
      <c r="N34" s="82"/>
      <c r="O34" s="82"/>
      <c r="P34" s="378"/>
      <c r="Q34" s="83"/>
    </row>
    <row r="35" spans="1:17" x14ac:dyDescent="0.3">
      <c r="A35" s="21" t="s">
        <v>1</v>
      </c>
      <c r="B35" s="40"/>
      <c r="C35" s="77"/>
      <c r="D35" s="78"/>
      <c r="E35" s="78"/>
      <c r="F35" s="135"/>
      <c r="G35" s="80" t="s">
        <v>1</v>
      </c>
      <c r="H35" s="82"/>
      <c r="I35" s="82"/>
      <c r="J35" s="378"/>
      <c r="K35" s="83"/>
      <c r="L35" s="135"/>
      <c r="M35" s="80" t="s">
        <v>1</v>
      </c>
      <c r="N35" s="82"/>
      <c r="O35" s="82"/>
      <c r="P35" s="378"/>
      <c r="Q35" s="83"/>
    </row>
    <row r="36" spans="1:17" x14ac:dyDescent="0.3">
      <c r="A36" s="21" t="s">
        <v>1</v>
      </c>
      <c r="B36" s="40"/>
      <c r="C36" s="77"/>
      <c r="D36" s="78"/>
      <c r="E36" s="78"/>
      <c r="F36" s="135"/>
      <c r="G36" s="80" t="s">
        <v>1</v>
      </c>
      <c r="H36" s="82"/>
      <c r="I36" s="82"/>
      <c r="J36" s="378"/>
      <c r="K36" s="83"/>
      <c r="L36" s="135"/>
      <c r="M36" s="80" t="s">
        <v>1</v>
      </c>
      <c r="N36" s="82"/>
      <c r="O36" s="82"/>
      <c r="P36" s="378"/>
      <c r="Q36" s="83"/>
    </row>
    <row r="37" spans="1:17" x14ac:dyDescent="0.3">
      <c r="A37" s="21" t="s">
        <v>1</v>
      </c>
      <c r="B37" s="82"/>
      <c r="C37" s="82"/>
      <c r="D37" s="78"/>
      <c r="E37" s="78"/>
      <c r="F37" s="135"/>
      <c r="G37" s="80" t="s">
        <v>1</v>
      </c>
      <c r="H37" s="82"/>
      <c r="I37" s="82"/>
      <c r="J37" s="378"/>
      <c r="K37" s="83"/>
      <c r="L37" s="135"/>
      <c r="M37" s="80" t="s">
        <v>1</v>
      </c>
      <c r="N37" s="82"/>
      <c r="O37" s="82"/>
      <c r="P37" s="378"/>
      <c r="Q37" s="83"/>
    </row>
    <row r="38" spans="1:17" x14ac:dyDescent="0.3">
      <c r="A38" s="21" t="s">
        <v>1</v>
      </c>
      <c r="B38" s="82"/>
      <c r="C38" s="82"/>
      <c r="D38" s="78"/>
      <c r="E38" s="78"/>
      <c r="F38" s="135"/>
      <c r="G38" s="80" t="s">
        <v>1</v>
      </c>
      <c r="H38" s="82"/>
      <c r="I38" s="82"/>
      <c r="J38" s="378"/>
      <c r="K38" s="83"/>
      <c r="L38" s="135"/>
      <c r="M38" s="80" t="s">
        <v>1</v>
      </c>
      <c r="N38" s="82"/>
      <c r="O38" s="82"/>
      <c r="P38" s="378"/>
      <c r="Q38" s="83"/>
    </row>
    <row r="39" spans="1:17" x14ac:dyDescent="0.3">
      <c r="A39" s="21" t="s">
        <v>1</v>
      </c>
      <c r="B39" s="82"/>
      <c r="C39" s="82"/>
      <c r="D39" s="378"/>
      <c r="E39" s="83"/>
      <c r="F39" s="135"/>
      <c r="G39" s="80" t="s">
        <v>1</v>
      </c>
      <c r="H39" s="82"/>
      <c r="I39" s="82"/>
      <c r="J39" s="378"/>
      <c r="K39" s="83"/>
      <c r="L39" s="135"/>
      <c r="M39" s="80" t="s">
        <v>1</v>
      </c>
      <c r="N39" s="82"/>
      <c r="O39" s="82"/>
      <c r="P39" s="378"/>
      <c r="Q39" s="83"/>
    </row>
    <row r="40" spans="1:17" x14ac:dyDescent="0.3">
      <c r="A40" s="21" t="s">
        <v>1</v>
      </c>
      <c r="B40" s="82"/>
      <c r="C40" s="82"/>
      <c r="D40" s="378"/>
      <c r="E40" s="83"/>
      <c r="F40" s="135"/>
      <c r="G40" s="80" t="s">
        <v>1</v>
      </c>
      <c r="H40" s="82"/>
      <c r="I40" s="82"/>
      <c r="J40" s="378"/>
      <c r="K40" s="83"/>
      <c r="L40" s="135"/>
      <c r="M40" s="80" t="s">
        <v>1</v>
      </c>
      <c r="N40" s="82"/>
      <c r="O40" s="82"/>
      <c r="P40" s="378"/>
      <c r="Q40" s="83"/>
    </row>
    <row r="41" spans="1:17" x14ac:dyDescent="0.3">
      <c r="A41" s="21" t="s">
        <v>1</v>
      </c>
      <c r="B41" s="82"/>
      <c r="C41" s="82"/>
      <c r="D41" s="378"/>
      <c r="E41" s="83"/>
      <c r="F41" s="135"/>
      <c r="G41" s="80" t="s">
        <v>1</v>
      </c>
      <c r="H41" s="82"/>
      <c r="I41" s="82"/>
      <c r="J41" s="378"/>
      <c r="K41" s="83"/>
      <c r="L41" s="135"/>
      <c r="M41" s="80" t="s">
        <v>1</v>
      </c>
      <c r="N41" s="82"/>
      <c r="O41" s="82"/>
      <c r="P41" s="378"/>
      <c r="Q41" s="83"/>
    </row>
    <row r="42" spans="1:17" x14ac:dyDescent="0.3">
      <c r="A42" s="21" t="s">
        <v>1</v>
      </c>
      <c r="B42" s="82"/>
      <c r="C42" s="82"/>
      <c r="D42" s="378"/>
      <c r="E42" s="83"/>
      <c r="F42" s="135"/>
      <c r="G42" s="80" t="s">
        <v>1</v>
      </c>
      <c r="H42" s="82"/>
      <c r="I42" s="82"/>
      <c r="J42" s="378"/>
      <c r="K42" s="83"/>
      <c r="L42" s="135"/>
      <c r="M42" s="80" t="s">
        <v>1</v>
      </c>
      <c r="N42" s="82"/>
      <c r="O42" s="82"/>
      <c r="P42" s="378"/>
      <c r="Q42" s="83"/>
    </row>
    <row r="43" spans="1:17" x14ac:dyDescent="0.3">
      <c r="A43" s="21" t="s">
        <v>1</v>
      </c>
      <c r="B43" s="82"/>
      <c r="C43" s="82"/>
      <c r="D43" s="378"/>
      <c r="E43" s="83"/>
      <c r="F43" s="135"/>
      <c r="G43" s="80" t="s">
        <v>1</v>
      </c>
      <c r="H43" s="82"/>
      <c r="I43" s="82"/>
      <c r="J43" s="378"/>
      <c r="K43" s="83"/>
      <c r="L43" s="135"/>
      <c r="M43" s="80" t="s">
        <v>1</v>
      </c>
      <c r="N43" s="82"/>
      <c r="O43" s="82"/>
      <c r="P43" s="378"/>
      <c r="Q43" s="83"/>
    </row>
    <row r="44" spans="1:17" x14ac:dyDescent="0.3">
      <c r="A44" s="21" t="s">
        <v>1</v>
      </c>
      <c r="B44" s="82"/>
      <c r="C44" s="82"/>
      <c r="D44" s="378"/>
      <c r="E44" s="83"/>
      <c r="F44" s="135"/>
      <c r="G44" s="80" t="s">
        <v>1</v>
      </c>
      <c r="H44" s="82"/>
      <c r="I44" s="82"/>
      <c r="J44" s="378"/>
      <c r="K44" s="83"/>
      <c r="L44" s="135"/>
      <c r="M44" s="80" t="s">
        <v>1</v>
      </c>
      <c r="N44" s="82"/>
      <c r="O44" s="82"/>
      <c r="P44" s="378"/>
      <c r="Q44" s="83"/>
    </row>
    <row r="45" spans="1:17" x14ac:dyDescent="0.3">
      <c r="A45" s="21" t="s">
        <v>1</v>
      </c>
      <c r="B45" s="82"/>
      <c r="C45" s="82"/>
      <c r="D45" s="378"/>
      <c r="E45" s="83"/>
      <c r="F45" s="135"/>
      <c r="G45" s="80" t="s">
        <v>1</v>
      </c>
      <c r="H45" s="82"/>
      <c r="I45" s="82"/>
      <c r="J45" s="378"/>
      <c r="K45" s="83"/>
      <c r="L45" s="135"/>
      <c r="M45" s="80" t="s">
        <v>1</v>
      </c>
      <c r="N45" s="82"/>
      <c r="O45" s="82"/>
      <c r="P45" s="378"/>
      <c r="Q45" s="83"/>
    </row>
    <row r="46" spans="1:17" x14ac:dyDescent="0.3">
      <c r="A46" s="21" t="s">
        <v>1</v>
      </c>
      <c r="B46" s="82"/>
      <c r="C46" s="82"/>
      <c r="D46" s="378"/>
      <c r="E46" s="83"/>
      <c r="F46" s="135"/>
      <c r="G46" s="80" t="s">
        <v>1</v>
      </c>
      <c r="H46" s="82"/>
      <c r="I46" s="82"/>
      <c r="J46" s="378"/>
      <c r="K46" s="83"/>
      <c r="L46" s="135"/>
      <c r="M46" s="80" t="s">
        <v>1</v>
      </c>
      <c r="N46" s="82"/>
      <c r="O46" s="82"/>
      <c r="P46" s="378"/>
      <c r="Q46" s="83"/>
    </row>
    <row r="47" spans="1:17" x14ac:dyDescent="0.3">
      <c r="A47" s="21" t="s">
        <v>1</v>
      </c>
      <c r="B47" s="82"/>
      <c r="C47" s="82"/>
      <c r="D47" s="378"/>
      <c r="E47" s="83"/>
      <c r="F47" s="135"/>
      <c r="G47" s="80" t="s">
        <v>1</v>
      </c>
      <c r="H47" s="82"/>
      <c r="I47" s="82"/>
      <c r="J47" s="378"/>
      <c r="K47" s="83"/>
      <c r="L47" s="135"/>
      <c r="M47" s="80" t="s">
        <v>1</v>
      </c>
      <c r="N47" s="82"/>
      <c r="O47" s="82"/>
      <c r="P47" s="378"/>
      <c r="Q47" s="83"/>
    </row>
    <row r="48" spans="1:17" x14ac:dyDescent="0.3">
      <c r="A48" s="21" t="s">
        <v>1</v>
      </c>
      <c r="B48" s="82"/>
      <c r="C48" s="82"/>
      <c r="D48" s="378"/>
      <c r="E48" s="83"/>
      <c r="F48" s="135"/>
      <c r="G48" s="80" t="s">
        <v>1</v>
      </c>
      <c r="H48" s="82"/>
      <c r="I48" s="82"/>
      <c r="J48" s="378"/>
      <c r="K48" s="83"/>
      <c r="L48" s="135"/>
      <c r="M48" s="80" t="s">
        <v>1</v>
      </c>
      <c r="N48" s="82"/>
      <c r="O48" s="82"/>
      <c r="P48" s="378"/>
      <c r="Q48" s="83"/>
    </row>
    <row r="49" spans="1:23" x14ac:dyDescent="0.3">
      <c r="A49" s="21" t="s">
        <v>1</v>
      </c>
      <c r="B49" s="84"/>
      <c r="C49" s="84"/>
      <c r="D49" s="85"/>
      <c r="E49" s="86"/>
      <c r="F49" s="3"/>
      <c r="G49" s="80" t="s">
        <v>1</v>
      </c>
      <c r="H49" s="84"/>
      <c r="I49" s="84"/>
      <c r="J49" s="85"/>
      <c r="K49" s="86"/>
      <c r="L49" s="3"/>
      <c r="M49" s="80" t="s">
        <v>1</v>
      </c>
      <c r="N49" s="84"/>
      <c r="O49" s="84"/>
      <c r="P49" s="85"/>
      <c r="Q49" s="86"/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46023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 t="s">
        <v>198</v>
      </c>
      <c r="E55" s="506"/>
      <c r="F55" s="506"/>
      <c r="G55" s="506"/>
      <c r="H55" s="506"/>
      <c r="I55" s="506"/>
      <c r="J55" s="93">
        <v>1440</v>
      </c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0</v>
      </c>
      <c r="R55" s="395"/>
      <c r="S55" s="388">
        <f>DAY(A52)</f>
        <v>1</v>
      </c>
      <c r="T55" s="383">
        <f>S55-U55</f>
        <v>0</v>
      </c>
      <c r="U55" s="383">
        <v>1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0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 t="e">
        <f>L27</f>
        <v>#DIV/0!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0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 t="e">
        <f>F26</f>
        <v>#DIV/0!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P60</f>
        <v>1440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98">
        <f>SUM(P62:P64)</f>
        <v>1440</v>
      </c>
      <c r="Q61" s="126">
        <f t="shared" ref="Q61:Q88" si="4">P61</f>
        <v>1440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38">
        <v>1440</v>
      </c>
      <c r="Q62" s="99">
        <f t="shared" si="4"/>
        <v>1440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 t="shared" si="4"/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104" t="s">
        <v>28</v>
      </c>
      <c r="P64" s="141">
        <v>0</v>
      </c>
      <c r="Q64" s="86">
        <f t="shared" si="4"/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26">
        <f t="shared" si="4"/>
        <v>0</v>
      </c>
      <c r="R65" s="395"/>
      <c r="S65" s="171" t="s">
        <v>56</v>
      </c>
      <c r="T65" s="172"/>
      <c r="U65" s="173" t="s">
        <v>151</v>
      </c>
      <c r="V65" s="174"/>
      <c r="W65" s="181">
        <f>V65</f>
        <v>0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 t="shared" si="4"/>
        <v>0</v>
      </c>
      <c r="R66" s="399"/>
      <c r="S66" s="377" t="s">
        <v>58</v>
      </c>
      <c r="T66" s="175"/>
      <c r="U66" s="176" t="s">
        <v>151</v>
      </c>
      <c r="V66" s="177"/>
      <c r="W66" s="182">
        <f t="shared" ref="W66:W69" si="5">V66</f>
        <v>0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 t="shared" si="4"/>
        <v>0</v>
      </c>
      <c r="R67" s="399"/>
      <c r="S67" s="377" t="s">
        <v>60</v>
      </c>
      <c r="T67" s="175"/>
      <c r="U67" s="176" t="s">
        <v>151</v>
      </c>
      <c r="V67" s="177"/>
      <c r="W67" s="182">
        <f t="shared" si="5"/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 t="shared" si="4"/>
        <v>0</v>
      </c>
      <c r="R68" s="409"/>
      <c r="S68" s="377" t="s">
        <v>62</v>
      </c>
      <c r="T68" s="175"/>
      <c r="U68" s="176" t="s">
        <v>151</v>
      </c>
      <c r="V68" s="177"/>
      <c r="W68" s="182">
        <f t="shared" si="5"/>
        <v>0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92" t="s">
        <v>54</v>
      </c>
      <c r="M69" s="493"/>
      <c r="N69" s="493"/>
      <c r="O69" s="102" t="s">
        <v>28</v>
      </c>
      <c r="P69" s="126">
        <f>SUM(P70:P74)</f>
        <v>0</v>
      </c>
      <c r="Q69" s="126">
        <f t="shared" si="4"/>
        <v>0</v>
      </c>
      <c r="R69" s="395"/>
      <c r="S69" s="376" t="s">
        <v>64</v>
      </c>
      <c r="T69" s="178"/>
      <c r="U69" s="179" t="s">
        <v>151</v>
      </c>
      <c r="V69" s="180"/>
      <c r="W69" s="183">
        <f t="shared" si="5"/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 t="shared" si="4"/>
        <v>0</v>
      </c>
      <c r="R70" s="399">
        <f>T55*30</f>
        <v>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 t="shared" si="4"/>
        <v>0</v>
      </c>
      <c r="R71" s="399">
        <f>T55*25</f>
        <v>0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 t="shared" si="4"/>
        <v>0</v>
      </c>
      <c r="R72" s="399">
        <f>T55*10</f>
        <v>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 t="shared" si="4"/>
        <v>0</v>
      </c>
      <c r="R73" s="399"/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41">
        <v>0</v>
      </c>
      <c r="Q74" s="86">
        <f t="shared" si="4"/>
        <v>0</v>
      </c>
      <c r="R74" s="409"/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0</v>
      </c>
      <c r="Q75" s="94">
        <f t="shared" si="4"/>
        <v>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 t="shared" si="4"/>
        <v>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410">
        <f t="shared" si="4"/>
        <v>0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410">
        <f t="shared" si="4"/>
        <v>0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1440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0</v>
      </c>
      <c r="Q79" s="94">
        <f t="shared" si="4"/>
        <v>0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 t="e">
        <f>P79/P75</f>
        <v>#DIV/0!</v>
      </c>
      <c r="Q80" s="103" t="e">
        <f>Q79/Q75</f>
        <v>#DIV/0!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</v>
      </c>
      <c r="Q81" s="105">
        <f>Q79/Q60</f>
        <v>0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 t="e">
        <f>(C16/1000)/(P79/60)</f>
        <v>#DIV/0!</v>
      </c>
      <c r="Q82" s="108" t="e">
        <f>(C26/1000)/(Q79/60)</f>
        <v>#DIV/0!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 t="e">
        <f>(C16/1000)/(P75/60)</f>
        <v>#DIV/0!</v>
      </c>
      <c r="Q83" s="113" t="e">
        <f>(C26/1000)/(Q75/60)</f>
        <v>#DIV/0!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0">
        <v>0</v>
      </c>
      <c r="Q84" s="100">
        <f t="shared" si="4"/>
        <v>0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19" t="e">
        <f>P84/(K17/1000)</f>
        <v>#DIV/0!</v>
      </c>
      <c r="Q85" s="316" t="e">
        <f>Q84/(K27/1000)</f>
        <v>#DIV/0!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2.81</v>
      </c>
      <c r="Q86" s="122">
        <f t="shared" si="4"/>
        <v>2.81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 t="e">
        <f>(Q86*1000)/(K26/1000)</f>
        <v>#DIV/0!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4">
        <v>0</v>
      </c>
      <c r="Q88" s="126">
        <f t="shared" si="4"/>
        <v>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124" t="e">
        <f>Q88/(K26/1000)</f>
        <v>#DIV/0!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7:I57"/>
    <mergeCell ref="L62:N62"/>
    <mergeCell ref="D60:I60"/>
    <mergeCell ref="D61:I61"/>
    <mergeCell ref="L53:N54"/>
    <mergeCell ref="D55:I55"/>
    <mergeCell ref="D56:I56"/>
    <mergeCell ref="D62:I62"/>
    <mergeCell ref="L61:N61"/>
    <mergeCell ref="L55:N55"/>
    <mergeCell ref="L56:N56"/>
    <mergeCell ref="L57:N57"/>
    <mergeCell ref="L58:N58"/>
    <mergeCell ref="L59:N59"/>
    <mergeCell ref="L60:N60"/>
    <mergeCell ref="D63:I63"/>
    <mergeCell ref="D64:I64"/>
    <mergeCell ref="D58:I58"/>
    <mergeCell ref="L63:N63"/>
    <mergeCell ref="D59:I59"/>
    <mergeCell ref="L64:N64"/>
    <mergeCell ref="D66:I66"/>
    <mergeCell ref="L65:N65"/>
    <mergeCell ref="D67:I67"/>
    <mergeCell ref="L66:N66"/>
    <mergeCell ref="D68:I68"/>
    <mergeCell ref="L67:N67"/>
    <mergeCell ref="D65:I65"/>
    <mergeCell ref="D69:I69"/>
    <mergeCell ref="L68:N68"/>
    <mergeCell ref="D70:I70"/>
    <mergeCell ref="L69:N69"/>
    <mergeCell ref="D71:I71"/>
    <mergeCell ref="L70:N70"/>
    <mergeCell ref="D72:I72"/>
    <mergeCell ref="L71:N71"/>
    <mergeCell ref="D73:I73"/>
    <mergeCell ref="L72:N72"/>
    <mergeCell ref="D74:I74"/>
    <mergeCell ref="L73:N73"/>
    <mergeCell ref="D75:I75"/>
    <mergeCell ref="L74:N74"/>
    <mergeCell ref="L75:N75"/>
    <mergeCell ref="L80:N80"/>
    <mergeCell ref="L76:N76"/>
    <mergeCell ref="P91:Q91"/>
    <mergeCell ref="D76:I76"/>
    <mergeCell ref="L81:N81"/>
    <mergeCell ref="D77:I77"/>
    <mergeCell ref="L82:N82"/>
    <mergeCell ref="D78:I78"/>
    <mergeCell ref="L83:N83"/>
    <mergeCell ref="D79:I79"/>
    <mergeCell ref="L84:N85"/>
    <mergeCell ref="L86:N87"/>
    <mergeCell ref="L88:N89"/>
    <mergeCell ref="N91:O91"/>
    <mergeCell ref="L77:N77"/>
    <mergeCell ref="L78:N78"/>
    <mergeCell ref="L79:N79"/>
  </mergeCells>
  <conditionalFormatting sqref="Q59">
    <cfRule type="cellIs" dxfId="21" priority="1" operator="lessThan">
      <formula>0.0018</formula>
    </cfRule>
  </conditionalFormatting>
  <pageMargins left="0.7" right="0.7" top="0.25" bottom="0.25" header="0.3" footer="0.3"/>
  <pageSetup paperSize="9" scale="7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B58" workbookViewId="0">
      <selection activeCell="R59" sqref="R59"/>
    </sheetView>
  </sheetViews>
  <sheetFormatPr defaultRowHeight="16.5" x14ac:dyDescent="0.3"/>
  <cols>
    <col min="1" max="1" width="7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'1'!A3:Q3+1</f>
        <v>46024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/>
      <c r="B7" s="15"/>
      <c r="C7" s="15"/>
      <c r="D7" s="16"/>
      <c r="E7" s="17"/>
      <c r="F7" s="18"/>
      <c r="G7" s="19" t="s">
        <v>1</v>
      </c>
      <c r="H7" s="20"/>
      <c r="I7" s="21"/>
      <c r="J7" s="22"/>
      <c r="K7" s="17"/>
      <c r="L7" s="23" t="e">
        <f t="shared" ref="L7:L16" si="0">K7/C7</f>
        <v>#DIV/0!</v>
      </c>
      <c r="M7" s="17"/>
      <c r="N7" s="22"/>
      <c r="O7" s="134"/>
      <c r="P7" s="134"/>
      <c r="Q7" s="134"/>
    </row>
    <row r="8" spans="1:17" x14ac:dyDescent="0.3">
      <c r="A8" s="24"/>
      <c r="B8" s="25"/>
      <c r="C8" s="25"/>
      <c r="D8" s="26"/>
      <c r="E8" s="27"/>
      <c r="F8" s="28"/>
      <c r="G8" s="29" t="s">
        <v>1</v>
      </c>
      <c r="H8" s="30"/>
      <c r="I8" s="31"/>
      <c r="J8" s="32"/>
      <c r="K8" s="33"/>
      <c r="L8" s="34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si="0"/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'1'!B22+'2'!B16</f>
        <v>0</v>
      </c>
      <c r="C22" s="57">
        <f>'1'!C22+'2'!C16</f>
        <v>0</v>
      </c>
      <c r="D22" s="57">
        <f>'1'!D22+'2'!D16</f>
        <v>0</v>
      </c>
      <c r="E22" s="57">
        <f>'1'!E22+'2'!E16</f>
        <v>0</v>
      </c>
      <c r="F22" s="423" t="e">
        <f>E22/C22</f>
        <v>#DIV/0!</v>
      </c>
      <c r="G22" s="58" t="s">
        <v>1</v>
      </c>
      <c r="H22" s="59"/>
      <c r="I22" s="59"/>
      <c r="J22" s="57">
        <f>'1'!J22+'2'!J16</f>
        <v>0</v>
      </c>
      <c r="K22" s="57">
        <f>'1'!K22+'2'!K16</f>
        <v>0</v>
      </c>
      <c r="L22" s="60" t="e">
        <f>K22/C22</f>
        <v>#DIV/0!</v>
      </c>
      <c r="M22" s="57">
        <f>'1'!M22+'2'!M16</f>
        <v>0</v>
      </c>
      <c r="N22" s="57">
        <f>'1'!N22+'2'!N16</f>
        <v>0</v>
      </c>
      <c r="O22" s="135"/>
      <c r="P22" s="135"/>
      <c r="Q22" s="135"/>
    </row>
    <row r="23" spans="1:17" x14ac:dyDescent="0.3">
      <c r="A23" s="521"/>
      <c r="B23" s="61">
        <f>'1'!B23</f>
        <v>0</v>
      </c>
      <c r="C23" s="61">
        <f>'1'!C23</f>
        <v>0</v>
      </c>
      <c r="D23" s="61">
        <f>'1'!D23</f>
        <v>0</v>
      </c>
      <c r="E23" s="61">
        <f>'1'!E23</f>
        <v>0</v>
      </c>
      <c r="F23" s="424" t="e">
        <f>E23/C23</f>
        <v>#DIV/0!</v>
      </c>
      <c r="G23" s="381" t="s">
        <v>195</v>
      </c>
      <c r="H23" s="59"/>
      <c r="I23" s="59"/>
      <c r="J23" s="61">
        <f>'1'!J23</f>
        <v>0</v>
      </c>
      <c r="K23" s="61">
        <f>'1'!K23</f>
        <v>0</v>
      </c>
      <c r="L23" s="382" t="e">
        <f t="shared" ref="L23:L24" si="1">K23/C23</f>
        <v>#DIV/0!</v>
      </c>
      <c r="M23" s="61">
        <f>'1'!M23</f>
        <v>0</v>
      </c>
      <c r="N23" s="61">
        <f>'1'!N23</f>
        <v>0</v>
      </c>
      <c r="O23" s="135"/>
      <c r="P23" s="135"/>
      <c r="Q23" s="135"/>
    </row>
    <row r="24" spans="1:17" x14ac:dyDescent="0.3">
      <c r="A24" s="521"/>
      <c r="B24" s="61">
        <f>'1'!B24</f>
        <v>0</v>
      </c>
      <c r="C24" s="61">
        <f>'1'!C24</f>
        <v>0</v>
      </c>
      <c r="D24" s="61">
        <f>'1'!D24</f>
        <v>0</v>
      </c>
      <c r="E24" s="61">
        <f>'1'!E24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'1'!J24</f>
        <v>0</v>
      </c>
      <c r="K24" s="61">
        <f>'1'!K24</f>
        <v>0</v>
      </c>
      <c r="L24" s="382" t="e">
        <f t="shared" si="1"/>
        <v>#DIV/0!</v>
      </c>
      <c r="M24" s="61">
        <f>'1'!M24</f>
        <v>0</v>
      </c>
      <c r="N24" s="61">
        <f>'1'!N24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0</v>
      </c>
      <c r="C26" s="68">
        <f>SUM(C21:C25)</f>
        <v>0</v>
      </c>
      <c r="D26" s="49">
        <f>SUM(D21:D25)</f>
        <v>0</v>
      </c>
      <c r="E26" s="69">
        <f>SUM(E22:E25)</f>
        <v>0</v>
      </c>
      <c r="F26" s="51" t="e">
        <f>E26/C26</f>
        <v>#DIV/0!</v>
      </c>
      <c r="G26" s="51"/>
      <c r="H26" s="70"/>
      <c r="I26" s="70"/>
      <c r="J26" s="71">
        <f>SUM(J22:J25)</f>
        <v>0</v>
      </c>
      <c r="K26" s="68">
        <f>SUM(K22:K25)</f>
        <v>0</v>
      </c>
      <c r="L26" s="51" t="e">
        <f>K26/C26</f>
        <v>#DIV/0!</v>
      </c>
      <c r="M26" s="71">
        <f>SUM(M22:M25)</f>
        <v>0</v>
      </c>
      <c r="N26" s="54">
        <f>SUM(N22:N25)</f>
        <v>0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0</v>
      </c>
      <c r="L27" s="51" t="e">
        <f>K27/C26</f>
        <v>#DIV/0!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'1'!A30</f>
        <v>WR</v>
      </c>
      <c r="B30" s="307">
        <f>'1'!B30</f>
        <v>0</v>
      </c>
      <c r="C30" s="307">
        <f>'1'!C30</f>
        <v>0</v>
      </c>
      <c r="D30" s="308">
        <f>'1'!D30</f>
        <v>0</v>
      </c>
      <c r="E30" s="308">
        <f>'1'!E30</f>
        <v>0</v>
      </c>
      <c r="F30" s="79"/>
      <c r="G30" s="307" t="str">
        <f>'1'!G30</f>
        <v>WR</v>
      </c>
      <c r="H30" s="309">
        <f>'1'!H30</f>
        <v>0</v>
      </c>
      <c r="I30" s="309">
        <f>'1'!I30</f>
        <v>0</v>
      </c>
      <c r="J30" s="170">
        <f>'1'!J30</f>
        <v>0</v>
      </c>
      <c r="K30" s="310">
        <f>'1'!K30</f>
        <v>0</v>
      </c>
      <c r="L30" s="79"/>
      <c r="M30" s="307" t="str">
        <f>'1'!M30</f>
        <v>WR</v>
      </c>
      <c r="N30" s="309">
        <f>'1'!N30</f>
        <v>0</v>
      </c>
      <c r="O30" s="309">
        <f>'1'!O30</f>
        <v>0</v>
      </c>
      <c r="P30" s="170">
        <f>'1'!P30</f>
        <v>0</v>
      </c>
      <c r="Q30" s="310">
        <f>'1'!Q30</f>
        <v>0</v>
      </c>
    </row>
    <row r="31" spans="1:17" x14ac:dyDescent="0.3">
      <c r="A31" s="307" t="str">
        <f>'1'!A31</f>
        <v>WR</v>
      </c>
      <c r="B31" s="307">
        <f>'1'!B31</f>
        <v>0</v>
      </c>
      <c r="C31" s="307">
        <f>'1'!C31</f>
        <v>0</v>
      </c>
      <c r="D31" s="308">
        <f>'1'!D31</f>
        <v>0</v>
      </c>
      <c r="E31" s="308">
        <f>'1'!E31</f>
        <v>0</v>
      </c>
      <c r="F31" s="135"/>
      <c r="G31" s="307" t="str">
        <f>'1'!G31</f>
        <v>WR</v>
      </c>
      <c r="H31" s="309">
        <f>'1'!H31</f>
        <v>0</v>
      </c>
      <c r="I31" s="309">
        <f>'1'!I31</f>
        <v>0</v>
      </c>
      <c r="J31" s="170">
        <f>'1'!J31</f>
        <v>0</v>
      </c>
      <c r="K31" s="310">
        <f>'1'!K31</f>
        <v>0</v>
      </c>
      <c r="L31" s="135"/>
      <c r="M31" s="307" t="str">
        <f>'1'!M31</f>
        <v>WR</v>
      </c>
      <c r="N31" s="309">
        <f>'1'!N31</f>
        <v>0</v>
      </c>
      <c r="O31" s="309">
        <f>'1'!O31</f>
        <v>0</v>
      </c>
      <c r="P31" s="170">
        <f>'1'!P31</f>
        <v>0</v>
      </c>
      <c r="Q31" s="310">
        <f>'1'!Q31</f>
        <v>0</v>
      </c>
    </row>
    <row r="32" spans="1:17" x14ac:dyDescent="0.3">
      <c r="A32" s="307" t="str">
        <f>'1'!A32</f>
        <v>WR</v>
      </c>
      <c r="B32" s="307">
        <f>'1'!B32</f>
        <v>0</v>
      </c>
      <c r="C32" s="307">
        <f>'1'!C32</f>
        <v>0</v>
      </c>
      <c r="D32" s="308">
        <f>'1'!D32</f>
        <v>0</v>
      </c>
      <c r="E32" s="308">
        <f>'1'!E32</f>
        <v>0</v>
      </c>
      <c r="F32" s="135"/>
      <c r="G32" s="307" t="str">
        <f>'1'!G32</f>
        <v>WR</v>
      </c>
      <c r="H32" s="309">
        <f>'1'!H32</f>
        <v>0</v>
      </c>
      <c r="I32" s="309">
        <f>'1'!I32</f>
        <v>0</v>
      </c>
      <c r="J32" s="170">
        <f>'1'!J32</f>
        <v>0</v>
      </c>
      <c r="K32" s="310">
        <f>'1'!K32</f>
        <v>0</v>
      </c>
      <c r="L32" s="135"/>
      <c r="M32" s="307" t="str">
        <f>'1'!M32</f>
        <v>WR</v>
      </c>
      <c r="N32" s="309">
        <f>'1'!N32</f>
        <v>0</v>
      </c>
      <c r="O32" s="309">
        <f>'1'!O32</f>
        <v>0</v>
      </c>
      <c r="P32" s="170">
        <f>'1'!P32</f>
        <v>0</v>
      </c>
      <c r="Q32" s="310">
        <f>'1'!Q32</f>
        <v>0</v>
      </c>
    </row>
    <row r="33" spans="1:17" x14ac:dyDescent="0.3">
      <c r="A33" s="307" t="str">
        <f>'1'!A33</f>
        <v>WR</v>
      </c>
      <c r="B33" s="307">
        <f>'1'!B33</f>
        <v>0</v>
      </c>
      <c r="C33" s="307">
        <f>'1'!C33</f>
        <v>0</v>
      </c>
      <c r="D33" s="308">
        <f>'1'!D33</f>
        <v>0</v>
      </c>
      <c r="E33" s="308">
        <f>'1'!E33</f>
        <v>0</v>
      </c>
      <c r="F33" s="135"/>
      <c r="G33" s="307" t="str">
        <f>'1'!G33</f>
        <v>WR</v>
      </c>
      <c r="H33" s="309">
        <f>'1'!H33</f>
        <v>0</v>
      </c>
      <c r="I33" s="309">
        <f>'1'!I33</f>
        <v>0</v>
      </c>
      <c r="J33" s="170">
        <f>'1'!J33</f>
        <v>0</v>
      </c>
      <c r="K33" s="310">
        <f>'1'!K33</f>
        <v>0</v>
      </c>
      <c r="L33" s="135"/>
      <c r="M33" s="307" t="str">
        <f>'1'!M33</f>
        <v>WR</v>
      </c>
      <c r="N33" s="309">
        <f>'1'!N33</f>
        <v>0</v>
      </c>
      <c r="O33" s="309">
        <f>'1'!O33</f>
        <v>0</v>
      </c>
      <c r="P33" s="170">
        <f>'1'!P33</f>
        <v>0</v>
      </c>
      <c r="Q33" s="310">
        <f>'1'!Q33</f>
        <v>0</v>
      </c>
    </row>
    <row r="34" spans="1:17" x14ac:dyDescent="0.3">
      <c r="A34" s="307" t="str">
        <f>'1'!A34</f>
        <v>WR</v>
      </c>
      <c r="B34" s="307">
        <f>'1'!B34</f>
        <v>0</v>
      </c>
      <c r="C34" s="307">
        <f>'1'!C34</f>
        <v>0</v>
      </c>
      <c r="D34" s="308">
        <f>'1'!D34</f>
        <v>0</v>
      </c>
      <c r="E34" s="308">
        <f>'1'!E34</f>
        <v>0</v>
      </c>
      <c r="F34" s="135"/>
      <c r="G34" s="307" t="str">
        <f>'1'!G34</f>
        <v>WR</v>
      </c>
      <c r="H34" s="309">
        <f>'1'!H34</f>
        <v>0</v>
      </c>
      <c r="I34" s="309">
        <f>'1'!I34</f>
        <v>0</v>
      </c>
      <c r="J34" s="170">
        <f>'1'!J34</f>
        <v>0</v>
      </c>
      <c r="K34" s="310">
        <f>'1'!K34</f>
        <v>0</v>
      </c>
      <c r="L34" s="135"/>
      <c r="M34" s="307" t="str">
        <f>'1'!M34</f>
        <v>WR</v>
      </c>
      <c r="N34" s="309">
        <f>'1'!N34</f>
        <v>0</v>
      </c>
      <c r="O34" s="309">
        <f>'1'!O34</f>
        <v>0</v>
      </c>
      <c r="P34" s="170">
        <f>'1'!P34</f>
        <v>0</v>
      </c>
      <c r="Q34" s="310">
        <f>'1'!Q34</f>
        <v>0</v>
      </c>
    </row>
    <row r="35" spans="1:17" x14ac:dyDescent="0.3">
      <c r="A35" s="307" t="str">
        <f>'1'!A35</f>
        <v>WR</v>
      </c>
      <c r="B35" s="307">
        <f>'1'!B35</f>
        <v>0</v>
      </c>
      <c r="C35" s="307">
        <f>'1'!C35</f>
        <v>0</v>
      </c>
      <c r="D35" s="308">
        <f>'1'!D35</f>
        <v>0</v>
      </c>
      <c r="E35" s="308">
        <f>'1'!E35</f>
        <v>0</v>
      </c>
      <c r="F35" s="135"/>
      <c r="G35" s="307" t="str">
        <f>'1'!G35</f>
        <v>WR</v>
      </c>
      <c r="H35" s="309">
        <f>'1'!H35</f>
        <v>0</v>
      </c>
      <c r="I35" s="309">
        <f>'1'!I35</f>
        <v>0</v>
      </c>
      <c r="J35" s="170">
        <f>'1'!J35</f>
        <v>0</v>
      </c>
      <c r="K35" s="310">
        <f>'1'!K35</f>
        <v>0</v>
      </c>
      <c r="L35" s="135"/>
      <c r="M35" s="307" t="str">
        <f>'1'!M35</f>
        <v>WR</v>
      </c>
      <c r="N35" s="309">
        <f>'1'!N35</f>
        <v>0</v>
      </c>
      <c r="O35" s="309">
        <f>'1'!O35</f>
        <v>0</v>
      </c>
      <c r="P35" s="170">
        <f>'1'!P35</f>
        <v>0</v>
      </c>
      <c r="Q35" s="310">
        <f>'1'!Q35</f>
        <v>0</v>
      </c>
    </row>
    <row r="36" spans="1:17" x14ac:dyDescent="0.3">
      <c r="A36" s="307" t="str">
        <f>'1'!A36</f>
        <v>WR</v>
      </c>
      <c r="B36" s="307">
        <f>'1'!B36</f>
        <v>0</v>
      </c>
      <c r="C36" s="307">
        <f>'1'!C36</f>
        <v>0</v>
      </c>
      <c r="D36" s="308">
        <f>'1'!D36</f>
        <v>0</v>
      </c>
      <c r="E36" s="308">
        <f>'1'!E36</f>
        <v>0</v>
      </c>
      <c r="F36" s="135"/>
      <c r="G36" s="307" t="str">
        <f>'1'!G36</f>
        <v>WR</v>
      </c>
      <c r="H36" s="309">
        <f>'1'!H36</f>
        <v>0</v>
      </c>
      <c r="I36" s="309">
        <f>'1'!I36</f>
        <v>0</v>
      </c>
      <c r="J36" s="170">
        <f>'1'!J36</f>
        <v>0</v>
      </c>
      <c r="K36" s="310">
        <f>'1'!K36</f>
        <v>0</v>
      </c>
      <c r="L36" s="135"/>
      <c r="M36" s="307" t="str">
        <f>'1'!M36</f>
        <v>WR</v>
      </c>
      <c r="N36" s="309">
        <f>'1'!N36</f>
        <v>0</v>
      </c>
      <c r="O36" s="309">
        <f>'1'!O36</f>
        <v>0</v>
      </c>
      <c r="P36" s="170">
        <f>'1'!P36</f>
        <v>0</v>
      </c>
      <c r="Q36" s="310">
        <f>'1'!Q36</f>
        <v>0</v>
      </c>
    </row>
    <row r="37" spans="1:17" x14ac:dyDescent="0.3">
      <c r="A37" s="307" t="str">
        <f>'1'!A37</f>
        <v>WR</v>
      </c>
      <c r="B37" s="307">
        <f>'1'!B37</f>
        <v>0</v>
      </c>
      <c r="C37" s="307">
        <f>'1'!C37</f>
        <v>0</v>
      </c>
      <c r="D37" s="308">
        <f>'1'!D37</f>
        <v>0</v>
      </c>
      <c r="E37" s="308">
        <f>'1'!E37</f>
        <v>0</v>
      </c>
      <c r="F37" s="135"/>
      <c r="G37" s="307" t="str">
        <f>'1'!G37</f>
        <v>WR</v>
      </c>
      <c r="H37" s="309">
        <f>'1'!H37</f>
        <v>0</v>
      </c>
      <c r="I37" s="309">
        <f>'1'!I37</f>
        <v>0</v>
      </c>
      <c r="J37" s="170">
        <f>'1'!J37</f>
        <v>0</v>
      </c>
      <c r="K37" s="310">
        <f>'1'!K37</f>
        <v>0</v>
      </c>
      <c r="L37" s="135"/>
      <c r="M37" s="307" t="str">
        <f>'1'!M37</f>
        <v>WR</v>
      </c>
      <c r="N37" s="309">
        <f>'1'!N37</f>
        <v>0</v>
      </c>
      <c r="O37" s="309">
        <f>'1'!O37</f>
        <v>0</v>
      </c>
      <c r="P37" s="170">
        <f>'1'!P37</f>
        <v>0</v>
      </c>
      <c r="Q37" s="310">
        <f>'1'!Q37</f>
        <v>0</v>
      </c>
    </row>
    <row r="38" spans="1:17" x14ac:dyDescent="0.3">
      <c r="A38" s="307" t="str">
        <f>'1'!A38</f>
        <v>WR</v>
      </c>
      <c r="B38" s="307">
        <f>'1'!B38</f>
        <v>0</v>
      </c>
      <c r="C38" s="307">
        <f>'1'!C38</f>
        <v>0</v>
      </c>
      <c r="D38" s="308">
        <f>'1'!D38</f>
        <v>0</v>
      </c>
      <c r="E38" s="308">
        <f>'1'!E38</f>
        <v>0</v>
      </c>
      <c r="F38" s="135"/>
      <c r="G38" s="307" t="str">
        <f>'1'!G38</f>
        <v>WR</v>
      </c>
      <c r="H38" s="309">
        <f>'1'!H38</f>
        <v>0</v>
      </c>
      <c r="I38" s="309">
        <f>'1'!I38</f>
        <v>0</v>
      </c>
      <c r="J38" s="170">
        <f>'1'!J38</f>
        <v>0</v>
      </c>
      <c r="K38" s="310">
        <f>'1'!K38</f>
        <v>0</v>
      </c>
      <c r="L38" s="135"/>
      <c r="M38" s="307" t="str">
        <f>'1'!M38</f>
        <v>WR</v>
      </c>
      <c r="N38" s="309">
        <f>'1'!N38</f>
        <v>0</v>
      </c>
      <c r="O38" s="309">
        <f>'1'!O38</f>
        <v>0</v>
      </c>
      <c r="P38" s="170">
        <f>'1'!P38</f>
        <v>0</v>
      </c>
      <c r="Q38" s="310">
        <f>'1'!Q38</f>
        <v>0</v>
      </c>
    </row>
    <row r="39" spans="1:17" x14ac:dyDescent="0.3">
      <c r="A39" s="307" t="str">
        <f>'1'!A39</f>
        <v>WR</v>
      </c>
      <c r="B39" s="307">
        <f>'1'!B39</f>
        <v>0</v>
      </c>
      <c r="C39" s="307">
        <f>'1'!C39</f>
        <v>0</v>
      </c>
      <c r="D39" s="308">
        <f>'1'!D39</f>
        <v>0</v>
      </c>
      <c r="E39" s="308">
        <f>'1'!E39</f>
        <v>0</v>
      </c>
      <c r="F39" s="135"/>
      <c r="G39" s="307" t="str">
        <f>'1'!G39</f>
        <v>WR</v>
      </c>
      <c r="H39" s="309">
        <f>'1'!H39</f>
        <v>0</v>
      </c>
      <c r="I39" s="309">
        <f>'1'!I39</f>
        <v>0</v>
      </c>
      <c r="J39" s="170">
        <f>'1'!J39</f>
        <v>0</v>
      </c>
      <c r="K39" s="310">
        <f>'1'!K39</f>
        <v>0</v>
      </c>
      <c r="L39" s="135"/>
      <c r="M39" s="307" t="str">
        <f>'1'!M39</f>
        <v>WR</v>
      </c>
      <c r="N39" s="309">
        <f>'1'!N39</f>
        <v>0</v>
      </c>
      <c r="O39" s="309">
        <f>'1'!O39</f>
        <v>0</v>
      </c>
      <c r="P39" s="170">
        <f>'1'!P39</f>
        <v>0</v>
      </c>
      <c r="Q39" s="310">
        <f>'1'!Q39</f>
        <v>0</v>
      </c>
    </row>
    <row r="40" spans="1:17" x14ac:dyDescent="0.3">
      <c r="A40" s="307" t="str">
        <f>'1'!A40</f>
        <v>WR</v>
      </c>
      <c r="B40" s="307">
        <f>'1'!B40</f>
        <v>0</v>
      </c>
      <c r="C40" s="307">
        <f>'1'!C40</f>
        <v>0</v>
      </c>
      <c r="D40" s="308">
        <f>'1'!D40</f>
        <v>0</v>
      </c>
      <c r="E40" s="308">
        <f>'1'!E40</f>
        <v>0</v>
      </c>
      <c r="F40" s="135"/>
      <c r="G40" s="307" t="str">
        <f>'1'!G40</f>
        <v>WR</v>
      </c>
      <c r="H40" s="309">
        <f>'1'!H40</f>
        <v>0</v>
      </c>
      <c r="I40" s="309">
        <f>'1'!I40</f>
        <v>0</v>
      </c>
      <c r="J40" s="170">
        <f>'1'!J40</f>
        <v>0</v>
      </c>
      <c r="K40" s="310">
        <f>'1'!K40</f>
        <v>0</v>
      </c>
      <c r="L40" s="135"/>
      <c r="M40" s="307" t="str">
        <f>'1'!M40</f>
        <v>WR</v>
      </c>
      <c r="N40" s="309">
        <f>'1'!N40</f>
        <v>0</v>
      </c>
      <c r="O40" s="309">
        <f>'1'!O40</f>
        <v>0</v>
      </c>
      <c r="P40" s="170">
        <f>'1'!P40</f>
        <v>0</v>
      </c>
      <c r="Q40" s="310">
        <f>'1'!Q40</f>
        <v>0</v>
      </c>
    </row>
    <row r="41" spans="1:17" x14ac:dyDescent="0.3">
      <c r="A41" s="307" t="str">
        <f>'1'!A41</f>
        <v>WR</v>
      </c>
      <c r="B41" s="307">
        <f>'1'!B41</f>
        <v>0</v>
      </c>
      <c r="C41" s="307">
        <f>'1'!C41</f>
        <v>0</v>
      </c>
      <c r="D41" s="308">
        <f>'1'!D41</f>
        <v>0</v>
      </c>
      <c r="E41" s="308">
        <f>'1'!E41</f>
        <v>0</v>
      </c>
      <c r="F41" s="135"/>
      <c r="G41" s="307" t="str">
        <f>'1'!G41</f>
        <v>WR</v>
      </c>
      <c r="H41" s="309">
        <f>'1'!H41</f>
        <v>0</v>
      </c>
      <c r="I41" s="309">
        <f>'1'!I41</f>
        <v>0</v>
      </c>
      <c r="J41" s="170">
        <f>'1'!J41</f>
        <v>0</v>
      </c>
      <c r="K41" s="310">
        <f>'1'!K41</f>
        <v>0</v>
      </c>
      <c r="L41" s="135"/>
      <c r="M41" s="307" t="str">
        <f>'1'!M41</f>
        <v>WR</v>
      </c>
      <c r="N41" s="309">
        <f>'1'!N41</f>
        <v>0</v>
      </c>
      <c r="O41" s="309">
        <f>'1'!O41</f>
        <v>0</v>
      </c>
      <c r="P41" s="170">
        <f>'1'!P41</f>
        <v>0</v>
      </c>
      <c r="Q41" s="310">
        <f>'1'!Q41</f>
        <v>0</v>
      </c>
    </row>
    <row r="42" spans="1:17" x14ac:dyDescent="0.3">
      <c r="A42" s="307" t="str">
        <f>'1'!A42</f>
        <v>WR</v>
      </c>
      <c r="B42" s="307">
        <f>'1'!B42</f>
        <v>0</v>
      </c>
      <c r="C42" s="307">
        <f>'1'!C42</f>
        <v>0</v>
      </c>
      <c r="D42" s="308">
        <f>'1'!D42</f>
        <v>0</v>
      </c>
      <c r="E42" s="308">
        <f>'1'!E42</f>
        <v>0</v>
      </c>
      <c r="F42" s="135"/>
      <c r="G42" s="307" t="str">
        <f>'1'!G42</f>
        <v>WR</v>
      </c>
      <c r="H42" s="309">
        <f>'1'!H42</f>
        <v>0</v>
      </c>
      <c r="I42" s="309">
        <f>'1'!I42</f>
        <v>0</v>
      </c>
      <c r="J42" s="170">
        <f>'1'!J42</f>
        <v>0</v>
      </c>
      <c r="K42" s="310">
        <f>'1'!K42</f>
        <v>0</v>
      </c>
      <c r="L42" s="135"/>
      <c r="M42" s="307" t="str">
        <f>'1'!M42</f>
        <v>WR</v>
      </c>
      <c r="N42" s="309">
        <f>'1'!N42</f>
        <v>0</v>
      </c>
      <c r="O42" s="309">
        <f>'1'!O42</f>
        <v>0</v>
      </c>
      <c r="P42" s="170">
        <f>'1'!P42</f>
        <v>0</v>
      </c>
      <c r="Q42" s="310">
        <f>'1'!Q42</f>
        <v>0</v>
      </c>
    </row>
    <row r="43" spans="1:17" x14ac:dyDescent="0.3">
      <c r="A43" s="307" t="str">
        <f>'1'!A43</f>
        <v>WR</v>
      </c>
      <c r="B43" s="307">
        <f>'1'!B43</f>
        <v>0</v>
      </c>
      <c r="C43" s="307">
        <f>'1'!C43</f>
        <v>0</v>
      </c>
      <c r="D43" s="308">
        <f>'1'!D43</f>
        <v>0</v>
      </c>
      <c r="E43" s="308">
        <f>'1'!E43</f>
        <v>0</v>
      </c>
      <c r="F43" s="135"/>
      <c r="G43" s="307" t="str">
        <f>'1'!G43</f>
        <v>WR</v>
      </c>
      <c r="H43" s="309">
        <f>'1'!H43</f>
        <v>0</v>
      </c>
      <c r="I43" s="309">
        <f>'1'!I43</f>
        <v>0</v>
      </c>
      <c r="J43" s="170">
        <f>'1'!J43</f>
        <v>0</v>
      </c>
      <c r="K43" s="310">
        <f>'1'!K43</f>
        <v>0</v>
      </c>
      <c r="L43" s="135"/>
      <c r="M43" s="307" t="str">
        <f>'1'!M43</f>
        <v>WR</v>
      </c>
      <c r="N43" s="309">
        <f>'1'!N43</f>
        <v>0</v>
      </c>
      <c r="O43" s="309">
        <f>'1'!O43</f>
        <v>0</v>
      </c>
      <c r="P43" s="170">
        <f>'1'!P43</f>
        <v>0</v>
      </c>
      <c r="Q43" s="310">
        <f>'1'!Q43</f>
        <v>0</v>
      </c>
    </row>
    <row r="44" spans="1:17" x14ac:dyDescent="0.3">
      <c r="A44" s="307" t="str">
        <f>'1'!A44</f>
        <v>WR</v>
      </c>
      <c r="B44" s="307">
        <f>'1'!B44</f>
        <v>0</v>
      </c>
      <c r="C44" s="307">
        <f>'1'!C44</f>
        <v>0</v>
      </c>
      <c r="D44" s="308">
        <f>'1'!D44</f>
        <v>0</v>
      </c>
      <c r="E44" s="308">
        <f>'1'!E44</f>
        <v>0</v>
      </c>
      <c r="F44" s="135"/>
      <c r="G44" s="307" t="str">
        <f>'1'!G44</f>
        <v>WR</v>
      </c>
      <c r="H44" s="309">
        <f>'1'!H44</f>
        <v>0</v>
      </c>
      <c r="I44" s="309">
        <f>'1'!I44</f>
        <v>0</v>
      </c>
      <c r="J44" s="170">
        <f>'1'!J44</f>
        <v>0</v>
      </c>
      <c r="K44" s="310">
        <f>'1'!K44</f>
        <v>0</v>
      </c>
      <c r="L44" s="135"/>
      <c r="M44" s="307" t="str">
        <f>'1'!M44</f>
        <v>WR</v>
      </c>
      <c r="N44" s="309">
        <f>'1'!N44</f>
        <v>0</v>
      </c>
      <c r="O44" s="309">
        <f>'1'!O44</f>
        <v>0</v>
      </c>
      <c r="P44" s="170">
        <f>'1'!P44</f>
        <v>0</v>
      </c>
      <c r="Q44" s="310">
        <f>'1'!Q44</f>
        <v>0</v>
      </c>
    </row>
    <row r="45" spans="1:17" x14ac:dyDescent="0.3">
      <c r="A45" s="307" t="str">
        <f>'1'!A45</f>
        <v>WR</v>
      </c>
      <c r="B45" s="307">
        <f>'1'!B45</f>
        <v>0</v>
      </c>
      <c r="C45" s="307">
        <f>'1'!C45</f>
        <v>0</v>
      </c>
      <c r="D45" s="308">
        <f>'1'!D45</f>
        <v>0</v>
      </c>
      <c r="E45" s="308">
        <f>'1'!E45</f>
        <v>0</v>
      </c>
      <c r="F45" s="135"/>
      <c r="G45" s="307" t="str">
        <f>'1'!G45</f>
        <v>WR</v>
      </c>
      <c r="H45" s="309">
        <f>'1'!H45</f>
        <v>0</v>
      </c>
      <c r="I45" s="309">
        <f>'1'!I45</f>
        <v>0</v>
      </c>
      <c r="J45" s="170">
        <f>'1'!J45</f>
        <v>0</v>
      </c>
      <c r="K45" s="310">
        <f>'1'!K45</f>
        <v>0</v>
      </c>
      <c r="L45" s="135"/>
      <c r="M45" s="307" t="str">
        <f>'1'!M45</f>
        <v>WR</v>
      </c>
      <c r="N45" s="309">
        <f>'1'!N45</f>
        <v>0</v>
      </c>
      <c r="O45" s="309">
        <f>'1'!O45</f>
        <v>0</v>
      </c>
      <c r="P45" s="170">
        <f>'1'!P45</f>
        <v>0</v>
      </c>
      <c r="Q45" s="310">
        <f>'1'!Q45</f>
        <v>0</v>
      </c>
    </row>
    <row r="46" spans="1:17" x14ac:dyDescent="0.3">
      <c r="A46" s="307" t="str">
        <f>'1'!A46</f>
        <v>WR</v>
      </c>
      <c r="B46" s="307">
        <f>'1'!B46</f>
        <v>0</v>
      </c>
      <c r="C46" s="307">
        <f>'1'!C46</f>
        <v>0</v>
      </c>
      <c r="D46" s="308">
        <f>'1'!D46</f>
        <v>0</v>
      </c>
      <c r="E46" s="308">
        <f>'1'!E46</f>
        <v>0</v>
      </c>
      <c r="F46" s="135"/>
      <c r="G46" s="307" t="str">
        <f>'1'!G46</f>
        <v>WR</v>
      </c>
      <c r="H46" s="309">
        <f>'1'!H46</f>
        <v>0</v>
      </c>
      <c r="I46" s="309">
        <f>'1'!I46</f>
        <v>0</v>
      </c>
      <c r="J46" s="170">
        <f>'1'!J46</f>
        <v>0</v>
      </c>
      <c r="K46" s="310">
        <f>'1'!K46</f>
        <v>0</v>
      </c>
      <c r="L46" s="135"/>
      <c r="M46" s="307" t="str">
        <f>'1'!M46</f>
        <v>WR</v>
      </c>
      <c r="N46" s="309">
        <f>'1'!N46</f>
        <v>0</v>
      </c>
      <c r="O46" s="309">
        <f>'1'!O46</f>
        <v>0</v>
      </c>
      <c r="P46" s="170">
        <f>'1'!P46</f>
        <v>0</v>
      </c>
      <c r="Q46" s="310">
        <f>'1'!Q46</f>
        <v>0</v>
      </c>
    </row>
    <row r="47" spans="1:17" x14ac:dyDescent="0.3">
      <c r="A47" s="307" t="str">
        <f>'1'!A47</f>
        <v>WR</v>
      </c>
      <c r="B47" s="307">
        <f>'1'!B47</f>
        <v>0</v>
      </c>
      <c r="C47" s="307">
        <f>'1'!C47</f>
        <v>0</v>
      </c>
      <c r="D47" s="308">
        <f>'1'!D47</f>
        <v>0</v>
      </c>
      <c r="E47" s="308">
        <f>'1'!E47</f>
        <v>0</v>
      </c>
      <c r="F47" s="135"/>
      <c r="G47" s="307" t="str">
        <f>'1'!G47</f>
        <v>WR</v>
      </c>
      <c r="H47" s="309">
        <f>'1'!H47</f>
        <v>0</v>
      </c>
      <c r="I47" s="309">
        <f>'1'!I47</f>
        <v>0</v>
      </c>
      <c r="J47" s="170">
        <f>'1'!J47</f>
        <v>0</v>
      </c>
      <c r="K47" s="310">
        <f>'1'!K47</f>
        <v>0</v>
      </c>
      <c r="L47" s="135"/>
      <c r="M47" s="307" t="str">
        <f>'1'!M47</f>
        <v>WR</v>
      </c>
      <c r="N47" s="309">
        <f>'1'!N47</f>
        <v>0</v>
      </c>
      <c r="O47" s="309">
        <f>'1'!O47</f>
        <v>0</v>
      </c>
      <c r="P47" s="170">
        <f>'1'!P47</f>
        <v>0</v>
      </c>
      <c r="Q47" s="310">
        <f>'1'!Q47</f>
        <v>0</v>
      </c>
    </row>
    <row r="48" spans="1:17" x14ac:dyDescent="0.3">
      <c r="A48" s="307" t="str">
        <f>'1'!A48</f>
        <v>WR</v>
      </c>
      <c r="B48" s="307">
        <f>'1'!B48</f>
        <v>0</v>
      </c>
      <c r="C48" s="307">
        <f>'1'!C48</f>
        <v>0</v>
      </c>
      <c r="D48" s="308">
        <f>'1'!D48</f>
        <v>0</v>
      </c>
      <c r="E48" s="308">
        <f>'1'!E48</f>
        <v>0</v>
      </c>
      <c r="F48" s="135"/>
      <c r="G48" s="307" t="str">
        <f>'1'!G48</f>
        <v>WR</v>
      </c>
      <c r="H48" s="309">
        <f>'1'!H48</f>
        <v>0</v>
      </c>
      <c r="I48" s="309">
        <f>'1'!I48</f>
        <v>0</v>
      </c>
      <c r="J48" s="170">
        <f>'1'!J48</f>
        <v>0</v>
      </c>
      <c r="K48" s="310">
        <f>'1'!K48</f>
        <v>0</v>
      </c>
      <c r="L48" s="135"/>
      <c r="M48" s="307" t="str">
        <f>'1'!M48</f>
        <v>WR</v>
      </c>
      <c r="N48" s="309">
        <f>'1'!N48</f>
        <v>0</v>
      </c>
      <c r="O48" s="309">
        <f>'1'!O48</f>
        <v>0</v>
      </c>
      <c r="P48" s="170">
        <f>'1'!P48</f>
        <v>0</v>
      </c>
      <c r="Q48" s="310">
        <f>'1'!Q48</f>
        <v>0</v>
      </c>
    </row>
    <row r="49" spans="1:23" x14ac:dyDescent="0.3">
      <c r="A49" s="307" t="str">
        <f>'1'!A49</f>
        <v>WR</v>
      </c>
      <c r="B49" s="307">
        <f>'1'!B49</f>
        <v>0</v>
      </c>
      <c r="C49" s="307">
        <f>'1'!C49</f>
        <v>0</v>
      </c>
      <c r="D49" s="308">
        <f>'1'!D49</f>
        <v>0</v>
      </c>
      <c r="E49" s="308">
        <f>'1'!E49</f>
        <v>0</v>
      </c>
      <c r="F49" s="3"/>
      <c r="G49" s="307" t="str">
        <f>'1'!G49</f>
        <v>WR</v>
      </c>
      <c r="H49" s="309">
        <f>'1'!H49</f>
        <v>0</v>
      </c>
      <c r="I49" s="309">
        <f>'1'!I49</f>
        <v>0</v>
      </c>
      <c r="J49" s="170">
        <f>'1'!J49</f>
        <v>0</v>
      </c>
      <c r="K49" s="310">
        <f>'1'!K49</f>
        <v>0</v>
      </c>
      <c r="L49" s="3"/>
      <c r="M49" s="307" t="str">
        <f>'1'!M49</f>
        <v>WR</v>
      </c>
      <c r="N49" s="309">
        <f>'1'!N49</f>
        <v>0</v>
      </c>
      <c r="O49" s="309">
        <f>'1'!O49</f>
        <v>0</v>
      </c>
      <c r="P49" s="170">
        <f>'1'!P49</f>
        <v>0</v>
      </c>
      <c r="Q49" s="310">
        <f>'1'!Q49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46024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 t="s">
        <v>198</v>
      </c>
      <c r="E55" s="506"/>
      <c r="F55" s="506"/>
      <c r="G55" s="506"/>
      <c r="H55" s="506"/>
      <c r="I55" s="506"/>
      <c r="J55" s="93">
        <v>1440</v>
      </c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0</v>
      </c>
      <c r="R55" s="395"/>
      <c r="S55" s="388">
        <f>DAY(A52)</f>
        <v>2</v>
      </c>
      <c r="T55" s="383">
        <f>S55-U55</f>
        <v>0</v>
      </c>
      <c r="U55" s="383">
        <v>2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0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 t="e">
        <f>L27</f>
        <v>#DIV/0!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0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 t="e">
        <f>F26</f>
        <v>#DIV/0!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</f>
        <v>2880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98">
        <f>SUM(P62:P64)</f>
        <v>1440</v>
      </c>
      <c r="Q61" s="94">
        <f>'1'!Q61+'2'!P61</f>
        <v>2880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44">
        <v>1440</v>
      </c>
      <c r="Q62" s="126">
        <f>'1'!Q62+'2'!P62</f>
        <v>2880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</f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26">
        <f>'1'!Q65+'2'!P65</f>
        <v>0</v>
      </c>
      <c r="R65" s="395"/>
      <c r="S65" s="171" t="s">
        <v>56</v>
      </c>
      <c r="T65" s="172"/>
      <c r="U65" s="173" t="s">
        <v>151</v>
      </c>
      <c r="V65" s="174"/>
      <c r="W65" s="181">
        <f>'1'!W65+'2'!V65</f>
        <v>0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</f>
        <v>0</v>
      </c>
      <c r="R66" s="399"/>
      <c r="S66" s="377" t="s">
        <v>58</v>
      </c>
      <c r="T66" s="175"/>
      <c r="U66" s="176" t="s">
        <v>151</v>
      </c>
      <c r="V66" s="177"/>
      <c r="W66" s="182">
        <f>'1'!W66+'2'!V66</f>
        <v>0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>'1'!Q67+'2'!P67</f>
        <v>0</v>
      </c>
      <c r="R67" s="399"/>
      <c r="S67" s="377" t="s">
        <v>60</v>
      </c>
      <c r="T67" s="175"/>
      <c r="U67" s="176" t="s">
        <v>151</v>
      </c>
      <c r="V67" s="177"/>
      <c r="W67" s="182">
        <f>'1'!W67+'2'!V67</f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>'1'!Q68+'2'!P68</f>
        <v>0</v>
      </c>
      <c r="R68" s="409"/>
      <c r="S68" s="377" t="s">
        <v>62</v>
      </c>
      <c r="T68" s="175"/>
      <c r="U68" s="176" t="s">
        <v>151</v>
      </c>
      <c r="V68" s="177"/>
      <c r="W68" s="182">
        <f>'1'!W68+'2'!V68</f>
        <v>0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66" t="s">
        <v>54</v>
      </c>
      <c r="M69" s="467"/>
      <c r="N69" s="467"/>
      <c r="O69" s="106" t="s">
        <v>28</v>
      </c>
      <c r="P69" s="126">
        <f>SUM(P70:P74)</f>
        <v>0</v>
      </c>
      <c r="Q69" s="126">
        <f>'1'!Q69+'2'!P69</f>
        <v>0</v>
      </c>
      <c r="R69" s="395"/>
      <c r="S69" s="376" t="s">
        <v>64</v>
      </c>
      <c r="T69" s="178"/>
      <c r="U69" s="179" t="s">
        <v>151</v>
      </c>
      <c r="V69" s="180"/>
      <c r="W69" s="183">
        <f>'1'!W69+'2'!V69</f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>'1'!Q70+'2'!P70</f>
        <v>0</v>
      </c>
      <c r="R70" s="399">
        <f>T55*30</f>
        <v>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>'1'!Q71+'2'!P71</f>
        <v>0</v>
      </c>
      <c r="R71" s="399">
        <f>T55*25</f>
        <v>0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</f>
        <v>0</v>
      </c>
      <c r="R72" s="399">
        <f>T55*10</f>
        <v>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</f>
        <v>0</v>
      </c>
      <c r="R73" s="399"/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41">
        <v>0</v>
      </c>
      <c r="Q74" s="86">
        <f>'1'!Q74+'2'!P74</f>
        <v>0</v>
      </c>
      <c r="R74" s="409"/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0</v>
      </c>
      <c r="Q75" s="94">
        <f>'1'!Q75+'2'!P75</f>
        <v>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>'1'!Q76+'2'!P76</f>
        <v>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94">
        <f>'1'!Q77+'2'!P77</f>
        <v>0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</f>
        <v>0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1440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0</v>
      </c>
      <c r="Q79" s="94">
        <f>'1'!Q79+'2'!P79</f>
        <v>0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 t="e">
        <f>P79/P75</f>
        <v>#DIV/0!</v>
      </c>
      <c r="Q80" s="103" t="e">
        <f>Q79/Q75</f>
        <v>#DIV/0!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</v>
      </c>
      <c r="Q81" s="105">
        <f>Q79/Q60</f>
        <v>0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 t="e">
        <f>(C16/1000)/(P79/60)</f>
        <v>#DIV/0!</v>
      </c>
      <c r="Q82" s="108" t="e">
        <f>(C26/1000)/(Q79/60)</f>
        <v>#DIV/0!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 t="e">
        <f>(C16/1000)/(P75/60)</f>
        <v>#DIV/0!</v>
      </c>
      <c r="Q83" s="113" t="e">
        <f>(C26/1000)/(Q75/60)</f>
        <v>#DIV/0!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0</v>
      </c>
      <c r="Q84" s="126">
        <f>'1'!Q84+'2'!P84</f>
        <v>0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 t="e">
        <f>P84/(K17/1000)</f>
        <v>#DIV/0!</v>
      </c>
      <c r="Q85" s="124" t="e">
        <f>Q84/(K27/1000)</f>
        <v>#DIV/0!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7.52</v>
      </c>
      <c r="Q86" s="126">
        <f>'1'!Q86+'2'!P86</f>
        <v>10.33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 t="e">
        <f>(Q86*1000)/(K26/1000)</f>
        <v>#DIV/0!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0</v>
      </c>
      <c r="Q88" s="100">
        <f>'1'!Q88+'2'!P88</f>
        <v>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124" t="e">
        <f>Q88/(K26/1000)</f>
        <v>#DIV/0!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20" priority="1" operator="lessThan">
      <formula>0.0018</formula>
    </cfRule>
  </conditionalFormatting>
  <pageMargins left="0.7" right="0.7" top="0.25" bottom="0.25" header="0.3" footer="0.3"/>
  <pageSetup paperSize="9" scale="78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B46" workbookViewId="0">
      <selection activeCell="R59" sqref="R59"/>
    </sheetView>
  </sheetViews>
  <sheetFormatPr defaultRowHeight="16.5" x14ac:dyDescent="0.3"/>
  <cols>
    <col min="1" max="1" width="7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'2'!A3:Q3+1</f>
        <v>46025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/>
      <c r="B7" s="15"/>
      <c r="C7" s="15"/>
      <c r="D7" s="16"/>
      <c r="E7" s="17"/>
      <c r="F7" s="18"/>
      <c r="G7" s="19" t="s">
        <v>1</v>
      </c>
      <c r="H7" s="20"/>
      <c r="I7" s="21"/>
      <c r="J7" s="22"/>
      <c r="K7" s="17"/>
      <c r="L7" s="23" t="e">
        <f t="shared" ref="L7:L16" si="0">K7/C7</f>
        <v>#DIV/0!</v>
      </c>
      <c r="M7" s="17"/>
      <c r="N7" s="22"/>
      <c r="O7" s="134"/>
      <c r="P7" s="134"/>
      <c r="Q7" s="134"/>
    </row>
    <row r="8" spans="1:17" x14ac:dyDescent="0.3">
      <c r="A8" s="24"/>
      <c r="B8" s="25"/>
      <c r="C8" s="25"/>
      <c r="D8" s="26"/>
      <c r="E8" s="27"/>
      <c r="F8" s="28"/>
      <c r="G8" s="29" t="s">
        <v>1</v>
      </c>
      <c r="H8" s="30"/>
      <c r="I8" s="31"/>
      <c r="J8" s="32"/>
      <c r="K8" s="33"/>
      <c r="L8" s="34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si="0"/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'2'!B22+'3'!B16</f>
        <v>0</v>
      </c>
      <c r="C22" s="57">
        <f>'2'!C22+'3'!C16</f>
        <v>0</v>
      </c>
      <c r="D22" s="57">
        <f>'2'!D22+'3'!D16</f>
        <v>0</v>
      </c>
      <c r="E22" s="57">
        <f>'2'!E22+'3'!E16</f>
        <v>0</v>
      </c>
      <c r="F22" s="423" t="e">
        <f>E22/C22</f>
        <v>#DIV/0!</v>
      </c>
      <c r="G22" s="58" t="s">
        <v>1</v>
      </c>
      <c r="H22" s="59"/>
      <c r="I22" s="59"/>
      <c r="J22" s="57">
        <f>'2'!J22+'3'!J16</f>
        <v>0</v>
      </c>
      <c r="K22" s="57">
        <f>'2'!K22+'3'!K16</f>
        <v>0</v>
      </c>
      <c r="L22" s="60" t="e">
        <f>K22/C22</f>
        <v>#DIV/0!</v>
      </c>
      <c r="M22" s="57">
        <f>'2'!M22+'3'!M16</f>
        <v>0</v>
      </c>
      <c r="N22" s="57">
        <f>'2'!N22+'3'!N16</f>
        <v>0</v>
      </c>
      <c r="O22" s="135"/>
      <c r="P22" s="135"/>
      <c r="Q22" s="135"/>
    </row>
    <row r="23" spans="1:17" x14ac:dyDescent="0.3">
      <c r="A23" s="521"/>
      <c r="B23" s="61">
        <f>'2'!B23</f>
        <v>0</v>
      </c>
      <c r="C23" s="61">
        <f>'2'!C23</f>
        <v>0</v>
      </c>
      <c r="D23" s="61">
        <f>'2'!D23</f>
        <v>0</v>
      </c>
      <c r="E23" s="61">
        <f>'2'!E23</f>
        <v>0</v>
      </c>
      <c r="F23" s="424" t="e">
        <f>E23/C23</f>
        <v>#DIV/0!</v>
      </c>
      <c r="G23" s="381" t="s">
        <v>195</v>
      </c>
      <c r="H23" s="59"/>
      <c r="I23" s="59"/>
      <c r="J23" s="61">
        <f>'2'!J23</f>
        <v>0</v>
      </c>
      <c r="K23" s="61">
        <f>'2'!K23</f>
        <v>0</v>
      </c>
      <c r="L23" s="382" t="e">
        <f t="shared" ref="L23:L24" si="1">K23/C23</f>
        <v>#DIV/0!</v>
      </c>
      <c r="M23" s="61">
        <f>'2'!M23</f>
        <v>0</v>
      </c>
      <c r="N23" s="61">
        <f>'2'!N23</f>
        <v>0</v>
      </c>
      <c r="O23" s="135"/>
      <c r="P23" s="135"/>
      <c r="Q23" s="135"/>
    </row>
    <row r="24" spans="1:17" x14ac:dyDescent="0.3">
      <c r="A24" s="521"/>
      <c r="B24" s="61">
        <f>'2'!B24</f>
        <v>0</v>
      </c>
      <c r="C24" s="61">
        <f>'2'!C24</f>
        <v>0</v>
      </c>
      <c r="D24" s="61">
        <f>'2'!D24</f>
        <v>0</v>
      </c>
      <c r="E24" s="61">
        <f>'2'!E24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'2'!J24</f>
        <v>0</v>
      </c>
      <c r="K24" s="61">
        <f>'2'!K24</f>
        <v>0</v>
      </c>
      <c r="L24" s="382" t="e">
        <f t="shared" si="1"/>
        <v>#DIV/0!</v>
      </c>
      <c r="M24" s="61">
        <f>'2'!M24</f>
        <v>0</v>
      </c>
      <c r="N24" s="61">
        <f>'2'!N24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0</v>
      </c>
      <c r="C26" s="68">
        <f>SUM(C21:C25)</f>
        <v>0</v>
      </c>
      <c r="D26" s="49">
        <f>SUM(D21:D25)</f>
        <v>0</v>
      </c>
      <c r="E26" s="69">
        <f>SUM(E22:E25)</f>
        <v>0</v>
      </c>
      <c r="F26" s="51" t="e">
        <f>E26/C26</f>
        <v>#DIV/0!</v>
      </c>
      <c r="G26" s="51"/>
      <c r="H26" s="70"/>
      <c r="I26" s="70"/>
      <c r="J26" s="71">
        <f>SUM(J22:J25)</f>
        <v>0</v>
      </c>
      <c r="K26" s="68">
        <f>SUM(K22:K25)</f>
        <v>0</v>
      </c>
      <c r="L26" s="51" t="e">
        <f>K26/C26</f>
        <v>#DIV/0!</v>
      </c>
      <c r="M26" s="71">
        <f>SUM(M22:M25)</f>
        <v>0</v>
      </c>
      <c r="N26" s="54">
        <f>SUM(N22:N25)</f>
        <v>0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0</v>
      </c>
      <c r="L27" s="51" t="e">
        <f>K27/C26</f>
        <v>#DIV/0!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'2'!A30</f>
        <v>WR</v>
      </c>
      <c r="B30" s="307">
        <f>'2'!B30</f>
        <v>0</v>
      </c>
      <c r="C30" s="307">
        <f>'2'!C30</f>
        <v>0</v>
      </c>
      <c r="D30" s="308">
        <f>'2'!D30</f>
        <v>0</v>
      </c>
      <c r="E30" s="308">
        <f>'2'!E30</f>
        <v>0</v>
      </c>
      <c r="F30" s="79"/>
      <c r="G30" s="307" t="str">
        <f>'2'!G30</f>
        <v>WR</v>
      </c>
      <c r="H30" s="309">
        <f>'2'!H30</f>
        <v>0</v>
      </c>
      <c r="I30" s="309">
        <f>'2'!I30</f>
        <v>0</v>
      </c>
      <c r="J30" s="170">
        <f>'2'!J30</f>
        <v>0</v>
      </c>
      <c r="K30" s="310">
        <f>'2'!K30</f>
        <v>0</v>
      </c>
      <c r="L30" s="79"/>
      <c r="M30" s="307" t="str">
        <f>'2'!M30</f>
        <v>WR</v>
      </c>
      <c r="N30" s="309">
        <f>'2'!N30</f>
        <v>0</v>
      </c>
      <c r="O30" s="309">
        <f>'2'!O30</f>
        <v>0</v>
      </c>
      <c r="P30" s="170">
        <f>'2'!P30</f>
        <v>0</v>
      </c>
      <c r="Q30" s="310">
        <f>'2'!Q30</f>
        <v>0</v>
      </c>
    </row>
    <row r="31" spans="1:17" x14ac:dyDescent="0.3">
      <c r="A31" s="307" t="str">
        <f>'2'!A31</f>
        <v>WR</v>
      </c>
      <c r="B31" s="307">
        <f>'2'!B31</f>
        <v>0</v>
      </c>
      <c r="C31" s="307">
        <f>'2'!C31</f>
        <v>0</v>
      </c>
      <c r="D31" s="308">
        <f>'2'!D31</f>
        <v>0</v>
      </c>
      <c r="E31" s="308">
        <f>'2'!E31</f>
        <v>0</v>
      </c>
      <c r="F31" s="135"/>
      <c r="G31" s="307" t="str">
        <f>'2'!G31</f>
        <v>WR</v>
      </c>
      <c r="H31" s="309">
        <f>'2'!H31</f>
        <v>0</v>
      </c>
      <c r="I31" s="309">
        <f>'2'!I31</f>
        <v>0</v>
      </c>
      <c r="J31" s="170">
        <f>'2'!J31</f>
        <v>0</v>
      </c>
      <c r="K31" s="310">
        <f>'2'!K31</f>
        <v>0</v>
      </c>
      <c r="L31" s="135"/>
      <c r="M31" s="307" t="str">
        <f>'2'!M31</f>
        <v>WR</v>
      </c>
      <c r="N31" s="309">
        <f>'2'!N31</f>
        <v>0</v>
      </c>
      <c r="O31" s="309">
        <f>'2'!O31</f>
        <v>0</v>
      </c>
      <c r="P31" s="170">
        <f>'2'!P31</f>
        <v>0</v>
      </c>
      <c r="Q31" s="310">
        <f>'2'!Q31</f>
        <v>0</v>
      </c>
    </row>
    <row r="32" spans="1:17" x14ac:dyDescent="0.3">
      <c r="A32" s="307" t="str">
        <f>'2'!A32</f>
        <v>WR</v>
      </c>
      <c r="B32" s="307">
        <f>'2'!B32</f>
        <v>0</v>
      </c>
      <c r="C32" s="307">
        <f>'2'!C32</f>
        <v>0</v>
      </c>
      <c r="D32" s="308">
        <f>'2'!D32</f>
        <v>0</v>
      </c>
      <c r="E32" s="308">
        <f>'2'!E32</f>
        <v>0</v>
      </c>
      <c r="F32" s="135"/>
      <c r="G32" s="307" t="str">
        <f>'2'!G32</f>
        <v>WR</v>
      </c>
      <c r="H32" s="309">
        <f>'2'!H32</f>
        <v>0</v>
      </c>
      <c r="I32" s="309">
        <f>'2'!I32</f>
        <v>0</v>
      </c>
      <c r="J32" s="170">
        <f>'2'!J32</f>
        <v>0</v>
      </c>
      <c r="K32" s="310">
        <f>'2'!K32</f>
        <v>0</v>
      </c>
      <c r="L32" s="135"/>
      <c r="M32" s="307" t="str">
        <f>'2'!M32</f>
        <v>WR</v>
      </c>
      <c r="N32" s="309">
        <f>'2'!N32</f>
        <v>0</v>
      </c>
      <c r="O32" s="309">
        <f>'2'!O32</f>
        <v>0</v>
      </c>
      <c r="P32" s="170">
        <f>'2'!P32</f>
        <v>0</v>
      </c>
      <c r="Q32" s="310">
        <f>'2'!Q32</f>
        <v>0</v>
      </c>
    </row>
    <row r="33" spans="1:17" x14ac:dyDescent="0.3">
      <c r="A33" s="307" t="str">
        <f>'2'!A33</f>
        <v>WR</v>
      </c>
      <c r="B33" s="307">
        <f>'2'!B33</f>
        <v>0</v>
      </c>
      <c r="C33" s="307">
        <f>'2'!C33</f>
        <v>0</v>
      </c>
      <c r="D33" s="308">
        <f>'2'!D33</f>
        <v>0</v>
      </c>
      <c r="E33" s="308">
        <f>'2'!E33</f>
        <v>0</v>
      </c>
      <c r="F33" s="135"/>
      <c r="G33" s="307" t="str">
        <f>'2'!G33</f>
        <v>WR</v>
      </c>
      <c r="H33" s="309">
        <f>'2'!H33</f>
        <v>0</v>
      </c>
      <c r="I33" s="309">
        <f>'2'!I33</f>
        <v>0</v>
      </c>
      <c r="J33" s="170">
        <f>'2'!J33</f>
        <v>0</v>
      </c>
      <c r="K33" s="310">
        <f>'2'!K33</f>
        <v>0</v>
      </c>
      <c r="L33" s="135"/>
      <c r="M33" s="307" t="str">
        <f>'2'!M33</f>
        <v>WR</v>
      </c>
      <c r="N33" s="309">
        <f>'2'!N33</f>
        <v>0</v>
      </c>
      <c r="O33" s="309">
        <f>'2'!O33</f>
        <v>0</v>
      </c>
      <c r="P33" s="170">
        <f>'2'!P33</f>
        <v>0</v>
      </c>
      <c r="Q33" s="310">
        <f>'2'!Q33</f>
        <v>0</v>
      </c>
    </row>
    <row r="34" spans="1:17" x14ac:dyDescent="0.3">
      <c r="A34" s="307" t="str">
        <f>'2'!A34</f>
        <v>WR</v>
      </c>
      <c r="B34" s="307">
        <f>'2'!B34</f>
        <v>0</v>
      </c>
      <c r="C34" s="307">
        <f>'2'!C34</f>
        <v>0</v>
      </c>
      <c r="D34" s="308">
        <f>'2'!D34</f>
        <v>0</v>
      </c>
      <c r="E34" s="308">
        <f>'2'!E34</f>
        <v>0</v>
      </c>
      <c r="F34" s="135"/>
      <c r="G34" s="307" t="str">
        <f>'2'!G34</f>
        <v>WR</v>
      </c>
      <c r="H34" s="309">
        <f>'2'!H34</f>
        <v>0</v>
      </c>
      <c r="I34" s="309">
        <f>'2'!I34</f>
        <v>0</v>
      </c>
      <c r="J34" s="170">
        <f>'2'!J34</f>
        <v>0</v>
      </c>
      <c r="K34" s="310">
        <f>'2'!K34</f>
        <v>0</v>
      </c>
      <c r="L34" s="135"/>
      <c r="M34" s="307" t="str">
        <f>'2'!M34</f>
        <v>WR</v>
      </c>
      <c r="N34" s="309">
        <f>'2'!N34</f>
        <v>0</v>
      </c>
      <c r="O34" s="309">
        <f>'2'!O34</f>
        <v>0</v>
      </c>
      <c r="P34" s="170">
        <f>'2'!P34</f>
        <v>0</v>
      </c>
      <c r="Q34" s="310">
        <f>'2'!Q34</f>
        <v>0</v>
      </c>
    </row>
    <row r="35" spans="1:17" x14ac:dyDescent="0.3">
      <c r="A35" s="307" t="str">
        <f>'2'!A35</f>
        <v>WR</v>
      </c>
      <c r="B35" s="307">
        <f>'2'!B35</f>
        <v>0</v>
      </c>
      <c r="C35" s="307">
        <f>'2'!C35</f>
        <v>0</v>
      </c>
      <c r="D35" s="308">
        <f>'2'!D35</f>
        <v>0</v>
      </c>
      <c r="E35" s="308">
        <f>'2'!E35</f>
        <v>0</v>
      </c>
      <c r="F35" s="135"/>
      <c r="G35" s="307" t="str">
        <f>'2'!G35</f>
        <v>WR</v>
      </c>
      <c r="H35" s="309">
        <f>'2'!H35</f>
        <v>0</v>
      </c>
      <c r="I35" s="309">
        <f>'2'!I35</f>
        <v>0</v>
      </c>
      <c r="J35" s="170">
        <f>'2'!J35</f>
        <v>0</v>
      </c>
      <c r="K35" s="310">
        <f>'2'!K35</f>
        <v>0</v>
      </c>
      <c r="L35" s="135"/>
      <c r="M35" s="307" t="str">
        <f>'2'!M35</f>
        <v>WR</v>
      </c>
      <c r="N35" s="309">
        <f>'2'!N35</f>
        <v>0</v>
      </c>
      <c r="O35" s="309">
        <f>'2'!O35</f>
        <v>0</v>
      </c>
      <c r="P35" s="170">
        <f>'2'!P35</f>
        <v>0</v>
      </c>
      <c r="Q35" s="310">
        <f>'2'!Q35</f>
        <v>0</v>
      </c>
    </row>
    <row r="36" spans="1:17" x14ac:dyDescent="0.3">
      <c r="A36" s="307" t="str">
        <f>'2'!A36</f>
        <v>WR</v>
      </c>
      <c r="B36" s="307">
        <f>'2'!B36</f>
        <v>0</v>
      </c>
      <c r="C36" s="307">
        <f>'2'!C36</f>
        <v>0</v>
      </c>
      <c r="D36" s="308">
        <f>'2'!D36</f>
        <v>0</v>
      </c>
      <c r="E36" s="308">
        <f>'2'!E36</f>
        <v>0</v>
      </c>
      <c r="F36" s="135"/>
      <c r="G36" s="307" t="str">
        <f>'2'!G36</f>
        <v>WR</v>
      </c>
      <c r="H36" s="309">
        <f>'2'!H36</f>
        <v>0</v>
      </c>
      <c r="I36" s="309">
        <f>'2'!I36</f>
        <v>0</v>
      </c>
      <c r="J36" s="170">
        <f>'2'!J36</f>
        <v>0</v>
      </c>
      <c r="K36" s="310">
        <f>'2'!K36</f>
        <v>0</v>
      </c>
      <c r="L36" s="135"/>
      <c r="M36" s="307" t="str">
        <f>'2'!M36</f>
        <v>WR</v>
      </c>
      <c r="N36" s="309">
        <f>'2'!N36</f>
        <v>0</v>
      </c>
      <c r="O36" s="309">
        <f>'2'!O36</f>
        <v>0</v>
      </c>
      <c r="P36" s="170">
        <f>'2'!P36</f>
        <v>0</v>
      </c>
      <c r="Q36" s="310">
        <f>'2'!Q36</f>
        <v>0</v>
      </c>
    </row>
    <row r="37" spans="1:17" x14ac:dyDescent="0.3">
      <c r="A37" s="307" t="str">
        <f>'2'!A37</f>
        <v>WR</v>
      </c>
      <c r="B37" s="307">
        <f>'2'!B37</f>
        <v>0</v>
      </c>
      <c r="C37" s="307">
        <f>'2'!C37</f>
        <v>0</v>
      </c>
      <c r="D37" s="308">
        <f>'2'!D37</f>
        <v>0</v>
      </c>
      <c r="E37" s="308">
        <f>'2'!E37</f>
        <v>0</v>
      </c>
      <c r="F37" s="135"/>
      <c r="G37" s="307" t="str">
        <f>'2'!G37</f>
        <v>WR</v>
      </c>
      <c r="H37" s="309">
        <f>'2'!H37</f>
        <v>0</v>
      </c>
      <c r="I37" s="309">
        <f>'2'!I37</f>
        <v>0</v>
      </c>
      <c r="J37" s="170">
        <f>'2'!J37</f>
        <v>0</v>
      </c>
      <c r="K37" s="310">
        <f>'2'!K37</f>
        <v>0</v>
      </c>
      <c r="L37" s="135"/>
      <c r="M37" s="307" t="str">
        <f>'2'!M37</f>
        <v>WR</v>
      </c>
      <c r="N37" s="309">
        <f>'2'!N37</f>
        <v>0</v>
      </c>
      <c r="O37" s="309">
        <f>'2'!O37</f>
        <v>0</v>
      </c>
      <c r="P37" s="170">
        <f>'2'!P37</f>
        <v>0</v>
      </c>
      <c r="Q37" s="310">
        <f>'2'!Q37</f>
        <v>0</v>
      </c>
    </row>
    <row r="38" spans="1:17" x14ac:dyDescent="0.3">
      <c r="A38" s="307" t="str">
        <f>'2'!A38</f>
        <v>WR</v>
      </c>
      <c r="B38" s="307">
        <f>'2'!B38</f>
        <v>0</v>
      </c>
      <c r="C38" s="307">
        <f>'2'!C38</f>
        <v>0</v>
      </c>
      <c r="D38" s="308">
        <f>'2'!D38</f>
        <v>0</v>
      </c>
      <c r="E38" s="308">
        <f>'2'!E38</f>
        <v>0</v>
      </c>
      <c r="F38" s="135"/>
      <c r="G38" s="307" t="str">
        <f>'2'!G38</f>
        <v>WR</v>
      </c>
      <c r="H38" s="309">
        <f>'2'!H38</f>
        <v>0</v>
      </c>
      <c r="I38" s="309">
        <f>'2'!I38</f>
        <v>0</v>
      </c>
      <c r="J38" s="170">
        <f>'2'!J38</f>
        <v>0</v>
      </c>
      <c r="K38" s="310">
        <f>'2'!K38</f>
        <v>0</v>
      </c>
      <c r="L38" s="135"/>
      <c r="M38" s="307" t="str">
        <f>'2'!M38</f>
        <v>WR</v>
      </c>
      <c r="N38" s="309">
        <f>'2'!N38</f>
        <v>0</v>
      </c>
      <c r="O38" s="309">
        <f>'2'!O38</f>
        <v>0</v>
      </c>
      <c r="P38" s="170">
        <f>'2'!P38</f>
        <v>0</v>
      </c>
      <c r="Q38" s="310">
        <f>'2'!Q38</f>
        <v>0</v>
      </c>
    </row>
    <row r="39" spans="1:17" x14ac:dyDescent="0.3">
      <c r="A39" s="307" t="str">
        <f>'2'!A39</f>
        <v>WR</v>
      </c>
      <c r="B39" s="307">
        <f>'2'!B39</f>
        <v>0</v>
      </c>
      <c r="C39" s="307">
        <f>'2'!C39</f>
        <v>0</v>
      </c>
      <c r="D39" s="308">
        <f>'2'!D39</f>
        <v>0</v>
      </c>
      <c r="E39" s="308">
        <f>'2'!E39</f>
        <v>0</v>
      </c>
      <c r="F39" s="135"/>
      <c r="G39" s="307" t="str">
        <f>'2'!G39</f>
        <v>WR</v>
      </c>
      <c r="H39" s="309">
        <f>'2'!H39</f>
        <v>0</v>
      </c>
      <c r="I39" s="309">
        <f>'2'!I39</f>
        <v>0</v>
      </c>
      <c r="J39" s="170">
        <f>'2'!J39</f>
        <v>0</v>
      </c>
      <c r="K39" s="310">
        <f>'2'!K39</f>
        <v>0</v>
      </c>
      <c r="L39" s="135"/>
      <c r="M39" s="307" t="str">
        <f>'2'!M39</f>
        <v>WR</v>
      </c>
      <c r="N39" s="309">
        <f>'2'!N39</f>
        <v>0</v>
      </c>
      <c r="O39" s="309">
        <f>'2'!O39</f>
        <v>0</v>
      </c>
      <c r="P39" s="170">
        <f>'2'!P39</f>
        <v>0</v>
      </c>
      <c r="Q39" s="310">
        <f>'2'!Q39</f>
        <v>0</v>
      </c>
    </row>
    <row r="40" spans="1:17" x14ac:dyDescent="0.3">
      <c r="A40" s="307" t="str">
        <f>'2'!A40</f>
        <v>WR</v>
      </c>
      <c r="B40" s="307">
        <f>'2'!B40</f>
        <v>0</v>
      </c>
      <c r="C40" s="307">
        <f>'2'!C40</f>
        <v>0</v>
      </c>
      <c r="D40" s="308">
        <f>'2'!D40</f>
        <v>0</v>
      </c>
      <c r="E40" s="308">
        <f>'2'!E40</f>
        <v>0</v>
      </c>
      <c r="F40" s="135"/>
      <c r="G40" s="307" t="str">
        <f>'2'!G40</f>
        <v>WR</v>
      </c>
      <c r="H40" s="309">
        <f>'2'!H40</f>
        <v>0</v>
      </c>
      <c r="I40" s="309">
        <f>'2'!I40</f>
        <v>0</v>
      </c>
      <c r="J40" s="170">
        <f>'2'!J40</f>
        <v>0</v>
      </c>
      <c r="K40" s="310">
        <f>'2'!K40</f>
        <v>0</v>
      </c>
      <c r="L40" s="135"/>
      <c r="M40" s="307" t="str">
        <f>'2'!M40</f>
        <v>WR</v>
      </c>
      <c r="N40" s="309">
        <f>'2'!N40</f>
        <v>0</v>
      </c>
      <c r="O40" s="309">
        <f>'2'!O40</f>
        <v>0</v>
      </c>
      <c r="P40" s="170">
        <f>'2'!P40</f>
        <v>0</v>
      </c>
      <c r="Q40" s="310">
        <f>'2'!Q40</f>
        <v>0</v>
      </c>
    </row>
    <row r="41" spans="1:17" x14ac:dyDescent="0.3">
      <c r="A41" s="307" t="str">
        <f>'2'!A41</f>
        <v>WR</v>
      </c>
      <c r="B41" s="307">
        <f>'2'!B41</f>
        <v>0</v>
      </c>
      <c r="C41" s="307">
        <f>'2'!C41</f>
        <v>0</v>
      </c>
      <c r="D41" s="308">
        <f>'2'!D41</f>
        <v>0</v>
      </c>
      <c r="E41" s="308">
        <f>'2'!E41</f>
        <v>0</v>
      </c>
      <c r="F41" s="135"/>
      <c r="G41" s="307" t="str">
        <f>'2'!G41</f>
        <v>WR</v>
      </c>
      <c r="H41" s="309">
        <f>'2'!H41</f>
        <v>0</v>
      </c>
      <c r="I41" s="309">
        <f>'2'!I41</f>
        <v>0</v>
      </c>
      <c r="J41" s="170">
        <f>'2'!J41</f>
        <v>0</v>
      </c>
      <c r="K41" s="310">
        <f>'2'!K41</f>
        <v>0</v>
      </c>
      <c r="L41" s="135"/>
      <c r="M41" s="307" t="str">
        <f>'2'!M41</f>
        <v>WR</v>
      </c>
      <c r="N41" s="309">
        <f>'2'!N41</f>
        <v>0</v>
      </c>
      <c r="O41" s="309">
        <f>'2'!O41</f>
        <v>0</v>
      </c>
      <c r="P41" s="170">
        <f>'2'!P41</f>
        <v>0</v>
      </c>
      <c r="Q41" s="310">
        <f>'2'!Q41</f>
        <v>0</v>
      </c>
    </row>
    <row r="42" spans="1:17" x14ac:dyDescent="0.3">
      <c r="A42" s="307" t="str">
        <f>'2'!A42</f>
        <v>WR</v>
      </c>
      <c r="B42" s="307">
        <f>'2'!B42</f>
        <v>0</v>
      </c>
      <c r="C42" s="307">
        <f>'2'!C42</f>
        <v>0</v>
      </c>
      <c r="D42" s="308">
        <f>'2'!D42</f>
        <v>0</v>
      </c>
      <c r="E42" s="308">
        <f>'2'!E42</f>
        <v>0</v>
      </c>
      <c r="F42" s="135"/>
      <c r="G42" s="307" t="str">
        <f>'2'!G42</f>
        <v>WR</v>
      </c>
      <c r="H42" s="309">
        <f>'2'!H42</f>
        <v>0</v>
      </c>
      <c r="I42" s="309">
        <f>'2'!I42</f>
        <v>0</v>
      </c>
      <c r="J42" s="170">
        <f>'2'!J42</f>
        <v>0</v>
      </c>
      <c r="K42" s="310">
        <f>'2'!K42</f>
        <v>0</v>
      </c>
      <c r="L42" s="135"/>
      <c r="M42" s="307" t="str">
        <f>'2'!M42</f>
        <v>WR</v>
      </c>
      <c r="N42" s="309">
        <f>'2'!N42</f>
        <v>0</v>
      </c>
      <c r="O42" s="309">
        <f>'2'!O42</f>
        <v>0</v>
      </c>
      <c r="P42" s="170">
        <f>'2'!P42</f>
        <v>0</v>
      </c>
      <c r="Q42" s="310">
        <f>'2'!Q42</f>
        <v>0</v>
      </c>
    </row>
    <row r="43" spans="1:17" x14ac:dyDescent="0.3">
      <c r="A43" s="307" t="str">
        <f>'2'!A43</f>
        <v>WR</v>
      </c>
      <c r="B43" s="307">
        <f>'2'!B43</f>
        <v>0</v>
      </c>
      <c r="C43" s="307">
        <f>'2'!C43</f>
        <v>0</v>
      </c>
      <c r="D43" s="308">
        <f>'2'!D43</f>
        <v>0</v>
      </c>
      <c r="E43" s="308">
        <f>'2'!E43</f>
        <v>0</v>
      </c>
      <c r="F43" s="135"/>
      <c r="G43" s="307" t="str">
        <f>'2'!G43</f>
        <v>WR</v>
      </c>
      <c r="H43" s="309">
        <f>'2'!H43</f>
        <v>0</v>
      </c>
      <c r="I43" s="309">
        <f>'2'!I43</f>
        <v>0</v>
      </c>
      <c r="J43" s="170">
        <f>'2'!J43</f>
        <v>0</v>
      </c>
      <c r="K43" s="310">
        <f>'2'!K43</f>
        <v>0</v>
      </c>
      <c r="L43" s="135"/>
      <c r="M43" s="307" t="str">
        <f>'2'!M43</f>
        <v>WR</v>
      </c>
      <c r="N43" s="309">
        <f>'2'!N43</f>
        <v>0</v>
      </c>
      <c r="O43" s="309">
        <f>'2'!O43</f>
        <v>0</v>
      </c>
      <c r="P43" s="170">
        <f>'2'!P43</f>
        <v>0</v>
      </c>
      <c r="Q43" s="310">
        <f>'2'!Q43</f>
        <v>0</v>
      </c>
    </row>
    <row r="44" spans="1:17" x14ac:dyDescent="0.3">
      <c r="A44" s="307" t="str">
        <f>'2'!A44</f>
        <v>WR</v>
      </c>
      <c r="B44" s="307">
        <f>'2'!B44</f>
        <v>0</v>
      </c>
      <c r="C44" s="307">
        <f>'2'!C44</f>
        <v>0</v>
      </c>
      <c r="D44" s="308">
        <f>'2'!D44</f>
        <v>0</v>
      </c>
      <c r="E44" s="308">
        <f>'2'!E44</f>
        <v>0</v>
      </c>
      <c r="F44" s="135"/>
      <c r="G44" s="307" t="str">
        <f>'2'!G44</f>
        <v>WR</v>
      </c>
      <c r="H44" s="309">
        <f>'2'!H44</f>
        <v>0</v>
      </c>
      <c r="I44" s="309">
        <f>'2'!I44</f>
        <v>0</v>
      </c>
      <c r="J44" s="170">
        <f>'2'!J44</f>
        <v>0</v>
      </c>
      <c r="K44" s="310">
        <f>'2'!K44</f>
        <v>0</v>
      </c>
      <c r="L44" s="135"/>
      <c r="M44" s="307" t="str">
        <f>'2'!M44</f>
        <v>WR</v>
      </c>
      <c r="N44" s="309">
        <f>'2'!N44</f>
        <v>0</v>
      </c>
      <c r="O44" s="309">
        <f>'2'!O44</f>
        <v>0</v>
      </c>
      <c r="P44" s="170">
        <f>'2'!P44</f>
        <v>0</v>
      </c>
      <c r="Q44" s="310">
        <f>'2'!Q44</f>
        <v>0</v>
      </c>
    </row>
    <row r="45" spans="1:17" x14ac:dyDescent="0.3">
      <c r="A45" s="307" t="str">
        <f>'2'!A45</f>
        <v>WR</v>
      </c>
      <c r="B45" s="307">
        <f>'2'!B45</f>
        <v>0</v>
      </c>
      <c r="C45" s="307">
        <f>'2'!C45</f>
        <v>0</v>
      </c>
      <c r="D45" s="308">
        <f>'2'!D45</f>
        <v>0</v>
      </c>
      <c r="E45" s="308">
        <f>'2'!E45</f>
        <v>0</v>
      </c>
      <c r="F45" s="135"/>
      <c r="G45" s="307" t="str">
        <f>'2'!G45</f>
        <v>WR</v>
      </c>
      <c r="H45" s="309">
        <f>'2'!H45</f>
        <v>0</v>
      </c>
      <c r="I45" s="309">
        <f>'2'!I45</f>
        <v>0</v>
      </c>
      <c r="J45" s="170">
        <f>'2'!J45</f>
        <v>0</v>
      </c>
      <c r="K45" s="310">
        <f>'2'!K45</f>
        <v>0</v>
      </c>
      <c r="L45" s="135"/>
      <c r="M45" s="307" t="str">
        <f>'2'!M45</f>
        <v>WR</v>
      </c>
      <c r="N45" s="309">
        <f>'2'!N45</f>
        <v>0</v>
      </c>
      <c r="O45" s="309">
        <f>'2'!O45</f>
        <v>0</v>
      </c>
      <c r="P45" s="170">
        <f>'2'!P45</f>
        <v>0</v>
      </c>
      <c r="Q45" s="310">
        <f>'2'!Q45</f>
        <v>0</v>
      </c>
    </row>
    <row r="46" spans="1:17" x14ac:dyDescent="0.3">
      <c r="A46" s="307" t="str">
        <f>'2'!A46</f>
        <v>WR</v>
      </c>
      <c r="B46" s="307">
        <f>'2'!B46</f>
        <v>0</v>
      </c>
      <c r="C46" s="307">
        <f>'2'!C46</f>
        <v>0</v>
      </c>
      <c r="D46" s="308">
        <f>'2'!D46</f>
        <v>0</v>
      </c>
      <c r="E46" s="308">
        <f>'2'!E46</f>
        <v>0</v>
      </c>
      <c r="F46" s="135"/>
      <c r="G46" s="307" t="str">
        <f>'2'!G46</f>
        <v>WR</v>
      </c>
      <c r="H46" s="309">
        <f>'2'!H46</f>
        <v>0</v>
      </c>
      <c r="I46" s="309">
        <f>'2'!I46</f>
        <v>0</v>
      </c>
      <c r="J46" s="170">
        <f>'2'!J46</f>
        <v>0</v>
      </c>
      <c r="K46" s="310">
        <f>'2'!K46</f>
        <v>0</v>
      </c>
      <c r="L46" s="135"/>
      <c r="M46" s="307" t="str">
        <f>'2'!M46</f>
        <v>WR</v>
      </c>
      <c r="N46" s="309">
        <f>'2'!N46</f>
        <v>0</v>
      </c>
      <c r="O46" s="309">
        <f>'2'!O46</f>
        <v>0</v>
      </c>
      <c r="P46" s="170">
        <f>'2'!P46</f>
        <v>0</v>
      </c>
      <c r="Q46" s="310">
        <f>'2'!Q46</f>
        <v>0</v>
      </c>
    </row>
    <row r="47" spans="1:17" x14ac:dyDescent="0.3">
      <c r="A47" s="307" t="str">
        <f>'2'!A47</f>
        <v>WR</v>
      </c>
      <c r="B47" s="307">
        <f>'2'!B47</f>
        <v>0</v>
      </c>
      <c r="C47" s="307">
        <f>'2'!C47</f>
        <v>0</v>
      </c>
      <c r="D47" s="308">
        <f>'2'!D47</f>
        <v>0</v>
      </c>
      <c r="E47" s="308">
        <f>'2'!E47</f>
        <v>0</v>
      </c>
      <c r="F47" s="135"/>
      <c r="G47" s="307" t="str">
        <f>'2'!G47</f>
        <v>WR</v>
      </c>
      <c r="H47" s="309">
        <f>'2'!H47</f>
        <v>0</v>
      </c>
      <c r="I47" s="309">
        <f>'2'!I47</f>
        <v>0</v>
      </c>
      <c r="J47" s="170">
        <f>'2'!J47</f>
        <v>0</v>
      </c>
      <c r="K47" s="310">
        <f>'2'!K47</f>
        <v>0</v>
      </c>
      <c r="L47" s="135"/>
      <c r="M47" s="307" t="str">
        <f>'2'!M47</f>
        <v>WR</v>
      </c>
      <c r="N47" s="309">
        <f>'2'!N47</f>
        <v>0</v>
      </c>
      <c r="O47" s="309">
        <f>'2'!O47</f>
        <v>0</v>
      </c>
      <c r="P47" s="170">
        <f>'2'!P47</f>
        <v>0</v>
      </c>
      <c r="Q47" s="310">
        <f>'2'!Q47</f>
        <v>0</v>
      </c>
    </row>
    <row r="48" spans="1:17" x14ac:dyDescent="0.3">
      <c r="A48" s="307" t="str">
        <f>'2'!A48</f>
        <v>WR</v>
      </c>
      <c r="B48" s="307">
        <f>'2'!B48</f>
        <v>0</v>
      </c>
      <c r="C48" s="307">
        <f>'2'!C48</f>
        <v>0</v>
      </c>
      <c r="D48" s="308">
        <f>'2'!D48</f>
        <v>0</v>
      </c>
      <c r="E48" s="308">
        <f>'2'!E48</f>
        <v>0</v>
      </c>
      <c r="F48" s="135"/>
      <c r="G48" s="307" t="str">
        <f>'2'!G48</f>
        <v>WR</v>
      </c>
      <c r="H48" s="309">
        <f>'2'!H48</f>
        <v>0</v>
      </c>
      <c r="I48" s="309">
        <f>'2'!I48</f>
        <v>0</v>
      </c>
      <c r="J48" s="170">
        <f>'2'!J48</f>
        <v>0</v>
      </c>
      <c r="K48" s="310">
        <f>'2'!K48</f>
        <v>0</v>
      </c>
      <c r="L48" s="135"/>
      <c r="M48" s="307" t="str">
        <f>'2'!M48</f>
        <v>WR</v>
      </c>
      <c r="N48" s="309">
        <f>'2'!N48</f>
        <v>0</v>
      </c>
      <c r="O48" s="309">
        <f>'2'!O48</f>
        <v>0</v>
      </c>
      <c r="P48" s="170">
        <f>'2'!P48</f>
        <v>0</v>
      </c>
      <c r="Q48" s="310">
        <f>'2'!Q48</f>
        <v>0</v>
      </c>
    </row>
    <row r="49" spans="1:23" x14ac:dyDescent="0.3">
      <c r="A49" s="307" t="str">
        <f>'2'!A49</f>
        <v>WR</v>
      </c>
      <c r="B49" s="307">
        <f>'2'!B49</f>
        <v>0</v>
      </c>
      <c r="C49" s="307">
        <f>'2'!C49</f>
        <v>0</v>
      </c>
      <c r="D49" s="308">
        <f>'2'!D49</f>
        <v>0</v>
      </c>
      <c r="E49" s="308">
        <f>'2'!E49</f>
        <v>0</v>
      </c>
      <c r="F49" s="3"/>
      <c r="G49" s="307" t="str">
        <f>'2'!G49</f>
        <v>WR</v>
      </c>
      <c r="H49" s="309">
        <f>'2'!H49</f>
        <v>0</v>
      </c>
      <c r="I49" s="309">
        <f>'2'!I49</f>
        <v>0</v>
      </c>
      <c r="J49" s="170">
        <f>'2'!J49</f>
        <v>0</v>
      </c>
      <c r="K49" s="310">
        <f>'2'!K49</f>
        <v>0</v>
      </c>
      <c r="L49" s="3"/>
      <c r="M49" s="307" t="str">
        <f>'2'!M49</f>
        <v>WR</v>
      </c>
      <c r="N49" s="309">
        <f>'2'!N49</f>
        <v>0</v>
      </c>
      <c r="O49" s="309">
        <f>'2'!O49</f>
        <v>0</v>
      </c>
      <c r="P49" s="170">
        <f>'2'!P49</f>
        <v>0</v>
      </c>
      <c r="Q49" s="310">
        <f>'2'!Q49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46025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 t="s">
        <v>198</v>
      </c>
      <c r="E55" s="506"/>
      <c r="F55" s="506"/>
      <c r="G55" s="506"/>
      <c r="H55" s="506"/>
      <c r="I55" s="506"/>
      <c r="J55" s="93">
        <v>1440</v>
      </c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0</v>
      </c>
      <c r="R55" s="395"/>
      <c r="S55" s="388">
        <f>DAY(A52)</f>
        <v>3</v>
      </c>
      <c r="T55" s="383">
        <f>S55-U55</f>
        <v>0</v>
      </c>
      <c r="U55" s="383">
        <v>3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0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 t="e">
        <f>L27</f>
        <v>#DIV/0!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0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 t="e">
        <f>F26</f>
        <v>#DIV/0!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</f>
        <v>4320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1440</v>
      </c>
      <c r="Q61" s="126">
        <f>'1'!Q61+'2'!P61+'3'!P61</f>
        <v>4320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38">
        <v>1440</v>
      </c>
      <c r="Q62" s="99">
        <f>'1'!Q62+'2'!P62+'3'!P62</f>
        <v>4320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</f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26">
        <f>'1'!Q65+'2'!P65+'3'!P65</f>
        <v>0</v>
      </c>
      <c r="R65" s="395"/>
      <c r="S65" s="171" t="s">
        <v>56</v>
      </c>
      <c r="T65" s="172"/>
      <c r="U65" s="173" t="s">
        <v>151</v>
      </c>
      <c r="V65" s="174"/>
      <c r="W65" s="181">
        <f>'2'!W65+'3'!V65</f>
        <v>0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</f>
        <v>0</v>
      </c>
      <c r="R66" s="399"/>
      <c r="S66" s="377" t="s">
        <v>58</v>
      </c>
      <c r="T66" s="175"/>
      <c r="U66" s="176" t="s">
        <v>151</v>
      </c>
      <c r="V66" s="177"/>
      <c r="W66" s="182">
        <f>'2'!W66+'3'!V66</f>
        <v>0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>'1'!Q67+'2'!P67+'3'!P67</f>
        <v>0</v>
      </c>
      <c r="R67" s="399"/>
      <c r="S67" s="377" t="s">
        <v>60</v>
      </c>
      <c r="T67" s="175"/>
      <c r="U67" s="176" t="s">
        <v>151</v>
      </c>
      <c r="V67" s="177"/>
      <c r="W67" s="182">
        <f>'2'!W67+'3'!V67</f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>'1'!Q68+'2'!P68+'3'!P68</f>
        <v>0</v>
      </c>
      <c r="R68" s="409"/>
      <c r="S68" s="377" t="s">
        <v>62</v>
      </c>
      <c r="T68" s="175"/>
      <c r="U68" s="176" t="s">
        <v>151</v>
      </c>
      <c r="V68" s="177"/>
      <c r="W68" s="182">
        <f>'2'!W68+'3'!V68</f>
        <v>0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0</v>
      </c>
      <c r="Q69" s="100">
        <f>'1'!Q69+'2'!P69+'3'!P69</f>
        <v>0</v>
      </c>
      <c r="R69" s="395"/>
      <c r="S69" s="376" t="s">
        <v>64</v>
      </c>
      <c r="T69" s="178"/>
      <c r="U69" s="179" t="s">
        <v>151</v>
      </c>
      <c r="V69" s="180"/>
      <c r="W69" s="183">
        <f>'2'!W69+'3'!V69</f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>'1'!Q70+'2'!P70+'3'!P70</f>
        <v>0</v>
      </c>
      <c r="R70" s="399">
        <f>T55*30</f>
        <v>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>'1'!Q71+'2'!P71+'3'!P71</f>
        <v>0</v>
      </c>
      <c r="R71" s="399">
        <f>T55*25</f>
        <v>0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</f>
        <v>0</v>
      </c>
      <c r="R72" s="399">
        <f>T55*10</f>
        <v>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</f>
        <v>0</v>
      </c>
      <c r="R73" s="399"/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101">
        <f>'1'!Q74+'2'!P74+'3'!P74</f>
        <v>0</v>
      </c>
      <c r="R74" s="409"/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0</v>
      </c>
      <c r="Q75" s="94">
        <f>'1'!Q75+'2'!P75+'3'!P75</f>
        <v>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>'1'!Q76+'2'!P76+'3'!P76</f>
        <v>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94">
        <f>'1'!Q77+'2'!P77+'3'!P77</f>
        <v>0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</f>
        <v>0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1440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0</v>
      </c>
      <c r="Q79" s="94">
        <f>'1'!Q79+'2'!P79+'3'!P79</f>
        <v>0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 t="e">
        <f>P79/P75</f>
        <v>#DIV/0!</v>
      </c>
      <c r="Q80" s="103" t="e">
        <f>Q79/Q75</f>
        <v>#DIV/0!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</v>
      </c>
      <c r="Q81" s="105">
        <f>Q79/Q60</f>
        <v>0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 t="e">
        <f>(C16/1000)/(P79/60)</f>
        <v>#DIV/0!</v>
      </c>
      <c r="Q82" s="108" t="e">
        <f>(C26/1000)/(Q79/60)</f>
        <v>#DIV/0!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 t="e">
        <f>(C16/1000)/(P75/60)</f>
        <v>#DIV/0!</v>
      </c>
      <c r="Q83" s="113" t="e">
        <f>(C26/1000)/(Q75/60)</f>
        <v>#DIV/0!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0</v>
      </c>
      <c r="Q84" s="126">
        <f>'1'!Q84+'2'!P84+'3'!P84</f>
        <v>0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 t="e">
        <f>P84/(K17/1000)</f>
        <v>#DIV/0!</v>
      </c>
      <c r="Q85" s="124" t="e">
        <f>Q84/(K27/1000)</f>
        <v>#DIV/0!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11.47</v>
      </c>
      <c r="Q86" s="126">
        <f>'1'!Q86+'2'!P86+'3'!P86</f>
        <v>21.8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 t="e">
        <f>(Q86*1000)/(K26/1000)</f>
        <v>#DIV/0!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0</v>
      </c>
      <c r="Q88" s="100">
        <f>'1'!Q88+'2'!P88+'3'!P88</f>
        <v>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124" t="e">
        <f>Q88/(K26/1000)</f>
        <v>#DIV/0!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19" priority="1" operator="lessThan">
      <formula>0.0018</formula>
    </cfRule>
  </conditionalFormatting>
  <pageMargins left="0.7" right="0.7" top="0.25" bottom="0.25" header="0.3" footer="0.3"/>
  <pageSetup paperSize="9" scale="78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B55" workbookViewId="0">
      <selection activeCell="R59" sqref="R59"/>
    </sheetView>
  </sheetViews>
  <sheetFormatPr defaultRowHeight="16.5" x14ac:dyDescent="0.3"/>
  <cols>
    <col min="1" max="1" width="7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'3'!A3:Q3+1</f>
        <v>46026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/>
      <c r="B7" s="15"/>
      <c r="C7" s="15"/>
      <c r="D7" s="16"/>
      <c r="E7" s="17"/>
      <c r="F7" s="18"/>
      <c r="G7" s="19" t="s">
        <v>1</v>
      </c>
      <c r="H7" s="20"/>
      <c r="I7" s="21"/>
      <c r="J7" s="22"/>
      <c r="K7" s="17"/>
      <c r="L7" s="23" t="e">
        <f t="shared" ref="L7:L16" si="0">K7/C7</f>
        <v>#DIV/0!</v>
      </c>
      <c r="M7" s="17"/>
      <c r="N7" s="22"/>
      <c r="O7" s="134"/>
      <c r="P7" s="134"/>
      <c r="Q7" s="134"/>
    </row>
    <row r="8" spans="1:17" x14ac:dyDescent="0.3">
      <c r="A8" s="24"/>
      <c r="B8" s="25"/>
      <c r="C8" s="25"/>
      <c r="D8" s="26"/>
      <c r="E8" s="27"/>
      <c r="F8" s="28"/>
      <c r="G8" s="29" t="s">
        <v>1</v>
      </c>
      <c r="H8" s="30"/>
      <c r="I8" s="31"/>
      <c r="J8" s="32"/>
      <c r="K8" s="33"/>
      <c r="L8" s="34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si="0"/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'3'!B22+'4'!B16</f>
        <v>0</v>
      </c>
      <c r="C22" s="57">
        <f>'3'!C22+'4'!C16</f>
        <v>0</v>
      </c>
      <c r="D22" s="57">
        <f>'3'!D22+'4'!D16</f>
        <v>0</v>
      </c>
      <c r="E22" s="57">
        <f>'3'!E22+'4'!E16</f>
        <v>0</v>
      </c>
      <c r="F22" s="423" t="e">
        <f>E22/C22</f>
        <v>#DIV/0!</v>
      </c>
      <c r="G22" s="58" t="s">
        <v>1</v>
      </c>
      <c r="H22" s="59"/>
      <c r="I22" s="59"/>
      <c r="J22" s="57">
        <f>'3'!J22+'4'!J16</f>
        <v>0</v>
      </c>
      <c r="K22" s="57">
        <f>'3'!K22+'4'!K16</f>
        <v>0</v>
      </c>
      <c r="L22" s="60" t="e">
        <f>K22/C22</f>
        <v>#DIV/0!</v>
      </c>
      <c r="M22" s="57">
        <f>'3'!M22+'4'!M16</f>
        <v>0</v>
      </c>
      <c r="N22" s="57">
        <f>'3'!N22+'4'!N16</f>
        <v>0</v>
      </c>
      <c r="O22" s="135"/>
      <c r="P22" s="135"/>
      <c r="Q22" s="135"/>
    </row>
    <row r="23" spans="1:17" x14ac:dyDescent="0.3">
      <c r="A23" s="521"/>
      <c r="B23" s="61">
        <f>'3'!B23</f>
        <v>0</v>
      </c>
      <c r="C23" s="61">
        <f>'3'!C23</f>
        <v>0</v>
      </c>
      <c r="D23" s="61">
        <f>'3'!D23</f>
        <v>0</v>
      </c>
      <c r="E23" s="61">
        <f>'3'!E23</f>
        <v>0</v>
      </c>
      <c r="F23" s="424" t="e">
        <f>E23/C23</f>
        <v>#DIV/0!</v>
      </c>
      <c r="G23" s="381" t="s">
        <v>195</v>
      </c>
      <c r="H23" s="59"/>
      <c r="I23" s="59"/>
      <c r="J23" s="61">
        <f>'3'!J23</f>
        <v>0</v>
      </c>
      <c r="K23" s="61">
        <f>'3'!K23</f>
        <v>0</v>
      </c>
      <c r="L23" s="382" t="e">
        <f t="shared" ref="L23:L24" si="1">K23/C23</f>
        <v>#DIV/0!</v>
      </c>
      <c r="M23" s="61">
        <f>'3'!M23</f>
        <v>0</v>
      </c>
      <c r="N23" s="61">
        <f>'3'!N23</f>
        <v>0</v>
      </c>
      <c r="O23" s="135"/>
      <c r="P23" s="135"/>
      <c r="Q23" s="135"/>
    </row>
    <row r="24" spans="1:17" x14ac:dyDescent="0.3">
      <c r="A24" s="521"/>
      <c r="B24" s="61">
        <f>'3'!B24</f>
        <v>0</v>
      </c>
      <c r="C24" s="61">
        <f>'3'!C24</f>
        <v>0</v>
      </c>
      <c r="D24" s="61">
        <f>'3'!D24</f>
        <v>0</v>
      </c>
      <c r="E24" s="61">
        <f>'3'!E24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'3'!J24</f>
        <v>0</v>
      </c>
      <c r="K24" s="61">
        <f>'3'!K24</f>
        <v>0</v>
      </c>
      <c r="L24" s="382" t="e">
        <f t="shared" si="1"/>
        <v>#DIV/0!</v>
      </c>
      <c r="M24" s="61">
        <f>'3'!M24</f>
        <v>0</v>
      </c>
      <c r="N24" s="61">
        <f>'3'!N24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0</v>
      </c>
      <c r="C26" s="68">
        <f>SUM(C21:C25)</f>
        <v>0</v>
      </c>
      <c r="D26" s="49">
        <f>SUM(D21:D25)</f>
        <v>0</v>
      </c>
      <c r="E26" s="69">
        <f>SUM(E22:E25)</f>
        <v>0</v>
      </c>
      <c r="F26" s="51" t="e">
        <f>E26/C26</f>
        <v>#DIV/0!</v>
      </c>
      <c r="G26" s="51"/>
      <c r="H26" s="70"/>
      <c r="I26" s="70"/>
      <c r="J26" s="71">
        <f>SUM(J22:J25)</f>
        <v>0</v>
      </c>
      <c r="K26" s="68">
        <f>SUM(K22:K25)</f>
        <v>0</v>
      </c>
      <c r="L26" s="51" t="e">
        <f>K26/C26</f>
        <v>#DIV/0!</v>
      </c>
      <c r="M26" s="71">
        <f>SUM(M22:M25)</f>
        <v>0</v>
      </c>
      <c r="N26" s="54">
        <f>SUM(N22:N25)</f>
        <v>0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0</v>
      </c>
      <c r="L27" s="51" t="e">
        <f>K27/C26</f>
        <v>#DIV/0!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'3'!A30</f>
        <v>WR</v>
      </c>
      <c r="B30" s="307">
        <f>'3'!B30</f>
        <v>0</v>
      </c>
      <c r="C30" s="307">
        <f>'3'!C30</f>
        <v>0</v>
      </c>
      <c r="D30" s="308">
        <f>'3'!D30</f>
        <v>0</v>
      </c>
      <c r="E30" s="308">
        <f>'3'!E30</f>
        <v>0</v>
      </c>
      <c r="F30" s="79"/>
      <c r="G30" s="307" t="str">
        <f>'3'!G30</f>
        <v>WR</v>
      </c>
      <c r="H30" s="309">
        <f>'3'!H30</f>
        <v>0</v>
      </c>
      <c r="I30" s="309">
        <f>'3'!I30</f>
        <v>0</v>
      </c>
      <c r="J30" s="170">
        <f>'3'!J30</f>
        <v>0</v>
      </c>
      <c r="K30" s="310">
        <f>'3'!K30</f>
        <v>0</v>
      </c>
      <c r="L30" s="79"/>
      <c r="M30" s="307" t="str">
        <f>'3'!M30</f>
        <v>WR</v>
      </c>
      <c r="N30" s="309">
        <f>'3'!N30</f>
        <v>0</v>
      </c>
      <c r="O30" s="309">
        <f>'3'!O30</f>
        <v>0</v>
      </c>
      <c r="P30" s="170">
        <f>'3'!P30</f>
        <v>0</v>
      </c>
      <c r="Q30" s="310">
        <f>'3'!Q30</f>
        <v>0</v>
      </c>
    </row>
    <row r="31" spans="1:17" x14ac:dyDescent="0.3">
      <c r="A31" s="307" t="str">
        <f>'3'!A31</f>
        <v>WR</v>
      </c>
      <c r="B31" s="307">
        <f>'3'!B31</f>
        <v>0</v>
      </c>
      <c r="C31" s="307">
        <f>'3'!C31</f>
        <v>0</v>
      </c>
      <c r="D31" s="308">
        <f>'3'!D31</f>
        <v>0</v>
      </c>
      <c r="E31" s="308">
        <f>'3'!E31</f>
        <v>0</v>
      </c>
      <c r="F31" s="135"/>
      <c r="G31" s="307" t="str">
        <f>'3'!G31</f>
        <v>WR</v>
      </c>
      <c r="H31" s="309">
        <f>'3'!H31</f>
        <v>0</v>
      </c>
      <c r="I31" s="309">
        <f>'3'!I31</f>
        <v>0</v>
      </c>
      <c r="J31" s="170">
        <f>'3'!J31</f>
        <v>0</v>
      </c>
      <c r="K31" s="310">
        <f>'3'!K31</f>
        <v>0</v>
      </c>
      <c r="L31" s="135"/>
      <c r="M31" s="307" t="str">
        <f>'3'!M31</f>
        <v>WR</v>
      </c>
      <c r="N31" s="309">
        <f>'3'!N31</f>
        <v>0</v>
      </c>
      <c r="O31" s="309">
        <f>'3'!O31</f>
        <v>0</v>
      </c>
      <c r="P31" s="170">
        <f>'3'!P31</f>
        <v>0</v>
      </c>
      <c r="Q31" s="310">
        <f>'3'!Q31</f>
        <v>0</v>
      </c>
    </row>
    <row r="32" spans="1:17" x14ac:dyDescent="0.3">
      <c r="A32" s="307" t="str">
        <f>'3'!A32</f>
        <v>WR</v>
      </c>
      <c r="B32" s="307">
        <f>'3'!B32</f>
        <v>0</v>
      </c>
      <c r="C32" s="307">
        <f>'3'!C32</f>
        <v>0</v>
      </c>
      <c r="D32" s="308">
        <f>'3'!D32</f>
        <v>0</v>
      </c>
      <c r="E32" s="308">
        <f>'3'!E32</f>
        <v>0</v>
      </c>
      <c r="F32" s="135"/>
      <c r="G32" s="307" t="str">
        <f>'3'!G32</f>
        <v>WR</v>
      </c>
      <c r="H32" s="309">
        <f>'3'!H32</f>
        <v>0</v>
      </c>
      <c r="I32" s="309">
        <f>'3'!I32</f>
        <v>0</v>
      </c>
      <c r="J32" s="170">
        <f>'3'!J32</f>
        <v>0</v>
      </c>
      <c r="K32" s="310">
        <f>'3'!K32</f>
        <v>0</v>
      </c>
      <c r="L32" s="135"/>
      <c r="M32" s="307" t="str">
        <f>'3'!M32</f>
        <v>WR</v>
      </c>
      <c r="N32" s="309">
        <f>'3'!N32</f>
        <v>0</v>
      </c>
      <c r="O32" s="309">
        <f>'3'!O32</f>
        <v>0</v>
      </c>
      <c r="P32" s="170">
        <f>'3'!P32</f>
        <v>0</v>
      </c>
      <c r="Q32" s="310">
        <f>'3'!Q32</f>
        <v>0</v>
      </c>
    </row>
    <row r="33" spans="1:17" x14ac:dyDescent="0.3">
      <c r="A33" s="307" t="str">
        <f>'3'!A33</f>
        <v>WR</v>
      </c>
      <c r="B33" s="307">
        <f>'3'!B33</f>
        <v>0</v>
      </c>
      <c r="C33" s="307">
        <f>'3'!C33</f>
        <v>0</v>
      </c>
      <c r="D33" s="308">
        <f>'3'!D33</f>
        <v>0</v>
      </c>
      <c r="E33" s="308">
        <f>'3'!E33</f>
        <v>0</v>
      </c>
      <c r="F33" s="135"/>
      <c r="G33" s="307" t="str">
        <f>'3'!G33</f>
        <v>WR</v>
      </c>
      <c r="H33" s="309">
        <f>'3'!H33</f>
        <v>0</v>
      </c>
      <c r="I33" s="309">
        <f>'3'!I33</f>
        <v>0</v>
      </c>
      <c r="J33" s="170">
        <f>'3'!J33</f>
        <v>0</v>
      </c>
      <c r="K33" s="310">
        <f>'3'!K33</f>
        <v>0</v>
      </c>
      <c r="L33" s="135"/>
      <c r="M33" s="307" t="str">
        <f>'3'!M33</f>
        <v>WR</v>
      </c>
      <c r="N33" s="309">
        <f>'3'!N33</f>
        <v>0</v>
      </c>
      <c r="O33" s="309">
        <f>'3'!O33</f>
        <v>0</v>
      </c>
      <c r="P33" s="170">
        <f>'3'!P33</f>
        <v>0</v>
      </c>
      <c r="Q33" s="310">
        <f>'3'!Q33</f>
        <v>0</v>
      </c>
    </row>
    <row r="34" spans="1:17" x14ac:dyDescent="0.3">
      <c r="A34" s="307" t="str">
        <f>'3'!A34</f>
        <v>WR</v>
      </c>
      <c r="B34" s="307">
        <f>'3'!B34</f>
        <v>0</v>
      </c>
      <c r="C34" s="307">
        <f>'3'!C34</f>
        <v>0</v>
      </c>
      <c r="D34" s="308">
        <f>'3'!D34</f>
        <v>0</v>
      </c>
      <c r="E34" s="308">
        <f>'3'!E34</f>
        <v>0</v>
      </c>
      <c r="F34" s="135"/>
      <c r="G34" s="307" t="str">
        <f>'3'!G34</f>
        <v>WR</v>
      </c>
      <c r="H34" s="309">
        <f>'3'!H34</f>
        <v>0</v>
      </c>
      <c r="I34" s="309">
        <f>'3'!I34</f>
        <v>0</v>
      </c>
      <c r="J34" s="170">
        <f>'3'!J34</f>
        <v>0</v>
      </c>
      <c r="K34" s="310">
        <f>'3'!K34</f>
        <v>0</v>
      </c>
      <c r="L34" s="135"/>
      <c r="M34" s="307" t="str">
        <f>'3'!M34</f>
        <v>WR</v>
      </c>
      <c r="N34" s="309">
        <f>'3'!N34</f>
        <v>0</v>
      </c>
      <c r="O34" s="309">
        <f>'3'!O34</f>
        <v>0</v>
      </c>
      <c r="P34" s="170">
        <f>'3'!P34</f>
        <v>0</v>
      </c>
      <c r="Q34" s="310">
        <f>'3'!Q34</f>
        <v>0</v>
      </c>
    </row>
    <row r="35" spans="1:17" x14ac:dyDescent="0.3">
      <c r="A35" s="307" t="str">
        <f>'3'!A35</f>
        <v>WR</v>
      </c>
      <c r="B35" s="307">
        <f>'3'!B35</f>
        <v>0</v>
      </c>
      <c r="C35" s="307">
        <f>'3'!C35</f>
        <v>0</v>
      </c>
      <c r="D35" s="308">
        <f>'3'!D35</f>
        <v>0</v>
      </c>
      <c r="E35" s="308">
        <f>'3'!E35</f>
        <v>0</v>
      </c>
      <c r="F35" s="135"/>
      <c r="G35" s="307" t="str">
        <f>'3'!G35</f>
        <v>WR</v>
      </c>
      <c r="H35" s="309">
        <f>'3'!H35</f>
        <v>0</v>
      </c>
      <c r="I35" s="309">
        <f>'3'!I35</f>
        <v>0</v>
      </c>
      <c r="J35" s="170">
        <f>'3'!J35</f>
        <v>0</v>
      </c>
      <c r="K35" s="310">
        <f>'3'!K35</f>
        <v>0</v>
      </c>
      <c r="L35" s="135"/>
      <c r="M35" s="307" t="str">
        <f>'3'!M35</f>
        <v>WR</v>
      </c>
      <c r="N35" s="309">
        <f>'3'!N35</f>
        <v>0</v>
      </c>
      <c r="O35" s="309">
        <f>'3'!O35</f>
        <v>0</v>
      </c>
      <c r="P35" s="170">
        <f>'3'!P35</f>
        <v>0</v>
      </c>
      <c r="Q35" s="310">
        <f>'3'!Q35</f>
        <v>0</v>
      </c>
    </row>
    <row r="36" spans="1:17" x14ac:dyDescent="0.3">
      <c r="A36" s="307" t="str">
        <f>'3'!A36</f>
        <v>WR</v>
      </c>
      <c r="B36" s="307">
        <f>'3'!B36</f>
        <v>0</v>
      </c>
      <c r="C36" s="307">
        <f>'3'!C36</f>
        <v>0</v>
      </c>
      <c r="D36" s="308">
        <f>'3'!D36</f>
        <v>0</v>
      </c>
      <c r="E36" s="308">
        <f>'3'!E36</f>
        <v>0</v>
      </c>
      <c r="F36" s="135"/>
      <c r="G36" s="307" t="str">
        <f>'3'!G36</f>
        <v>WR</v>
      </c>
      <c r="H36" s="309">
        <f>'3'!H36</f>
        <v>0</v>
      </c>
      <c r="I36" s="309">
        <f>'3'!I36</f>
        <v>0</v>
      </c>
      <c r="J36" s="170">
        <f>'3'!J36</f>
        <v>0</v>
      </c>
      <c r="K36" s="310">
        <f>'3'!K36</f>
        <v>0</v>
      </c>
      <c r="L36" s="135"/>
      <c r="M36" s="307" t="str">
        <f>'3'!M36</f>
        <v>WR</v>
      </c>
      <c r="N36" s="309">
        <f>'3'!N36</f>
        <v>0</v>
      </c>
      <c r="O36" s="309">
        <f>'3'!O36</f>
        <v>0</v>
      </c>
      <c r="P36" s="170">
        <f>'3'!P36</f>
        <v>0</v>
      </c>
      <c r="Q36" s="310">
        <f>'3'!Q36</f>
        <v>0</v>
      </c>
    </row>
    <row r="37" spans="1:17" x14ac:dyDescent="0.3">
      <c r="A37" s="307" t="str">
        <f>'3'!A37</f>
        <v>WR</v>
      </c>
      <c r="B37" s="307">
        <f>'3'!B37</f>
        <v>0</v>
      </c>
      <c r="C37" s="307">
        <f>'3'!C37</f>
        <v>0</v>
      </c>
      <c r="D37" s="308">
        <f>'3'!D37</f>
        <v>0</v>
      </c>
      <c r="E37" s="308">
        <f>'3'!E37</f>
        <v>0</v>
      </c>
      <c r="F37" s="135"/>
      <c r="G37" s="307" t="str">
        <f>'3'!G37</f>
        <v>WR</v>
      </c>
      <c r="H37" s="309">
        <f>'3'!H37</f>
        <v>0</v>
      </c>
      <c r="I37" s="309">
        <f>'3'!I37</f>
        <v>0</v>
      </c>
      <c r="J37" s="170">
        <f>'3'!J37</f>
        <v>0</v>
      </c>
      <c r="K37" s="310">
        <f>'3'!K37</f>
        <v>0</v>
      </c>
      <c r="L37" s="135"/>
      <c r="M37" s="307" t="str">
        <f>'3'!M37</f>
        <v>WR</v>
      </c>
      <c r="N37" s="309">
        <f>'3'!N37</f>
        <v>0</v>
      </c>
      <c r="O37" s="309">
        <f>'3'!O37</f>
        <v>0</v>
      </c>
      <c r="P37" s="170">
        <f>'3'!P37</f>
        <v>0</v>
      </c>
      <c r="Q37" s="310">
        <f>'3'!Q37</f>
        <v>0</v>
      </c>
    </row>
    <row r="38" spans="1:17" x14ac:dyDescent="0.3">
      <c r="A38" s="307" t="str">
        <f>'3'!A38</f>
        <v>WR</v>
      </c>
      <c r="B38" s="307">
        <f>'3'!B38</f>
        <v>0</v>
      </c>
      <c r="C38" s="307">
        <f>'3'!C38</f>
        <v>0</v>
      </c>
      <c r="D38" s="308">
        <f>'3'!D38</f>
        <v>0</v>
      </c>
      <c r="E38" s="308">
        <f>'3'!E38</f>
        <v>0</v>
      </c>
      <c r="F38" s="135"/>
      <c r="G38" s="307" t="str">
        <f>'3'!G38</f>
        <v>WR</v>
      </c>
      <c r="H38" s="309">
        <f>'3'!H38</f>
        <v>0</v>
      </c>
      <c r="I38" s="309">
        <f>'3'!I38</f>
        <v>0</v>
      </c>
      <c r="J38" s="170">
        <f>'3'!J38</f>
        <v>0</v>
      </c>
      <c r="K38" s="310">
        <f>'3'!K38</f>
        <v>0</v>
      </c>
      <c r="L38" s="135"/>
      <c r="M38" s="307" t="str">
        <f>'3'!M38</f>
        <v>WR</v>
      </c>
      <c r="N38" s="309">
        <f>'3'!N38</f>
        <v>0</v>
      </c>
      <c r="O38" s="309">
        <f>'3'!O38</f>
        <v>0</v>
      </c>
      <c r="P38" s="170">
        <f>'3'!P38</f>
        <v>0</v>
      </c>
      <c r="Q38" s="310">
        <f>'3'!Q38</f>
        <v>0</v>
      </c>
    </row>
    <row r="39" spans="1:17" x14ac:dyDescent="0.3">
      <c r="A39" s="307" t="str">
        <f>'3'!A39</f>
        <v>WR</v>
      </c>
      <c r="B39" s="307">
        <f>'3'!B39</f>
        <v>0</v>
      </c>
      <c r="C39" s="307">
        <f>'3'!C39</f>
        <v>0</v>
      </c>
      <c r="D39" s="308">
        <f>'3'!D39</f>
        <v>0</v>
      </c>
      <c r="E39" s="308">
        <f>'3'!E39</f>
        <v>0</v>
      </c>
      <c r="F39" s="135"/>
      <c r="G39" s="307" t="str">
        <f>'3'!G39</f>
        <v>WR</v>
      </c>
      <c r="H39" s="309">
        <f>'3'!H39</f>
        <v>0</v>
      </c>
      <c r="I39" s="309">
        <f>'3'!I39</f>
        <v>0</v>
      </c>
      <c r="J39" s="170">
        <f>'3'!J39</f>
        <v>0</v>
      </c>
      <c r="K39" s="310">
        <f>'3'!K39</f>
        <v>0</v>
      </c>
      <c r="L39" s="135"/>
      <c r="M39" s="307" t="str">
        <f>'3'!M39</f>
        <v>WR</v>
      </c>
      <c r="N39" s="309">
        <f>'3'!N39</f>
        <v>0</v>
      </c>
      <c r="O39" s="309">
        <f>'3'!O39</f>
        <v>0</v>
      </c>
      <c r="P39" s="170">
        <f>'3'!P39</f>
        <v>0</v>
      </c>
      <c r="Q39" s="310">
        <f>'3'!Q39</f>
        <v>0</v>
      </c>
    </row>
    <row r="40" spans="1:17" x14ac:dyDescent="0.3">
      <c r="A40" s="307" t="str">
        <f>'3'!A40</f>
        <v>WR</v>
      </c>
      <c r="B40" s="307">
        <f>'3'!B40</f>
        <v>0</v>
      </c>
      <c r="C40" s="307">
        <f>'3'!C40</f>
        <v>0</v>
      </c>
      <c r="D40" s="308">
        <f>'3'!D40</f>
        <v>0</v>
      </c>
      <c r="E40" s="308">
        <f>'3'!E40</f>
        <v>0</v>
      </c>
      <c r="F40" s="135"/>
      <c r="G40" s="307" t="str">
        <f>'3'!G40</f>
        <v>WR</v>
      </c>
      <c r="H40" s="309">
        <f>'3'!H40</f>
        <v>0</v>
      </c>
      <c r="I40" s="309">
        <f>'3'!I40</f>
        <v>0</v>
      </c>
      <c r="J40" s="170">
        <f>'3'!J40</f>
        <v>0</v>
      </c>
      <c r="K40" s="310">
        <f>'3'!K40</f>
        <v>0</v>
      </c>
      <c r="L40" s="135"/>
      <c r="M40" s="307" t="str">
        <f>'3'!M40</f>
        <v>WR</v>
      </c>
      <c r="N40" s="309">
        <f>'3'!N40</f>
        <v>0</v>
      </c>
      <c r="O40" s="309">
        <f>'3'!O40</f>
        <v>0</v>
      </c>
      <c r="P40" s="170">
        <f>'3'!P40</f>
        <v>0</v>
      </c>
      <c r="Q40" s="310">
        <f>'3'!Q40</f>
        <v>0</v>
      </c>
    </row>
    <row r="41" spans="1:17" x14ac:dyDescent="0.3">
      <c r="A41" s="307" t="str">
        <f>'3'!A41</f>
        <v>WR</v>
      </c>
      <c r="B41" s="307">
        <f>'3'!B41</f>
        <v>0</v>
      </c>
      <c r="C41" s="307">
        <f>'3'!C41</f>
        <v>0</v>
      </c>
      <c r="D41" s="308">
        <f>'3'!D41</f>
        <v>0</v>
      </c>
      <c r="E41" s="308">
        <f>'3'!E41</f>
        <v>0</v>
      </c>
      <c r="F41" s="135"/>
      <c r="G41" s="307" t="str">
        <f>'3'!G41</f>
        <v>WR</v>
      </c>
      <c r="H41" s="309">
        <f>'3'!H41</f>
        <v>0</v>
      </c>
      <c r="I41" s="309">
        <f>'3'!I41</f>
        <v>0</v>
      </c>
      <c r="J41" s="170">
        <f>'3'!J41</f>
        <v>0</v>
      </c>
      <c r="K41" s="310">
        <f>'3'!K41</f>
        <v>0</v>
      </c>
      <c r="L41" s="135"/>
      <c r="M41" s="307" t="str">
        <f>'3'!M41</f>
        <v>WR</v>
      </c>
      <c r="N41" s="309">
        <f>'3'!N41</f>
        <v>0</v>
      </c>
      <c r="O41" s="309">
        <f>'3'!O41</f>
        <v>0</v>
      </c>
      <c r="P41" s="170">
        <f>'3'!P41</f>
        <v>0</v>
      </c>
      <c r="Q41" s="310">
        <f>'3'!Q41</f>
        <v>0</v>
      </c>
    </row>
    <row r="42" spans="1:17" x14ac:dyDescent="0.3">
      <c r="A42" s="307" t="str">
        <f>'3'!A42</f>
        <v>WR</v>
      </c>
      <c r="B42" s="307">
        <f>'3'!B42</f>
        <v>0</v>
      </c>
      <c r="C42" s="307">
        <f>'3'!C42</f>
        <v>0</v>
      </c>
      <c r="D42" s="308">
        <f>'3'!D42</f>
        <v>0</v>
      </c>
      <c r="E42" s="308">
        <f>'3'!E42</f>
        <v>0</v>
      </c>
      <c r="F42" s="135"/>
      <c r="G42" s="307" t="str">
        <f>'3'!G42</f>
        <v>WR</v>
      </c>
      <c r="H42" s="309">
        <f>'3'!H42</f>
        <v>0</v>
      </c>
      <c r="I42" s="309">
        <f>'3'!I42</f>
        <v>0</v>
      </c>
      <c r="J42" s="170">
        <f>'3'!J42</f>
        <v>0</v>
      </c>
      <c r="K42" s="310">
        <f>'3'!K42</f>
        <v>0</v>
      </c>
      <c r="L42" s="135"/>
      <c r="M42" s="307" t="str">
        <f>'3'!M42</f>
        <v>WR</v>
      </c>
      <c r="N42" s="309">
        <f>'3'!N42</f>
        <v>0</v>
      </c>
      <c r="O42" s="309">
        <f>'3'!O42</f>
        <v>0</v>
      </c>
      <c r="P42" s="170">
        <f>'3'!P42</f>
        <v>0</v>
      </c>
      <c r="Q42" s="310">
        <f>'3'!Q42</f>
        <v>0</v>
      </c>
    </row>
    <row r="43" spans="1:17" x14ac:dyDescent="0.3">
      <c r="A43" s="307" t="str">
        <f>'3'!A43</f>
        <v>WR</v>
      </c>
      <c r="B43" s="307">
        <f>'3'!B43</f>
        <v>0</v>
      </c>
      <c r="C43" s="307">
        <f>'3'!C43</f>
        <v>0</v>
      </c>
      <c r="D43" s="308">
        <f>'3'!D43</f>
        <v>0</v>
      </c>
      <c r="E43" s="308">
        <f>'3'!E43</f>
        <v>0</v>
      </c>
      <c r="F43" s="135"/>
      <c r="G43" s="307" t="str">
        <f>'3'!G43</f>
        <v>WR</v>
      </c>
      <c r="H43" s="309">
        <f>'3'!H43</f>
        <v>0</v>
      </c>
      <c r="I43" s="309">
        <f>'3'!I43</f>
        <v>0</v>
      </c>
      <c r="J43" s="170">
        <f>'3'!J43</f>
        <v>0</v>
      </c>
      <c r="K43" s="310">
        <f>'3'!K43</f>
        <v>0</v>
      </c>
      <c r="L43" s="135"/>
      <c r="M43" s="307" t="str">
        <f>'3'!M43</f>
        <v>WR</v>
      </c>
      <c r="N43" s="309">
        <f>'3'!N43</f>
        <v>0</v>
      </c>
      <c r="O43" s="309">
        <f>'3'!O43</f>
        <v>0</v>
      </c>
      <c r="P43" s="170">
        <f>'3'!P43</f>
        <v>0</v>
      </c>
      <c r="Q43" s="310">
        <f>'3'!Q43</f>
        <v>0</v>
      </c>
    </row>
    <row r="44" spans="1:17" x14ac:dyDescent="0.3">
      <c r="A44" s="307" t="str">
        <f>'3'!A44</f>
        <v>WR</v>
      </c>
      <c r="B44" s="307">
        <f>'3'!B44</f>
        <v>0</v>
      </c>
      <c r="C44" s="307">
        <f>'3'!C44</f>
        <v>0</v>
      </c>
      <c r="D44" s="308">
        <f>'3'!D44</f>
        <v>0</v>
      </c>
      <c r="E44" s="308">
        <f>'3'!E44</f>
        <v>0</v>
      </c>
      <c r="F44" s="135"/>
      <c r="G44" s="307" t="str">
        <f>'3'!G44</f>
        <v>WR</v>
      </c>
      <c r="H44" s="309">
        <f>'3'!H44</f>
        <v>0</v>
      </c>
      <c r="I44" s="309">
        <f>'3'!I44</f>
        <v>0</v>
      </c>
      <c r="J44" s="170">
        <f>'3'!J44</f>
        <v>0</v>
      </c>
      <c r="K44" s="310">
        <f>'3'!K44</f>
        <v>0</v>
      </c>
      <c r="L44" s="135"/>
      <c r="M44" s="307" t="str">
        <f>'3'!M44</f>
        <v>WR</v>
      </c>
      <c r="N44" s="309">
        <f>'3'!N44</f>
        <v>0</v>
      </c>
      <c r="O44" s="309">
        <f>'3'!O44</f>
        <v>0</v>
      </c>
      <c r="P44" s="170">
        <f>'3'!P44</f>
        <v>0</v>
      </c>
      <c r="Q44" s="310">
        <f>'3'!Q44</f>
        <v>0</v>
      </c>
    </row>
    <row r="45" spans="1:17" x14ac:dyDescent="0.3">
      <c r="A45" s="307" t="str">
        <f>'3'!A45</f>
        <v>WR</v>
      </c>
      <c r="B45" s="307">
        <f>'3'!B45</f>
        <v>0</v>
      </c>
      <c r="C45" s="307">
        <f>'3'!C45</f>
        <v>0</v>
      </c>
      <c r="D45" s="308">
        <f>'3'!D45</f>
        <v>0</v>
      </c>
      <c r="E45" s="308">
        <f>'3'!E45</f>
        <v>0</v>
      </c>
      <c r="F45" s="135"/>
      <c r="G45" s="307" t="str">
        <f>'3'!G45</f>
        <v>WR</v>
      </c>
      <c r="H45" s="309">
        <f>'3'!H45</f>
        <v>0</v>
      </c>
      <c r="I45" s="309">
        <f>'3'!I45</f>
        <v>0</v>
      </c>
      <c r="J45" s="170">
        <f>'3'!J45</f>
        <v>0</v>
      </c>
      <c r="K45" s="310">
        <f>'3'!K45</f>
        <v>0</v>
      </c>
      <c r="L45" s="135"/>
      <c r="M45" s="307" t="str">
        <f>'3'!M45</f>
        <v>WR</v>
      </c>
      <c r="N45" s="309">
        <f>'3'!N45</f>
        <v>0</v>
      </c>
      <c r="O45" s="309">
        <f>'3'!O45</f>
        <v>0</v>
      </c>
      <c r="P45" s="170">
        <f>'3'!P45</f>
        <v>0</v>
      </c>
      <c r="Q45" s="310">
        <f>'3'!Q45</f>
        <v>0</v>
      </c>
    </row>
    <row r="46" spans="1:17" x14ac:dyDescent="0.3">
      <c r="A46" s="307" t="str">
        <f>'3'!A46</f>
        <v>WR</v>
      </c>
      <c r="B46" s="307">
        <f>'3'!B46</f>
        <v>0</v>
      </c>
      <c r="C46" s="307">
        <f>'3'!C46</f>
        <v>0</v>
      </c>
      <c r="D46" s="308">
        <f>'3'!D46</f>
        <v>0</v>
      </c>
      <c r="E46" s="308">
        <f>'3'!E46</f>
        <v>0</v>
      </c>
      <c r="F46" s="135"/>
      <c r="G46" s="307" t="str">
        <f>'3'!G46</f>
        <v>WR</v>
      </c>
      <c r="H46" s="309">
        <f>'3'!H46</f>
        <v>0</v>
      </c>
      <c r="I46" s="309">
        <f>'3'!I46</f>
        <v>0</v>
      </c>
      <c r="J46" s="170">
        <f>'3'!J46</f>
        <v>0</v>
      </c>
      <c r="K46" s="310">
        <f>'3'!K46</f>
        <v>0</v>
      </c>
      <c r="L46" s="135"/>
      <c r="M46" s="307" t="str">
        <f>'3'!M46</f>
        <v>WR</v>
      </c>
      <c r="N46" s="309">
        <f>'3'!N46</f>
        <v>0</v>
      </c>
      <c r="O46" s="309">
        <f>'3'!O46</f>
        <v>0</v>
      </c>
      <c r="P46" s="170">
        <f>'3'!P46</f>
        <v>0</v>
      </c>
      <c r="Q46" s="310">
        <f>'3'!Q46</f>
        <v>0</v>
      </c>
    </row>
    <row r="47" spans="1:17" x14ac:dyDescent="0.3">
      <c r="A47" s="307" t="str">
        <f>'3'!A47</f>
        <v>WR</v>
      </c>
      <c r="B47" s="307">
        <f>'3'!B47</f>
        <v>0</v>
      </c>
      <c r="C47" s="307">
        <f>'3'!C47</f>
        <v>0</v>
      </c>
      <c r="D47" s="308">
        <f>'3'!D47</f>
        <v>0</v>
      </c>
      <c r="E47" s="308">
        <f>'3'!E47</f>
        <v>0</v>
      </c>
      <c r="F47" s="135"/>
      <c r="G47" s="307" t="str">
        <f>'3'!G47</f>
        <v>WR</v>
      </c>
      <c r="H47" s="309">
        <f>'3'!H47</f>
        <v>0</v>
      </c>
      <c r="I47" s="309">
        <f>'3'!I47</f>
        <v>0</v>
      </c>
      <c r="J47" s="170">
        <f>'3'!J47</f>
        <v>0</v>
      </c>
      <c r="K47" s="310">
        <f>'3'!K47</f>
        <v>0</v>
      </c>
      <c r="L47" s="135"/>
      <c r="M47" s="307" t="str">
        <f>'3'!M47</f>
        <v>WR</v>
      </c>
      <c r="N47" s="309">
        <f>'3'!N47</f>
        <v>0</v>
      </c>
      <c r="O47" s="309">
        <f>'3'!O47</f>
        <v>0</v>
      </c>
      <c r="P47" s="170">
        <f>'3'!P47</f>
        <v>0</v>
      </c>
      <c r="Q47" s="310">
        <f>'3'!Q47</f>
        <v>0</v>
      </c>
    </row>
    <row r="48" spans="1:17" x14ac:dyDescent="0.3">
      <c r="A48" s="307" t="str">
        <f>'3'!A48</f>
        <v>WR</v>
      </c>
      <c r="B48" s="307">
        <f>'3'!B48</f>
        <v>0</v>
      </c>
      <c r="C48" s="307">
        <f>'3'!C48</f>
        <v>0</v>
      </c>
      <c r="D48" s="308">
        <f>'3'!D48</f>
        <v>0</v>
      </c>
      <c r="E48" s="308">
        <f>'3'!E48</f>
        <v>0</v>
      </c>
      <c r="F48" s="135"/>
      <c r="G48" s="307" t="str">
        <f>'3'!G48</f>
        <v>WR</v>
      </c>
      <c r="H48" s="309">
        <f>'3'!H48</f>
        <v>0</v>
      </c>
      <c r="I48" s="309">
        <f>'3'!I48</f>
        <v>0</v>
      </c>
      <c r="J48" s="170">
        <f>'3'!J48</f>
        <v>0</v>
      </c>
      <c r="K48" s="310">
        <f>'3'!K48</f>
        <v>0</v>
      </c>
      <c r="L48" s="135"/>
      <c r="M48" s="307" t="str">
        <f>'3'!M48</f>
        <v>WR</v>
      </c>
      <c r="N48" s="309">
        <f>'3'!N48</f>
        <v>0</v>
      </c>
      <c r="O48" s="309">
        <f>'3'!O48</f>
        <v>0</v>
      </c>
      <c r="P48" s="170">
        <f>'3'!P48</f>
        <v>0</v>
      </c>
      <c r="Q48" s="310">
        <f>'3'!Q48</f>
        <v>0</v>
      </c>
    </row>
    <row r="49" spans="1:23" x14ac:dyDescent="0.3">
      <c r="A49" s="307" t="str">
        <f>'3'!A49</f>
        <v>WR</v>
      </c>
      <c r="B49" s="307">
        <f>'3'!B49</f>
        <v>0</v>
      </c>
      <c r="C49" s="307">
        <f>'3'!C49</f>
        <v>0</v>
      </c>
      <c r="D49" s="308">
        <f>'3'!D49</f>
        <v>0</v>
      </c>
      <c r="E49" s="308">
        <f>'3'!E49</f>
        <v>0</v>
      </c>
      <c r="F49" s="3"/>
      <c r="G49" s="307" t="str">
        <f>'3'!G49</f>
        <v>WR</v>
      </c>
      <c r="H49" s="309">
        <f>'3'!H49</f>
        <v>0</v>
      </c>
      <c r="I49" s="309">
        <f>'3'!I49</f>
        <v>0</v>
      </c>
      <c r="J49" s="170">
        <f>'3'!J49</f>
        <v>0</v>
      </c>
      <c r="K49" s="310">
        <f>'3'!K49</f>
        <v>0</v>
      </c>
      <c r="L49" s="3"/>
      <c r="M49" s="307" t="str">
        <f>'3'!M49</f>
        <v>WR</v>
      </c>
      <c r="N49" s="309">
        <f>'3'!N49</f>
        <v>0</v>
      </c>
      <c r="O49" s="309">
        <f>'3'!O49</f>
        <v>0</v>
      </c>
      <c r="P49" s="170">
        <f>'3'!P49</f>
        <v>0</v>
      </c>
      <c r="Q49" s="310">
        <f>'3'!Q49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46026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 t="s">
        <v>198</v>
      </c>
      <c r="E55" s="506"/>
      <c r="F55" s="506"/>
      <c r="G55" s="506"/>
      <c r="H55" s="506"/>
      <c r="I55" s="506"/>
      <c r="J55" s="93">
        <v>1440</v>
      </c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0</v>
      </c>
      <c r="R55" s="395"/>
      <c r="S55" s="388">
        <f>DAY(A52)</f>
        <v>4</v>
      </c>
      <c r="T55" s="383">
        <f>S55-U55</f>
        <v>0</v>
      </c>
      <c r="U55" s="383">
        <v>4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0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 t="e">
        <f>L27</f>
        <v>#DIV/0!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0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 t="e">
        <f>F26</f>
        <v>#DIV/0!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</f>
        <v>5760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1440</v>
      </c>
      <c r="Q61" s="126">
        <f>'1'!Q61+'2'!P61+'3'!P61+'4'!P61</f>
        <v>5760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38">
        <v>1440</v>
      </c>
      <c r="Q62" s="99">
        <f>'1'!Q62+'2'!P62+'3'!P62+'4'!P62</f>
        <v>5760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</f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26">
        <f>'1'!Q65+'2'!P65+'3'!P65+'4'!P65</f>
        <v>0</v>
      </c>
      <c r="R65" s="395"/>
      <c r="S65" s="171" t="s">
        <v>56</v>
      </c>
      <c r="T65" s="172"/>
      <c r="U65" s="173" t="s">
        <v>151</v>
      </c>
      <c r="V65" s="174"/>
      <c r="W65" s="181">
        <f>+'3'!W65+'4'!V65</f>
        <v>0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+'3'!W66+'4'!V66</f>
        <v>0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>'1'!Q67+'2'!P67+'3'!P67+'4'!P67</f>
        <v>0</v>
      </c>
      <c r="R67" s="399"/>
      <c r="S67" s="377" t="s">
        <v>60</v>
      </c>
      <c r="T67" s="175"/>
      <c r="U67" s="176" t="s">
        <v>151</v>
      </c>
      <c r="V67" s="177"/>
      <c r="W67" s="182">
        <f>+'3'!W67+'4'!V67</f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>'1'!Q68+'2'!P68+'3'!P68+'4'!P68</f>
        <v>0</v>
      </c>
      <c r="R68" s="409"/>
      <c r="S68" s="377" t="s">
        <v>62</v>
      </c>
      <c r="T68" s="175"/>
      <c r="U68" s="176" t="s">
        <v>151</v>
      </c>
      <c r="V68" s="177"/>
      <c r="W68" s="182">
        <f>+'3'!W68+'4'!V68</f>
        <v>0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0</v>
      </c>
      <c r="Q69" s="126">
        <f>'1'!Q69+'2'!P69+'3'!P69+'4'!P69</f>
        <v>0</v>
      </c>
      <c r="R69" s="395"/>
      <c r="S69" s="376" t="s">
        <v>64</v>
      </c>
      <c r="T69" s="178"/>
      <c r="U69" s="179" t="s">
        <v>151</v>
      </c>
      <c r="V69" s="180"/>
      <c r="W69" s="183">
        <f>+'3'!W69+'4'!V69</f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>'1'!Q70+'2'!P70+'3'!P70+'4'!P70</f>
        <v>0</v>
      </c>
      <c r="R70" s="399">
        <f>T55*30</f>
        <v>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>'1'!Q71+'2'!P71+'3'!P71+'4'!P71</f>
        <v>0</v>
      </c>
      <c r="R71" s="399">
        <f>T55*25</f>
        <v>0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</f>
        <v>0</v>
      </c>
      <c r="R72" s="399">
        <f>T55*10</f>
        <v>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</f>
        <v>0</v>
      </c>
      <c r="R73" s="399"/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</f>
        <v>0</v>
      </c>
      <c r="R74" s="409"/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0</v>
      </c>
      <c r="Q75" s="94">
        <f>'1'!Q75+'2'!P75+'3'!P75+'4'!P75</f>
        <v>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>'1'!Q76+'2'!P76+'3'!P76+'4'!P76</f>
        <v>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94">
        <f>'1'!Q77+'2'!P77+'3'!P77+'4'!P77</f>
        <v>0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</f>
        <v>0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1440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0</v>
      </c>
      <c r="Q79" s="94">
        <f>'1'!Q79+'2'!P79+'3'!P79+'4'!P79</f>
        <v>0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6" t="s">
        <v>14</v>
      </c>
      <c r="P80" s="103" t="e">
        <f>P79/P75</f>
        <v>#DIV/0!</v>
      </c>
      <c r="Q80" s="151" t="e">
        <f>Q79/Q75</f>
        <v>#DIV/0!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85" t="s">
        <v>14</v>
      </c>
      <c r="P81" s="105">
        <f>P79/P60</f>
        <v>0</v>
      </c>
      <c r="Q81" s="152">
        <f>Q79/Q60</f>
        <v>0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 t="e">
        <f>(C16/1000)/(P79/60)</f>
        <v>#DIV/0!</v>
      </c>
      <c r="Q82" s="108" t="e">
        <f>(C26/1000)/(Q79/60)</f>
        <v>#DIV/0!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 t="e">
        <f>(C16/1000)/(P75/60)</f>
        <v>#DIV/0!</v>
      </c>
      <c r="Q83" s="113" t="e">
        <f>(C26/1000)/(Q75/60)</f>
        <v>#DIV/0!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6" t="s">
        <v>85</v>
      </c>
      <c r="P84" s="144">
        <v>613</v>
      </c>
      <c r="Q84" s="126">
        <f>'1'!Q84+'2'!P84+'3'!P84+'4'!P84</f>
        <v>613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23" t="s">
        <v>86</v>
      </c>
      <c r="P85" s="146" t="e">
        <f>P84/(K17/1000)</f>
        <v>#DIV/0!</v>
      </c>
      <c r="Q85" s="124" t="e">
        <f>Q84/(K27/1000)</f>
        <v>#DIV/0!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53" t="s">
        <v>89</v>
      </c>
      <c r="P86" s="143">
        <v>15.76</v>
      </c>
      <c r="Q86" s="100">
        <f>'1'!Q86+'2'!P86+'3'!P86+'4'!P86</f>
        <v>37.56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 t="e">
        <f>(Q86*1000)/(K26/1000)</f>
        <v>#DIV/0!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134</v>
      </c>
      <c r="Q88" s="94">
        <f>'1'!Q88+'2'!P88+'3'!P88+'4'!P88</f>
        <v>134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124" t="e">
        <f>Q88/(K26/1000)</f>
        <v>#DIV/0!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18" priority="1" operator="lessThan">
      <formula>0.0018</formula>
    </cfRule>
  </conditionalFormatting>
  <pageMargins left="0.7" right="0.7" top="0.25" bottom="0.25" header="0.3" footer="0.3"/>
  <pageSetup paperSize="9" scale="78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B55" workbookViewId="0">
      <selection activeCell="R59" sqref="R59"/>
    </sheetView>
  </sheetViews>
  <sheetFormatPr defaultRowHeight="16.5" x14ac:dyDescent="0.3"/>
  <cols>
    <col min="1" max="1" width="7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'4'!A3:Q3+1</f>
        <v>46027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/>
      <c r="B7" s="15"/>
      <c r="C7" s="15"/>
      <c r="D7" s="16"/>
      <c r="E7" s="17"/>
      <c r="F7" s="18"/>
      <c r="G7" s="19" t="s">
        <v>1</v>
      </c>
      <c r="H7" s="20"/>
      <c r="I7" s="21"/>
      <c r="J7" s="22"/>
      <c r="K7" s="17"/>
      <c r="L7" s="23" t="e">
        <f t="shared" ref="L7:L16" si="0">K7/C7</f>
        <v>#DIV/0!</v>
      </c>
      <c r="M7" s="17"/>
      <c r="N7" s="22"/>
      <c r="O7" s="134"/>
      <c r="P7" s="134"/>
      <c r="Q7" s="134"/>
    </row>
    <row r="8" spans="1:17" x14ac:dyDescent="0.3">
      <c r="A8" s="24"/>
      <c r="B8" s="25"/>
      <c r="C8" s="25"/>
      <c r="D8" s="26"/>
      <c r="E8" s="27"/>
      <c r="F8" s="28"/>
      <c r="G8" s="29" t="s">
        <v>1</v>
      </c>
      <c r="H8" s="30"/>
      <c r="I8" s="31"/>
      <c r="J8" s="32"/>
      <c r="K8" s="33"/>
      <c r="L8" s="34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si="0"/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'4'!B22+'5'!B16</f>
        <v>0</v>
      </c>
      <c r="C22" s="57">
        <f>'4'!C22+'5'!C16</f>
        <v>0</v>
      </c>
      <c r="D22" s="57">
        <f>'4'!D22+'5'!D16</f>
        <v>0</v>
      </c>
      <c r="E22" s="57">
        <f>'4'!E22+'5'!E16</f>
        <v>0</v>
      </c>
      <c r="F22" s="423" t="e">
        <f>E22/C22</f>
        <v>#DIV/0!</v>
      </c>
      <c r="G22" s="58" t="s">
        <v>1</v>
      </c>
      <c r="H22" s="59"/>
      <c r="I22" s="59"/>
      <c r="J22" s="57">
        <f>'4'!J22+'5'!J16</f>
        <v>0</v>
      </c>
      <c r="K22" s="57">
        <f>'4'!K22+'5'!K16</f>
        <v>0</v>
      </c>
      <c r="L22" s="60" t="e">
        <f>K22/C22</f>
        <v>#DIV/0!</v>
      </c>
      <c r="M22" s="57">
        <f>'4'!M22+'5'!M16</f>
        <v>0</v>
      </c>
      <c r="N22" s="57">
        <f>'4'!N22+'5'!N16</f>
        <v>0</v>
      </c>
      <c r="O22" s="135"/>
      <c r="P22" s="135"/>
      <c r="Q22" s="135"/>
    </row>
    <row r="23" spans="1:17" x14ac:dyDescent="0.3">
      <c r="A23" s="521"/>
      <c r="B23" s="61">
        <f>'4'!B23</f>
        <v>0</v>
      </c>
      <c r="C23" s="61">
        <f>'4'!C23</f>
        <v>0</v>
      </c>
      <c r="D23" s="61">
        <f>'4'!D23</f>
        <v>0</v>
      </c>
      <c r="E23" s="61">
        <f>'4'!E23</f>
        <v>0</v>
      </c>
      <c r="F23" s="424" t="e">
        <f>E23/C23</f>
        <v>#DIV/0!</v>
      </c>
      <c r="G23" s="381" t="s">
        <v>195</v>
      </c>
      <c r="H23" s="59"/>
      <c r="I23" s="59"/>
      <c r="J23" s="61">
        <f>'4'!J23</f>
        <v>0</v>
      </c>
      <c r="K23" s="61">
        <f>'4'!K23</f>
        <v>0</v>
      </c>
      <c r="L23" s="382" t="e">
        <f>K23/C23</f>
        <v>#DIV/0!</v>
      </c>
      <c r="M23" s="61">
        <f>'4'!M23</f>
        <v>0</v>
      </c>
      <c r="N23" s="61">
        <f>'4'!N23</f>
        <v>0</v>
      </c>
      <c r="O23" s="135"/>
      <c r="P23" s="135"/>
      <c r="Q23" s="135"/>
    </row>
    <row r="24" spans="1:17" x14ac:dyDescent="0.3">
      <c r="A24" s="521"/>
      <c r="B24" s="61">
        <f>'4'!B24</f>
        <v>0</v>
      </c>
      <c r="C24" s="61">
        <f>'4'!C24</f>
        <v>0</v>
      </c>
      <c r="D24" s="61">
        <f>'4'!D24</f>
        <v>0</v>
      </c>
      <c r="E24" s="61">
        <f>'4'!E24</f>
        <v>0</v>
      </c>
      <c r="F24" s="424" t="e">
        <f t="shared" ref="F24" si="1">E24/C24</f>
        <v>#DIV/0!</v>
      </c>
      <c r="G24" s="381" t="s">
        <v>196</v>
      </c>
      <c r="H24" s="59"/>
      <c r="I24" s="59"/>
      <c r="J24" s="61">
        <f>'4'!J24</f>
        <v>0</v>
      </c>
      <c r="K24" s="61">
        <f>'4'!K24</f>
        <v>0</v>
      </c>
      <c r="L24" s="382" t="e">
        <f>K24/C24</f>
        <v>#DIV/0!</v>
      </c>
      <c r="M24" s="61">
        <f>'4'!M24</f>
        <v>0</v>
      </c>
      <c r="N24" s="61">
        <f>'4'!N24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0</v>
      </c>
      <c r="C26" s="68">
        <f>SUM(C21:C25)</f>
        <v>0</v>
      </c>
      <c r="D26" s="49">
        <f>SUM(D21:D25)</f>
        <v>0</v>
      </c>
      <c r="E26" s="69">
        <f>SUM(E22:E25)</f>
        <v>0</v>
      </c>
      <c r="F26" s="51" t="e">
        <f>E26/C26</f>
        <v>#DIV/0!</v>
      </c>
      <c r="G26" s="51"/>
      <c r="H26" s="70"/>
      <c r="I26" s="70"/>
      <c r="J26" s="71">
        <f>SUM(J22:J25)</f>
        <v>0</v>
      </c>
      <c r="K26" s="68">
        <f>SUM(K22:K25)</f>
        <v>0</v>
      </c>
      <c r="L26" s="51" t="e">
        <f>K26/C26</f>
        <v>#DIV/0!</v>
      </c>
      <c r="M26" s="71">
        <f>SUM(M22:M25)</f>
        <v>0</v>
      </c>
      <c r="N26" s="54">
        <f>SUM(N22:N25)</f>
        <v>0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0</v>
      </c>
      <c r="L27" s="51" t="e">
        <f>K27/C26</f>
        <v>#DIV/0!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'4'!A30</f>
        <v>WR</v>
      </c>
      <c r="B30" s="307">
        <f>'4'!B30</f>
        <v>0</v>
      </c>
      <c r="C30" s="307">
        <f>'4'!C30</f>
        <v>0</v>
      </c>
      <c r="D30" s="308">
        <f>'4'!D30</f>
        <v>0</v>
      </c>
      <c r="E30" s="308">
        <f>'4'!E30</f>
        <v>0</v>
      </c>
      <c r="F30" s="79"/>
      <c r="G30" s="307" t="str">
        <f>'4'!G30</f>
        <v>WR</v>
      </c>
      <c r="H30" s="309">
        <f>'4'!H30</f>
        <v>0</v>
      </c>
      <c r="I30" s="309">
        <f>'4'!I30</f>
        <v>0</v>
      </c>
      <c r="J30" s="170">
        <f>'4'!J30</f>
        <v>0</v>
      </c>
      <c r="K30" s="310">
        <f>'4'!K30</f>
        <v>0</v>
      </c>
      <c r="L30" s="79"/>
      <c r="M30" s="307" t="str">
        <f>'4'!M30</f>
        <v>WR</v>
      </c>
      <c r="N30" s="309">
        <f>'4'!N30</f>
        <v>0</v>
      </c>
      <c r="O30" s="309">
        <f>'4'!O30</f>
        <v>0</v>
      </c>
      <c r="P30" s="170">
        <f>'4'!P30</f>
        <v>0</v>
      </c>
      <c r="Q30" s="310">
        <f>'4'!Q30</f>
        <v>0</v>
      </c>
    </row>
    <row r="31" spans="1:17" x14ac:dyDescent="0.3">
      <c r="A31" s="307" t="str">
        <f>'4'!A31</f>
        <v>WR</v>
      </c>
      <c r="B31" s="307">
        <f>'4'!B31</f>
        <v>0</v>
      </c>
      <c r="C31" s="307">
        <f>'4'!C31</f>
        <v>0</v>
      </c>
      <c r="D31" s="308">
        <f>'4'!D31</f>
        <v>0</v>
      </c>
      <c r="E31" s="308">
        <f>'4'!E31</f>
        <v>0</v>
      </c>
      <c r="F31" s="135"/>
      <c r="G31" s="307" t="str">
        <f>'4'!G31</f>
        <v>WR</v>
      </c>
      <c r="H31" s="309">
        <f>'4'!H31</f>
        <v>0</v>
      </c>
      <c r="I31" s="309">
        <f>'4'!I31</f>
        <v>0</v>
      </c>
      <c r="J31" s="170">
        <f>'4'!J31</f>
        <v>0</v>
      </c>
      <c r="K31" s="310">
        <f>'4'!K31</f>
        <v>0</v>
      </c>
      <c r="L31" s="135"/>
      <c r="M31" s="307" t="str">
        <f>'4'!M31</f>
        <v>WR</v>
      </c>
      <c r="N31" s="309">
        <f>'4'!N31</f>
        <v>0</v>
      </c>
      <c r="O31" s="309">
        <f>'4'!O31</f>
        <v>0</v>
      </c>
      <c r="P31" s="170">
        <f>'4'!P31</f>
        <v>0</v>
      </c>
      <c r="Q31" s="310">
        <f>'4'!Q31</f>
        <v>0</v>
      </c>
    </row>
    <row r="32" spans="1:17" x14ac:dyDescent="0.3">
      <c r="A32" s="307" t="str">
        <f>'4'!A32</f>
        <v>WR</v>
      </c>
      <c r="B32" s="307">
        <f>'4'!B32</f>
        <v>0</v>
      </c>
      <c r="C32" s="307">
        <f>'4'!C32</f>
        <v>0</v>
      </c>
      <c r="D32" s="308">
        <f>'4'!D32</f>
        <v>0</v>
      </c>
      <c r="E32" s="308">
        <f>'4'!E32</f>
        <v>0</v>
      </c>
      <c r="F32" s="135"/>
      <c r="G32" s="307" t="str">
        <f>'4'!G32</f>
        <v>WR</v>
      </c>
      <c r="H32" s="309">
        <f>'4'!H32</f>
        <v>0</v>
      </c>
      <c r="I32" s="309">
        <f>'4'!I32</f>
        <v>0</v>
      </c>
      <c r="J32" s="170">
        <f>'4'!J32</f>
        <v>0</v>
      </c>
      <c r="K32" s="310">
        <f>'4'!K32</f>
        <v>0</v>
      </c>
      <c r="L32" s="135"/>
      <c r="M32" s="307" t="str">
        <f>'4'!M32</f>
        <v>WR</v>
      </c>
      <c r="N32" s="309">
        <f>'4'!N32</f>
        <v>0</v>
      </c>
      <c r="O32" s="309">
        <f>'4'!O32</f>
        <v>0</v>
      </c>
      <c r="P32" s="170">
        <f>'4'!P32</f>
        <v>0</v>
      </c>
      <c r="Q32" s="310">
        <f>'4'!Q32</f>
        <v>0</v>
      </c>
    </row>
    <row r="33" spans="1:17" x14ac:dyDescent="0.3">
      <c r="A33" s="307" t="str">
        <f>'4'!A33</f>
        <v>WR</v>
      </c>
      <c r="B33" s="307">
        <f>'4'!B33</f>
        <v>0</v>
      </c>
      <c r="C33" s="307">
        <f>'4'!C33</f>
        <v>0</v>
      </c>
      <c r="D33" s="308">
        <f>'4'!D33</f>
        <v>0</v>
      </c>
      <c r="E33" s="308">
        <f>'4'!E33</f>
        <v>0</v>
      </c>
      <c r="F33" s="135"/>
      <c r="G33" s="307" t="str">
        <f>'4'!G33</f>
        <v>WR</v>
      </c>
      <c r="H33" s="309">
        <f>'4'!H33</f>
        <v>0</v>
      </c>
      <c r="I33" s="309">
        <f>'4'!I33</f>
        <v>0</v>
      </c>
      <c r="J33" s="170">
        <f>'4'!J33</f>
        <v>0</v>
      </c>
      <c r="K33" s="310">
        <f>'4'!K33</f>
        <v>0</v>
      </c>
      <c r="L33" s="135"/>
      <c r="M33" s="307" t="str">
        <f>'4'!M33</f>
        <v>WR</v>
      </c>
      <c r="N33" s="309">
        <f>'4'!N33</f>
        <v>0</v>
      </c>
      <c r="O33" s="309">
        <f>'4'!O33</f>
        <v>0</v>
      </c>
      <c r="P33" s="170">
        <f>'4'!P33</f>
        <v>0</v>
      </c>
      <c r="Q33" s="310">
        <f>'4'!Q33</f>
        <v>0</v>
      </c>
    </row>
    <row r="34" spans="1:17" x14ac:dyDescent="0.3">
      <c r="A34" s="307" t="str">
        <f>'4'!A34</f>
        <v>WR</v>
      </c>
      <c r="B34" s="307">
        <f>'4'!B34</f>
        <v>0</v>
      </c>
      <c r="C34" s="307">
        <f>'4'!C34</f>
        <v>0</v>
      </c>
      <c r="D34" s="308">
        <f>'4'!D34</f>
        <v>0</v>
      </c>
      <c r="E34" s="308">
        <f>'4'!E34</f>
        <v>0</v>
      </c>
      <c r="F34" s="135"/>
      <c r="G34" s="307" t="str">
        <f>'4'!G34</f>
        <v>WR</v>
      </c>
      <c r="H34" s="309">
        <f>'4'!H34</f>
        <v>0</v>
      </c>
      <c r="I34" s="309">
        <f>'4'!I34</f>
        <v>0</v>
      </c>
      <c r="J34" s="170">
        <f>'4'!J34</f>
        <v>0</v>
      </c>
      <c r="K34" s="310">
        <f>'4'!K34</f>
        <v>0</v>
      </c>
      <c r="L34" s="135"/>
      <c r="M34" s="307" t="str">
        <f>'4'!M34</f>
        <v>WR</v>
      </c>
      <c r="N34" s="309">
        <f>'4'!N34</f>
        <v>0</v>
      </c>
      <c r="O34" s="309">
        <f>'4'!O34</f>
        <v>0</v>
      </c>
      <c r="P34" s="170">
        <f>'4'!P34</f>
        <v>0</v>
      </c>
      <c r="Q34" s="310">
        <f>'4'!Q34</f>
        <v>0</v>
      </c>
    </row>
    <row r="35" spans="1:17" x14ac:dyDescent="0.3">
      <c r="A35" s="307" t="str">
        <f>'4'!A35</f>
        <v>WR</v>
      </c>
      <c r="B35" s="307">
        <f>'4'!B35</f>
        <v>0</v>
      </c>
      <c r="C35" s="307">
        <f>'4'!C35</f>
        <v>0</v>
      </c>
      <c r="D35" s="308">
        <f>'4'!D35</f>
        <v>0</v>
      </c>
      <c r="E35" s="308">
        <f>'4'!E35</f>
        <v>0</v>
      </c>
      <c r="F35" s="135"/>
      <c r="G35" s="307" t="str">
        <f>'4'!G35</f>
        <v>WR</v>
      </c>
      <c r="H35" s="309">
        <f>'4'!H35</f>
        <v>0</v>
      </c>
      <c r="I35" s="309">
        <f>'4'!I35</f>
        <v>0</v>
      </c>
      <c r="J35" s="170">
        <f>'4'!J35</f>
        <v>0</v>
      </c>
      <c r="K35" s="310">
        <f>'4'!K35</f>
        <v>0</v>
      </c>
      <c r="L35" s="135"/>
      <c r="M35" s="307" t="str">
        <f>'4'!M35</f>
        <v>WR</v>
      </c>
      <c r="N35" s="309">
        <f>'4'!N35</f>
        <v>0</v>
      </c>
      <c r="O35" s="309">
        <f>'4'!O35</f>
        <v>0</v>
      </c>
      <c r="P35" s="170">
        <f>'4'!P35</f>
        <v>0</v>
      </c>
      <c r="Q35" s="310">
        <f>'4'!Q35</f>
        <v>0</v>
      </c>
    </row>
    <row r="36" spans="1:17" x14ac:dyDescent="0.3">
      <c r="A36" s="307" t="str">
        <f>'4'!A36</f>
        <v>WR</v>
      </c>
      <c r="B36" s="307">
        <f>'4'!B36</f>
        <v>0</v>
      </c>
      <c r="C36" s="307">
        <f>'4'!C36</f>
        <v>0</v>
      </c>
      <c r="D36" s="308">
        <f>'4'!D36</f>
        <v>0</v>
      </c>
      <c r="E36" s="308">
        <f>'4'!E36</f>
        <v>0</v>
      </c>
      <c r="F36" s="135"/>
      <c r="G36" s="307" t="str">
        <f>'4'!G36</f>
        <v>WR</v>
      </c>
      <c r="H36" s="309">
        <f>'4'!H36</f>
        <v>0</v>
      </c>
      <c r="I36" s="309">
        <f>'4'!I36</f>
        <v>0</v>
      </c>
      <c r="J36" s="170">
        <f>'4'!J36</f>
        <v>0</v>
      </c>
      <c r="K36" s="310">
        <f>'4'!K36</f>
        <v>0</v>
      </c>
      <c r="L36" s="135"/>
      <c r="M36" s="307" t="str">
        <f>'4'!M36</f>
        <v>WR</v>
      </c>
      <c r="N36" s="309">
        <f>'4'!N36</f>
        <v>0</v>
      </c>
      <c r="O36" s="309">
        <f>'4'!O36</f>
        <v>0</v>
      </c>
      <c r="P36" s="170">
        <f>'4'!P36</f>
        <v>0</v>
      </c>
      <c r="Q36" s="310">
        <f>'4'!Q36</f>
        <v>0</v>
      </c>
    </row>
    <row r="37" spans="1:17" x14ac:dyDescent="0.3">
      <c r="A37" s="307" t="str">
        <f>'4'!A37</f>
        <v>WR</v>
      </c>
      <c r="B37" s="307">
        <f>'4'!B37</f>
        <v>0</v>
      </c>
      <c r="C37" s="307">
        <f>'4'!C37</f>
        <v>0</v>
      </c>
      <c r="D37" s="308">
        <f>'4'!D37</f>
        <v>0</v>
      </c>
      <c r="E37" s="308">
        <f>'4'!E37</f>
        <v>0</v>
      </c>
      <c r="F37" s="135"/>
      <c r="G37" s="307" t="str">
        <f>'4'!G37</f>
        <v>WR</v>
      </c>
      <c r="H37" s="309">
        <f>'4'!H37</f>
        <v>0</v>
      </c>
      <c r="I37" s="309">
        <f>'4'!I37</f>
        <v>0</v>
      </c>
      <c r="J37" s="170">
        <f>'4'!J37</f>
        <v>0</v>
      </c>
      <c r="K37" s="310">
        <f>'4'!K37</f>
        <v>0</v>
      </c>
      <c r="L37" s="135"/>
      <c r="M37" s="307" t="str">
        <f>'4'!M37</f>
        <v>WR</v>
      </c>
      <c r="N37" s="309">
        <f>'4'!N37</f>
        <v>0</v>
      </c>
      <c r="O37" s="309">
        <f>'4'!O37</f>
        <v>0</v>
      </c>
      <c r="P37" s="170">
        <f>'4'!P37</f>
        <v>0</v>
      </c>
      <c r="Q37" s="310">
        <f>'4'!Q37</f>
        <v>0</v>
      </c>
    </row>
    <row r="38" spans="1:17" x14ac:dyDescent="0.3">
      <c r="A38" s="307" t="str">
        <f>'4'!A38</f>
        <v>WR</v>
      </c>
      <c r="B38" s="307">
        <f>'4'!B38</f>
        <v>0</v>
      </c>
      <c r="C38" s="307">
        <f>'4'!C38</f>
        <v>0</v>
      </c>
      <c r="D38" s="308">
        <f>'4'!D38</f>
        <v>0</v>
      </c>
      <c r="E38" s="308">
        <f>'4'!E38</f>
        <v>0</v>
      </c>
      <c r="F38" s="135"/>
      <c r="G38" s="307" t="str">
        <f>'4'!G38</f>
        <v>WR</v>
      </c>
      <c r="H38" s="309">
        <f>'4'!H38</f>
        <v>0</v>
      </c>
      <c r="I38" s="309">
        <f>'4'!I38</f>
        <v>0</v>
      </c>
      <c r="J38" s="170">
        <f>'4'!J38</f>
        <v>0</v>
      </c>
      <c r="K38" s="310">
        <f>'4'!K38</f>
        <v>0</v>
      </c>
      <c r="L38" s="135"/>
      <c r="M38" s="307" t="str">
        <f>'4'!M38</f>
        <v>WR</v>
      </c>
      <c r="N38" s="309">
        <f>'4'!N38</f>
        <v>0</v>
      </c>
      <c r="O38" s="309">
        <f>'4'!O38</f>
        <v>0</v>
      </c>
      <c r="P38" s="170">
        <f>'4'!P38</f>
        <v>0</v>
      </c>
      <c r="Q38" s="310">
        <f>'4'!Q38</f>
        <v>0</v>
      </c>
    </row>
    <row r="39" spans="1:17" x14ac:dyDescent="0.3">
      <c r="A39" s="307" t="str">
        <f>'4'!A39</f>
        <v>WR</v>
      </c>
      <c r="B39" s="307">
        <f>'4'!B39</f>
        <v>0</v>
      </c>
      <c r="C39" s="307">
        <f>'4'!C39</f>
        <v>0</v>
      </c>
      <c r="D39" s="308">
        <f>'4'!D39</f>
        <v>0</v>
      </c>
      <c r="E39" s="308">
        <f>'4'!E39</f>
        <v>0</v>
      </c>
      <c r="F39" s="135"/>
      <c r="G39" s="307" t="str">
        <f>'4'!G39</f>
        <v>WR</v>
      </c>
      <c r="H39" s="309">
        <f>'4'!H39</f>
        <v>0</v>
      </c>
      <c r="I39" s="309">
        <f>'4'!I39</f>
        <v>0</v>
      </c>
      <c r="J39" s="170">
        <f>'4'!J39</f>
        <v>0</v>
      </c>
      <c r="K39" s="310">
        <f>'4'!K39</f>
        <v>0</v>
      </c>
      <c r="L39" s="135"/>
      <c r="M39" s="307" t="str">
        <f>'4'!M39</f>
        <v>WR</v>
      </c>
      <c r="N39" s="309">
        <f>'4'!N39</f>
        <v>0</v>
      </c>
      <c r="O39" s="309">
        <f>'4'!O39</f>
        <v>0</v>
      </c>
      <c r="P39" s="170">
        <f>'4'!P39</f>
        <v>0</v>
      </c>
      <c r="Q39" s="310">
        <f>'4'!Q39</f>
        <v>0</v>
      </c>
    </row>
    <row r="40" spans="1:17" x14ac:dyDescent="0.3">
      <c r="A40" s="307" t="str">
        <f>'4'!A40</f>
        <v>WR</v>
      </c>
      <c r="B40" s="307">
        <f>'4'!B40</f>
        <v>0</v>
      </c>
      <c r="C40" s="307">
        <f>'4'!C40</f>
        <v>0</v>
      </c>
      <c r="D40" s="308">
        <f>'4'!D40</f>
        <v>0</v>
      </c>
      <c r="E40" s="308">
        <f>'4'!E40</f>
        <v>0</v>
      </c>
      <c r="F40" s="135"/>
      <c r="G40" s="307" t="str">
        <f>'4'!G40</f>
        <v>WR</v>
      </c>
      <c r="H40" s="309">
        <f>'4'!H40</f>
        <v>0</v>
      </c>
      <c r="I40" s="309">
        <f>'4'!I40</f>
        <v>0</v>
      </c>
      <c r="J40" s="170">
        <f>'4'!J40</f>
        <v>0</v>
      </c>
      <c r="K40" s="310">
        <f>'4'!K40</f>
        <v>0</v>
      </c>
      <c r="L40" s="135"/>
      <c r="M40" s="307" t="str">
        <f>'4'!M40</f>
        <v>WR</v>
      </c>
      <c r="N40" s="309">
        <f>'4'!N40</f>
        <v>0</v>
      </c>
      <c r="O40" s="309">
        <f>'4'!O40</f>
        <v>0</v>
      </c>
      <c r="P40" s="170">
        <f>'4'!P40</f>
        <v>0</v>
      </c>
      <c r="Q40" s="310">
        <f>'4'!Q40</f>
        <v>0</v>
      </c>
    </row>
    <row r="41" spans="1:17" x14ac:dyDescent="0.3">
      <c r="A41" s="307" t="str">
        <f>'4'!A41</f>
        <v>WR</v>
      </c>
      <c r="B41" s="307">
        <f>'4'!B41</f>
        <v>0</v>
      </c>
      <c r="C41" s="307">
        <f>'4'!C41</f>
        <v>0</v>
      </c>
      <c r="D41" s="308">
        <f>'4'!D41</f>
        <v>0</v>
      </c>
      <c r="E41" s="308">
        <f>'4'!E41</f>
        <v>0</v>
      </c>
      <c r="F41" s="135"/>
      <c r="G41" s="307" t="str">
        <f>'4'!G41</f>
        <v>WR</v>
      </c>
      <c r="H41" s="309">
        <f>'4'!H41</f>
        <v>0</v>
      </c>
      <c r="I41" s="309">
        <f>'4'!I41</f>
        <v>0</v>
      </c>
      <c r="J41" s="170">
        <f>'4'!J41</f>
        <v>0</v>
      </c>
      <c r="K41" s="310">
        <f>'4'!K41</f>
        <v>0</v>
      </c>
      <c r="L41" s="135"/>
      <c r="M41" s="307" t="str">
        <f>'4'!M41</f>
        <v>WR</v>
      </c>
      <c r="N41" s="309">
        <f>'4'!N41</f>
        <v>0</v>
      </c>
      <c r="O41" s="309">
        <f>'4'!O41</f>
        <v>0</v>
      </c>
      <c r="P41" s="170">
        <f>'4'!P41</f>
        <v>0</v>
      </c>
      <c r="Q41" s="310">
        <f>'4'!Q41</f>
        <v>0</v>
      </c>
    </row>
    <row r="42" spans="1:17" x14ac:dyDescent="0.3">
      <c r="A42" s="307" t="str">
        <f>'4'!A42</f>
        <v>WR</v>
      </c>
      <c r="B42" s="307">
        <f>'4'!B42</f>
        <v>0</v>
      </c>
      <c r="C42" s="307">
        <f>'4'!C42</f>
        <v>0</v>
      </c>
      <c r="D42" s="308">
        <f>'4'!D42</f>
        <v>0</v>
      </c>
      <c r="E42" s="308">
        <f>'4'!E42</f>
        <v>0</v>
      </c>
      <c r="F42" s="135"/>
      <c r="G42" s="307" t="str">
        <f>'4'!G42</f>
        <v>WR</v>
      </c>
      <c r="H42" s="309">
        <f>'4'!H42</f>
        <v>0</v>
      </c>
      <c r="I42" s="309">
        <f>'4'!I42</f>
        <v>0</v>
      </c>
      <c r="J42" s="170">
        <f>'4'!J42</f>
        <v>0</v>
      </c>
      <c r="K42" s="310">
        <f>'4'!K42</f>
        <v>0</v>
      </c>
      <c r="L42" s="135"/>
      <c r="M42" s="307" t="str">
        <f>'4'!M42</f>
        <v>WR</v>
      </c>
      <c r="N42" s="309">
        <f>'4'!N42</f>
        <v>0</v>
      </c>
      <c r="O42" s="309">
        <f>'4'!O42</f>
        <v>0</v>
      </c>
      <c r="P42" s="170">
        <f>'4'!P42</f>
        <v>0</v>
      </c>
      <c r="Q42" s="310">
        <f>'4'!Q42</f>
        <v>0</v>
      </c>
    </row>
    <row r="43" spans="1:17" x14ac:dyDescent="0.3">
      <c r="A43" s="307" t="str">
        <f>'4'!A43</f>
        <v>WR</v>
      </c>
      <c r="B43" s="307">
        <f>'4'!B43</f>
        <v>0</v>
      </c>
      <c r="C43" s="307">
        <f>'4'!C43</f>
        <v>0</v>
      </c>
      <c r="D43" s="308">
        <f>'4'!D43</f>
        <v>0</v>
      </c>
      <c r="E43" s="308">
        <f>'4'!E43</f>
        <v>0</v>
      </c>
      <c r="F43" s="135"/>
      <c r="G43" s="307" t="str">
        <f>'4'!G43</f>
        <v>WR</v>
      </c>
      <c r="H43" s="309">
        <f>'4'!H43</f>
        <v>0</v>
      </c>
      <c r="I43" s="309">
        <f>'4'!I43</f>
        <v>0</v>
      </c>
      <c r="J43" s="170">
        <f>'4'!J43</f>
        <v>0</v>
      </c>
      <c r="K43" s="310">
        <f>'4'!K43</f>
        <v>0</v>
      </c>
      <c r="L43" s="135"/>
      <c r="M43" s="307" t="str">
        <f>'4'!M43</f>
        <v>WR</v>
      </c>
      <c r="N43" s="309">
        <f>'4'!N43</f>
        <v>0</v>
      </c>
      <c r="O43" s="309">
        <f>'4'!O43</f>
        <v>0</v>
      </c>
      <c r="P43" s="170">
        <f>'4'!P43</f>
        <v>0</v>
      </c>
      <c r="Q43" s="310">
        <f>'4'!Q43</f>
        <v>0</v>
      </c>
    </row>
    <row r="44" spans="1:17" x14ac:dyDescent="0.3">
      <c r="A44" s="307" t="str">
        <f>'4'!A44</f>
        <v>WR</v>
      </c>
      <c r="B44" s="307">
        <f>'4'!B44</f>
        <v>0</v>
      </c>
      <c r="C44" s="307">
        <f>'4'!C44</f>
        <v>0</v>
      </c>
      <c r="D44" s="308">
        <f>'4'!D44</f>
        <v>0</v>
      </c>
      <c r="E44" s="308">
        <f>'4'!E44</f>
        <v>0</v>
      </c>
      <c r="F44" s="135"/>
      <c r="G44" s="307" t="str">
        <f>'4'!G44</f>
        <v>WR</v>
      </c>
      <c r="H44" s="309">
        <f>'4'!H44</f>
        <v>0</v>
      </c>
      <c r="I44" s="309">
        <f>'4'!I44</f>
        <v>0</v>
      </c>
      <c r="J44" s="170">
        <f>'4'!J44</f>
        <v>0</v>
      </c>
      <c r="K44" s="310">
        <f>'4'!K44</f>
        <v>0</v>
      </c>
      <c r="L44" s="135"/>
      <c r="M44" s="307" t="str">
        <f>'4'!M44</f>
        <v>WR</v>
      </c>
      <c r="N44" s="309">
        <f>'4'!N44</f>
        <v>0</v>
      </c>
      <c r="O44" s="309">
        <f>'4'!O44</f>
        <v>0</v>
      </c>
      <c r="P44" s="170">
        <f>'4'!P44</f>
        <v>0</v>
      </c>
      <c r="Q44" s="310">
        <f>'4'!Q44</f>
        <v>0</v>
      </c>
    </row>
    <row r="45" spans="1:17" x14ac:dyDescent="0.3">
      <c r="A45" s="307" t="str">
        <f>'4'!A45</f>
        <v>WR</v>
      </c>
      <c r="B45" s="307">
        <f>'4'!B45</f>
        <v>0</v>
      </c>
      <c r="C45" s="307">
        <f>'4'!C45</f>
        <v>0</v>
      </c>
      <c r="D45" s="308">
        <f>'4'!D45</f>
        <v>0</v>
      </c>
      <c r="E45" s="308">
        <f>'4'!E45</f>
        <v>0</v>
      </c>
      <c r="F45" s="135"/>
      <c r="G45" s="307" t="str">
        <f>'4'!G45</f>
        <v>WR</v>
      </c>
      <c r="H45" s="309">
        <f>'4'!H45</f>
        <v>0</v>
      </c>
      <c r="I45" s="309">
        <f>'4'!I45</f>
        <v>0</v>
      </c>
      <c r="J45" s="170">
        <f>'4'!J45</f>
        <v>0</v>
      </c>
      <c r="K45" s="310">
        <f>'4'!K45</f>
        <v>0</v>
      </c>
      <c r="L45" s="135"/>
      <c r="M45" s="307" t="str">
        <f>'4'!M45</f>
        <v>WR</v>
      </c>
      <c r="N45" s="309">
        <f>'4'!N45</f>
        <v>0</v>
      </c>
      <c r="O45" s="309">
        <f>'4'!O45</f>
        <v>0</v>
      </c>
      <c r="P45" s="170">
        <f>'4'!P45</f>
        <v>0</v>
      </c>
      <c r="Q45" s="310">
        <f>'4'!Q45</f>
        <v>0</v>
      </c>
    </row>
    <row r="46" spans="1:17" x14ac:dyDescent="0.3">
      <c r="A46" s="307" t="str">
        <f>'4'!A46</f>
        <v>WR</v>
      </c>
      <c r="B46" s="307">
        <f>'4'!B46</f>
        <v>0</v>
      </c>
      <c r="C46" s="307">
        <f>'4'!C46</f>
        <v>0</v>
      </c>
      <c r="D46" s="308">
        <f>'4'!D46</f>
        <v>0</v>
      </c>
      <c r="E46" s="308">
        <f>'4'!E46</f>
        <v>0</v>
      </c>
      <c r="F46" s="135"/>
      <c r="G46" s="307" t="str">
        <f>'4'!G46</f>
        <v>WR</v>
      </c>
      <c r="H46" s="309">
        <f>'4'!H46</f>
        <v>0</v>
      </c>
      <c r="I46" s="309">
        <f>'4'!I46</f>
        <v>0</v>
      </c>
      <c r="J46" s="170">
        <f>'4'!J46</f>
        <v>0</v>
      </c>
      <c r="K46" s="310">
        <f>'4'!K46</f>
        <v>0</v>
      </c>
      <c r="L46" s="135"/>
      <c r="M46" s="307" t="str">
        <f>'4'!M46</f>
        <v>WR</v>
      </c>
      <c r="N46" s="309">
        <f>'4'!N46</f>
        <v>0</v>
      </c>
      <c r="O46" s="309">
        <f>'4'!O46</f>
        <v>0</v>
      </c>
      <c r="P46" s="170">
        <f>'4'!P46</f>
        <v>0</v>
      </c>
      <c r="Q46" s="310">
        <f>'4'!Q46</f>
        <v>0</v>
      </c>
    </row>
    <row r="47" spans="1:17" x14ac:dyDescent="0.3">
      <c r="A47" s="307" t="str">
        <f>'4'!A47</f>
        <v>WR</v>
      </c>
      <c r="B47" s="307">
        <f>'4'!B47</f>
        <v>0</v>
      </c>
      <c r="C47" s="307">
        <f>'4'!C47</f>
        <v>0</v>
      </c>
      <c r="D47" s="308">
        <f>'4'!D47</f>
        <v>0</v>
      </c>
      <c r="E47" s="308">
        <f>'4'!E47</f>
        <v>0</v>
      </c>
      <c r="F47" s="135"/>
      <c r="G47" s="307" t="str">
        <f>'4'!G47</f>
        <v>WR</v>
      </c>
      <c r="H47" s="309">
        <f>'4'!H47</f>
        <v>0</v>
      </c>
      <c r="I47" s="309">
        <f>'4'!I47</f>
        <v>0</v>
      </c>
      <c r="J47" s="170">
        <f>'4'!J47</f>
        <v>0</v>
      </c>
      <c r="K47" s="310">
        <f>'4'!K47</f>
        <v>0</v>
      </c>
      <c r="L47" s="135"/>
      <c r="M47" s="307" t="str">
        <f>'4'!M47</f>
        <v>WR</v>
      </c>
      <c r="N47" s="309">
        <f>'4'!N47</f>
        <v>0</v>
      </c>
      <c r="O47" s="309">
        <f>'4'!O47</f>
        <v>0</v>
      </c>
      <c r="P47" s="170">
        <f>'4'!P47</f>
        <v>0</v>
      </c>
      <c r="Q47" s="310">
        <f>'4'!Q47</f>
        <v>0</v>
      </c>
    </row>
    <row r="48" spans="1:17" x14ac:dyDescent="0.3">
      <c r="A48" s="307" t="str">
        <f>'4'!A48</f>
        <v>WR</v>
      </c>
      <c r="B48" s="307">
        <f>'4'!B48</f>
        <v>0</v>
      </c>
      <c r="C48" s="307">
        <f>'4'!C48</f>
        <v>0</v>
      </c>
      <c r="D48" s="308">
        <f>'4'!D48</f>
        <v>0</v>
      </c>
      <c r="E48" s="308">
        <f>'4'!E48</f>
        <v>0</v>
      </c>
      <c r="F48" s="135"/>
      <c r="G48" s="307" t="str">
        <f>'4'!G48</f>
        <v>WR</v>
      </c>
      <c r="H48" s="309">
        <f>'4'!H48</f>
        <v>0</v>
      </c>
      <c r="I48" s="309">
        <f>'4'!I48</f>
        <v>0</v>
      </c>
      <c r="J48" s="170">
        <f>'4'!J48</f>
        <v>0</v>
      </c>
      <c r="K48" s="310">
        <f>'4'!K48</f>
        <v>0</v>
      </c>
      <c r="L48" s="135"/>
      <c r="M48" s="307" t="str">
        <f>'4'!M48</f>
        <v>WR</v>
      </c>
      <c r="N48" s="309">
        <f>'4'!N48</f>
        <v>0</v>
      </c>
      <c r="O48" s="309">
        <f>'4'!O48</f>
        <v>0</v>
      </c>
      <c r="P48" s="170">
        <f>'4'!P48</f>
        <v>0</v>
      </c>
      <c r="Q48" s="310">
        <f>'4'!Q48</f>
        <v>0</v>
      </c>
    </row>
    <row r="49" spans="1:23" x14ac:dyDescent="0.3">
      <c r="A49" s="307" t="str">
        <f>'4'!A49</f>
        <v>WR</v>
      </c>
      <c r="B49" s="307">
        <f>'4'!B49</f>
        <v>0</v>
      </c>
      <c r="C49" s="307">
        <f>'4'!C49</f>
        <v>0</v>
      </c>
      <c r="D49" s="308">
        <f>'4'!D49</f>
        <v>0</v>
      </c>
      <c r="E49" s="308">
        <f>'4'!E49</f>
        <v>0</v>
      </c>
      <c r="F49" s="3"/>
      <c r="G49" s="307" t="str">
        <f>'4'!G49</f>
        <v>WR</v>
      </c>
      <c r="H49" s="309">
        <f>'4'!H49</f>
        <v>0</v>
      </c>
      <c r="I49" s="309">
        <f>'4'!I49</f>
        <v>0</v>
      </c>
      <c r="J49" s="170">
        <f>'4'!J49</f>
        <v>0</v>
      </c>
      <c r="K49" s="310">
        <f>'4'!K49</f>
        <v>0</v>
      </c>
      <c r="L49" s="3"/>
      <c r="M49" s="307" t="str">
        <f>'4'!M49</f>
        <v>WR</v>
      </c>
      <c r="N49" s="309">
        <f>'4'!N49</f>
        <v>0</v>
      </c>
      <c r="O49" s="309">
        <f>'4'!O49</f>
        <v>0</v>
      </c>
      <c r="P49" s="170">
        <f>'4'!P49</f>
        <v>0</v>
      </c>
      <c r="Q49" s="310">
        <f>'4'!Q49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46027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 t="s">
        <v>198</v>
      </c>
      <c r="E55" s="506"/>
      <c r="F55" s="506"/>
      <c r="G55" s="506"/>
      <c r="H55" s="506"/>
      <c r="I55" s="506"/>
      <c r="J55" s="93">
        <v>1440</v>
      </c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0</v>
      </c>
      <c r="R55" s="395"/>
      <c r="S55" s="388">
        <f>DAY(A52)</f>
        <v>5</v>
      </c>
      <c r="T55" s="383">
        <f>S55-U55</f>
        <v>0</v>
      </c>
      <c r="U55" s="383">
        <v>5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0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 t="e">
        <f>L27</f>
        <v>#DIV/0!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0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 t="e">
        <f>F26</f>
        <v>#DIV/0!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</f>
        <v>7200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1440</v>
      </c>
      <c r="Q61" s="126">
        <f>'1'!Q61+'2'!P61+'3'!P61+'4'!P61+'5'!P61</f>
        <v>7200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38">
        <v>1440</v>
      </c>
      <c r="Q62" s="99">
        <f>'1'!Q62+'2'!P62+'3'!P62+'4'!P62+'5'!P62</f>
        <v>7200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</f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26">
        <f>'1'!Q65+'2'!P65+'3'!P65+'4'!P65+'5'!P65</f>
        <v>0</v>
      </c>
      <c r="R65" s="395"/>
      <c r="S65" s="171" t="s">
        <v>56</v>
      </c>
      <c r="T65" s="172"/>
      <c r="U65" s="173" t="s">
        <v>151</v>
      </c>
      <c r="V65" s="174"/>
      <c r="W65" s="181">
        <f>+'4'!W65+'5'!V65</f>
        <v>0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+'4'!W66+'5'!V66</f>
        <v>0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>'1'!Q67+'2'!P67+'3'!P67+'4'!P67+'5'!P67</f>
        <v>0</v>
      </c>
      <c r="R67" s="399"/>
      <c r="S67" s="377" t="s">
        <v>60</v>
      </c>
      <c r="T67" s="175"/>
      <c r="U67" s="176" t="s">
        <v>151</v>
      </c>
      <c r="V67" s="177"/>
      <c r="W67" s="182">
        <f>+'4'!W67+'5'!V67</f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>'1'!Q68+'2'!P68+'3'!P68+'4'!P68+'5'!P68</f>
        <v>0</v>
      </c>
      <c r="R68" s="409"/>
      <c r="S68" s="377" t="s">
        <v>62</v>
      </c>
      <c r="T68" s="175"/>
      <c r="U68" s="176" t="s">
        <v>151</v>
      </c>
      <c r="V68" s="177"/>
      <c r="W68" s="182">
        <f>+'4'!W68+'5'!V68</f>
        <v>0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0</v>
      </c>
      <c r="Q69" s="126">
        <f>'1'!Q69+'2'!P69+'3'!P69+'4'!P69+'5'!P69</f>
        <v>0</v>
      </c>
      <c r="R69" s="395"/>
      <c r="S69" s="376" t="s">
        <v>64</v>
      </c>
      <c r="T69" s="178"/>
      <c r="U69" s="179" t="s">
        <v>151</v>
      </c>
      <c r="V69" s="180"/>
      <c r="W69" s="183">
        <f>+'4'!W69+'5'!V69</f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>'1'!Q70+'2'!P70+'3'!P70+'4'!P70+'5'!P70</f>
        <v>0</v>
      </c>
      <c r="R70" s="399">
        <f>T55*30</f>
        <v>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>'1'!Q71+'2'!P71+'3'!P71+'4'!P71+'5'!P71</f>
        <v>0</v>
      </c>
      <c r="R71" s="399">
        <f>T55*25</f>
        <v>0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</f>
        <v>0</v>
      </c>
      <c r="R72" s="399">
        <f>T55*10</f>
        <v>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</f>
        <v>0</v>
      </c>
      <c r="R73" s="399"/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</f>
        <v>0</v>
      </c>
      <c r="R74" s="409"/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0</v>
      </c>
      <c r="Q75" s="94">
        <f>'1'!Q75+'2'!P75+'3'!P75+'4'!P75+'5'!P75</f>
        <v>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>'1'!Q76+'2'!P76+'3'!P76+'4'!P76+'5'!P76</f>
        <v>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94">
        <f>'1'!Q77+'2'!P77+'3'!P77+'4'!P77+'5'!P77</f>
        <v>0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</f>
        <v>0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1440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0</v>
      </c>
      <c r="Q79" s="94">
        <f>'1'!Q79+'2'!P79+'3'!P79+'4'!P79+'5'!P79</f>
        <v>0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6" t="s">
        <v>14</v>
      </c>
      <c r="P80" s="103" t="e">
        <f>P79/P75</f>
        <v>#DIV/0!</v>
      </c>
      <c r="Q80" s="151" t="e">
        <f>Q79/Q75</f>
        <v>#DIV/0!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85" t="s">
        <v>14</v>
      </c>
      <c r="P81" s="105">
        <f>P79/P60</f>
        <v>0</v>
      </c>
      <c r="Q81" s="152">
        <f>Q79/Q60</f>
        <v>0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 t="e">
        <f>(C16/1000)/(P79/60)</f>
        <v>#DIV/0!</v>
      </c>
      <c r="Q82" s="108" t="e">
        <f>(C26/1000)/(Q79/60)</f>
        <v>#DIV/0!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 t="e">
        <f>(C16/1000)/(P75/60)</f>
        <v>#DIV/0!</v>
      </c>
      <c r="Q83" s="113" t="e">
        <f>(C26/1000)/(Q75/60)</f>
        <v>#DIV/0!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11908</v>
      </c>
      <c r="Q84" s="126">
        <f>'1'!Q84+'2'!P84+'3'!P84+'4'!P84+'5'!P84</f>
        <v>12521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 t="e">
        <f>P84/(K17/1000)</f>
        <v>#DIV/0!</v>
      </c>
      <c r="Q85" s="124" t="e">
        <f>Q84/(K27/1000)</f>
        <v>#DIV/0!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30.69</v>
      </c>
      <c r="Q86" s="126">
        <f>'1'!Q86+'2'!P86+'3'!P86+'4'!P86+'5'!P86</f>
        <v>68.25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 t="e">
        <f>(Q86*1000)/(K26/1000)</f>
        <v>#DIV/0!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0</v>
      </c>
      <c r="Q88" s="126">
        <f>'1'!Q88+'2'!P88+'3'!P88+'4'!P88+'5'!P88</f>
        <v>134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317" t="e">
        <f>Q88/(K26/1000)</f>
        <v>#DIV/0!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17" priority="1" operator="lessThan">
      <formula>0.0018</formula>
    </cfRule>
  </conditionalFormatting>
  <pageMargins left="0.7" right="0.7" top="0.25" bottom="0.25" header="0.3" footer="0.3"/>
  <pageSetup paperSize="9" scale="78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A53" workbookViewId="0">
      <selection activeCell="R59" sqref="R59"/>
    </sheetView>
  </sheetViews>
  <sheetFormatPr defaultRowHeight="16.5" x14ac:dyDescent="0.3"/>
  <cols>
    <col min="1" max="1" width="8.570312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'5'!A3:Q3+1</f>
        <v>46028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200</v>
      </c>
      <c r="B7" s="15">
        <v>248</v>
      </c>
      <c r="C7" s="15">
        <v>523032</v>
      </c>
      <c r="D7" s="16">
        <v>5</v>
      </c>
      <c r="E7" s="17">
        <v>10545</v>
      </c>
      <c r="F7" s="18">
        <f>E7/C7</f>
        <v>2.0161290322580645E-2</v>
      </c>
      <c r="G7" s="19" t="s">
        <v>195</v>
      </c>
      <c r="H7" s="20" t="s">
        <v>201</v>
      </c>
      <c r="I7" s="21" t="s">
        <v>202</v>
      </c>
      <c r="J7" s="22">
        <v>239</v>
      </c>
      <c r="K7" s="17">
        <v>497038</v>
      </c>
      <c r="L7" s="23">
        <f t="shared" ref="L7:L16" si="0">K7/C7</f>
        <v>0.95030131999571732</v>
      </c>
      <c r="M7" s="17">
        <v>4</v>
      </c>
      <c r="N7" s="22">
        <v>7662</v>
      </c>
      <c r="O7" s="134"/>
      <c r="P7" s="134"/>
      <c r="Q7" s="134"/>
    </row>
    <row r="8" spans="1:17" x14ac:dyDescent="0.3">
      <c r="A8" s="24" t="s">
        <v>200</v>
      </c>
      <c r="B8" s="25">
        <v>8</v>
      </c>
      <c r="C8" s="25">
        <v>16872</v>
      </c>
      <c r="D8" s="26">
        <v>1</v>
      </c>
      <c r="E8" s="33">
        <v>2109</v>
      </c>
      <c r="F8" s="28">
        <f>E8/C8</f>
        <v>0.125</v>
      </c>
      <c r="G8" s="29" t="s">
        <v>1</v>
      </c>
      <c r="H8" s="30">
        <v>6.5</v>
      </c>
      <c r="I8" s="31" t="s">
        <v>203</v>
      </c>
      <c r="J8" s="32">
        <v>6</v>
      </c>
      <c r="K8" s="33">
        <v>12304</v>
      </c>
      <c r="L8" s="34">
        <f t="shared" si="0"/>
        <v>0.72925557136083452</v>
      </c>
      <c r="M8" s="33">
        <v>1</v>
      </c>
      <c r="N8" s="32">
        <v>2055</v>
      </c>
      <c r="O8" s="135"/>
      <c r="P8" s="135"/>
      <c r="Q8" s="135"/>
    </row>
    <row r="9" spans="1:17" x14ac:dyDescent="0.3">
      <c r="A9" s="24" t="s">
        <v>221</v>
      </c>
      <c r="B9" s="25">
        <v>144</v>
      </c>
      <c r="C9" s="25">
        <v>305424</v>
      </c>
      <c r="D9" s="26"/>
      <c r="E9" s="27"/>
      <c r="F9" s="28"/>
      <c r="G9" s="29" t="s">
        <v>1</v>
      </c>
      <c r="H9" s="30">
        <v>6.5</v>
      </c>
      <c r="I9" s="31" t="s">
        <v>204</v>
      </c>
      <c r="J9" s="32">
        <v>144</v>
      </c>
      <c r="K9" s="33">
        <v>301505</v>
      </c>
      <c r="L9" s="34">
        <f t="shared" si="0"/>
        <v>0.98716865734192472</v>
      </c>
      <c r="M9" s="33"/>
      <c r="N9" s="32"/>
      <c r="O9" s="135"/>
      <c r="P9" s="135"/>
      <c r="Q9" s="135"/>
    </row>
    <row r="10" spans="1:17" x14ac:dyDescent="0.3">
      <c r="A10" s="35" t="s">
        <v>205</v>
      </c>
      <c r="B10" s="36">
        <v>46</v>
      </c>
      <c r="C10" s="36">
        <v>96508</v>
      </c>
      <c r="D10" s="37"/>
      <c r="E10" s="38"/>
      <c r="F10" s="18"/>
      <c r="G10" s="39" t="s">
        <v>1</v>
      </c>
      <c r="H10" s="40">
        <v>6.5</v>
      </c>
      <c r="I10" s="31" t="s">
        <v>206</v>
      </c>
      <c r="J10" s="41">
        <v>46</v>
      </c>
      <c r="K10" s="42">
        <v>95025</v>
      </c>
      <c r="L10" s="34">
        <f t="shared" si="0"/>
        <v>0.98463339826750118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446</v>
      </c>
      <c r="C16" s="48">
        <f>SUM(C7:C15)</f>
        <v>941836</v>
      </c>
      <c r="D16" s="49">
        <f>SUM(D7:D15)</f>
        <v>6</v>
      </c>
      <c r="E16" s="50">
        <f>SUM(E7:E15)</f>
        <v>12654</v>
      </c>
      <c r="F16" s="51">
        <f>E16/C16</f>
        <v>1.343546010133399E-2</v>
      </c>
      <c r="G16" s="52"/>
      <c r="H16" s="2"/>
      <c r="I16" s="2"/>
      <c r="J16" s="53">
        <f>SUM(J7:J15)</f>
        <v>435</v>
      </c>
      <c r="K16" s="53">
        <f>SUM(K7:K15)</f>
        <v>905872</v>
      </c>
      <c r="L16" s="51">
        <f t="shared" si="0"/>
        <v>0.96181500813305076</v>
      </c>
      <c r="M16" s="50">
        <f>SUM(M7:M15)</f>
        <v>5</v>
      </c>
      <c r="N16" s="54">
        <f>SUM(N7:N15)</f>
        <v>9717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915589</v>
      </c>
      <c r="L17" s="51">
        <f>K17/C16</f>
        <v>0.97213209093727571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'5'!B22+B8+B9+B10</f>
        <v>198</v>
      </c>
      <c r="C22" s="57">
        <f>'5'!C22+C8+C9+C10</f>
        <v>418804</v>
      </c>
      <c r="D22" s="57">
        <f>'5'!D22+D8+D9+D10</f>
        <v>1</v>
      </c>
      <c r="E22" s="57">
        <f>'5'!E22+E8+E9+E10</f>
        <v>2109</v>
      </c>
      <c r="F22" s="423">
        <f>E22/C22</f>
        <v>5.0357685217906232E-3</v>
      </c>
      <c r="G22" s="58" t="s">
        <v>1</v>
      </c>
      <c r="H22" s="59"/>
      <c r="I22" s="59"/>
      <c r="J22" s="57">
        <f>'5'!J22+J8+J9+J10</f>
        <v>196</v>
      </c>
      <c r="K22" s="57">
        <f>'5'!K22+K8+K9+K10</f>
        <v>408834</v>
      </c>
      <c r="L22" s="60">
        <f>K22/C22</f>
        <v>0.97619411466939188</v>
      </c>
      <c r="M22" s="57">
        <f>'5'!M22+M8+M9+M10</f>
        <v>1</v>
      </c>
      <c r="N22" s="57">
        <f>'5'!N22+N8+N9+N10</f>
        <v>2055</v>
      </c>
      <c r="O22" s="135"/>
      <c r="P22" s="135"/>
      <c r="Q22" s="135"/>
    </row>
    <row r="23" spans="1:17" x14ac:dyDescent="0.3">
      <c r="A23" s="521"/>
      <c r="B23" s="61">
        <f>B7</f>
        <v>248</v>
      </c>
      <c r="C23" s="61">
        <f>C7</f>
        <v>523032</v>
      </c>
      <c r="D23" s="61">
        <f>D7</f>
        <v>5</v>
      </c>
      <c r="E23" s="61">
        <f>E7</f>
        <v>10545</v>
      </c>
      <c r="F23" s="424">
        <f>E23/C23</f>
        <v>2.0161290322580645E-2</v>
      </c>
      <c r="G23" s="381" t="s">
        <v>195</v>
      </c>
      <c r="H23" s="59"/>
      <c r="I23" s="59"/>
      <c r="J23" s="61">
        <f>J7</f>
        <v>239</v>
      </c>
      <c r="K23" s="61">
        <f>K7</f>
        <v>497038</v>
      </c>
      <c r="L23" s="382">
        <f t="shared" ref="L23:L24" si="1">K23/C23</f>
        <v>0.95030131999571732</v>
      </c>
      <c r="M23" s="61">
        <f>M7</f>
        <v>4</v>
      </c>
      <c r="N23" s="61">
        <f>N7</f>
        <v>7662</v>
      </c>
      <c r="O23" s="135"/>
      <c r="P23" s="135"/>
      <c r="Q23" s="135"/>
    </row>
    <row r="24" spans="1:17" x14ac:dyDescent="0.3">
      <c r="A24" s="521"/>
      <c r="B24" s="61">
        <f>'5'!B24</f>
        <v>0</v>
      </c>
      <c r="C24" s="61">
        <f>'5'!C24</f>
        <v>0</v>
      </c>
      <c r="D24" s="61">
        <f>'5'!D24</f>
        <v>0</v>
      </c>
      <c r="E24" s="61">
        <f>'5'!E24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'5'!J24</f>
        <v>0</v>
      </c>
      <c r="K24" s="61">
        <f>'5'!K24</f>
        <v>0</v>
      </c>
      <c r="L24" s="382" t="e">
        <f t="shared" si="1"/>
        <v>#DIV/0!</v>
      </c>
      <c r="M24" s="61">
        <f>'5'!M24</f>
        <v>0</v>
      </c>
      <c r="N24" s="61">
        <f>'5'!N24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446</v>
      </c>
      <c r="C26" s="68">
        <f>SUM(C21:C25)</f>
        <v>941836</v>
      </c>
      <c r="D26" s="49">
        <f>SUM(D21:D25)</f>
        <v>6</v>
      </c>
      <c r="E26" s="69">
        <f>SUM(E22:E25)</f>
        <v>12654</v>
      </c>
      <c r="F26" s="51">
        <f>E26/C26</f>
        <v>1.343546010133399E-2</v>
      </c>
      <c r="G26" s="51"/>
      <c r="H26" s="70"/>
      <c r="I26" s="70"/>
      <c r="J26" s="71">
        <f>SUM(J22:J25)</f>
        <v>435</v>
      </c>
      <c r="K26" s="68">
        <f>SUM(K22:K25)</f>
        <v>905872</v>
      </c>
      <c r="L26" s="51">
        <f>K26/C26</f>
        <v>0.96181500813305076</v>
      </c>
      <c r="M26" s="71">
        <f>SUM(M22:M25)</f>
        <v>5</v>
      </c>
      <c r="N26" s="54">
        <f>SUM(N22:N25)</f>
        <v>9717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915589</v>
      </c>
      <c r="L27" s="51">
        <f>K27/C26</f>
        <v>0.97213209093727571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">
        <v>195</v>
      </c>
      <c r="B30" s="307" t="s">
        <v>201</v>
      </c>
      <c r="C30" s="307" t="s">
        <v>202</v>
      </c>
      <c r="D30" s="308">
        <f>J7</f>
        <v>239</v>
      </c>
      <c r="E30" s="308">
        <f>K7</f>
        <v>497038</v>
      </c>
      <c r="F30" s="79"/>
      <c r="G30" s="307" t="str">
        <f>'5'!G30</f>
        <v>WR</v>
      </c>
      <c r="H30" s="309">
        <f>'5'!H30</f>
        <v>0</v>
      </c>
      <c r="I30" s="309">
        <f>'5'!I30</f>
        <v>0</v>
      </c>
      <c r="J30" s="170">
        <f>'5'!J30</f>
        <v>0</v>
      </c>
      <c r="K30" s="310">
        <f>'5'!K30</f>
        <v>0</v>
      </c>
      <c r="L30" s="79"/>
      <c r="M30" s="307" t="str">
        <f>'5'!M30</f>
        <v>WR</v>
      </c>
      <c r="N30" s="309">
        <f>'5'!N30</f>
        <v>0</v>
      </c>
      <c r="O30" s="309">
        <f>'5'!O30</f>
        <v>0</v>
      </c>
      <c r="P30" s="170">
        <f>'5'!P30</f>
        <v>0</v>
      </c>
      <c r="Q30" s="310">
        <f>'5'!Q30</f>
        <v>0</v>
      </c>
    </row>
    <row r="31" spans="1:17" x14ac:dyDescent="0.3">
      <c r="A31" s="307" t="str">
        <f>'5'!A31</f>
        <v>WR</v>
      </c>
      <c r="B31" s="307">
        <v>6.5</v>
      </c>
      <c r="C31" s="307">
        <v>8</v>
      </c>
      <c r="D31" s="308">
        <f>J9</f>
        <v>144</v>
      </c>
      <c r="E31" s="308">
        <f>K9</f>
        <v>301505</v>
      </c>
      <c r="F31" s="135"/>
      <c r="G31" s="307" t="str">
        <f>'5'!G31</f>
        <v>WR</v>
      </c>
      <c r="H31" s="309">
        <f>'5'!H31</f>
        <v>0</v>
      </c>
      <c r="I31" s="309">
        <f>'5'!I31</f>
        <v>0</v>
      </c>
      <c r="J31" s="170">
        <f>'5'!J31</f>
        <v>0</v>
      </c>
      <c r="K31" s="310">
        <f>'5'!K31</f>
        <v>0</v>
      </c>
      <c r="L31" s="135"/>
      <c r="M31" s="307" t="str">
        <f>'5'!M31</f>
        <v>WR</v>
      </c>
      <c r="N31" s="309">
        <f>'5'!N31</f>
        <v>0</v>
      </c>
      <c r="O31" s="309">
        <f>'5'!O31</f>
        <v>0</v>
      </c>
      <c r="P31" s="170">
        <f>'5'!P31</f>
        <v>0</v>
      </c>
      <c r="Q31" s="310">
        <f>'5'!Q31</f>
        <v>0</v>
      </c>
    </row>
    <row r="32" spans="1:17" x14ac:dyDescent="0.3">
      <c r="A32" s="307" t="str">
        <f>'5'!A32</f>
        <v>WR</v>
      </c>
      <c r="B32" s="307">
        <v>6.5</v>
      </c>
      <c r="C32" s="307">
        <v>10</v>
      </c>
      <c r="D32" s="308">
        <f>J10</f>
        <v>46</v>
      </c>
      <c r="E32" s="308">
        <f>K10</f>
        <v>95025</v>
      </c>
      <c r="F32" s="135"/>
      <c r="G32" s="307" t="str">
        <f>'5'!G32</f>
        <v>WR</v>
      </c>
      <c r="H32" s="309">
        <f>'5'!H32</f>
        <v>0</v>
      </c>
      <c r="I32" s="309">
        <f>'5'!I32</f>
        <v>0</v>
      </c>
      <c r="J32" s="170">
        <f>'5'!J32</f>
        <v>0</v>
      </c>
      <c r="K32" s="310">
        <f>'5'!K32</f>
        <v>0</v>
      </c>
      <c r="L32" s="135"/>
      <c r="M32" s="307" t="str">
        <f>'5'!M32</f>
        <v>WR</v>
      </c>
      <c r="N32" s="309">
        <f>'5'!N32</f>
        <v>0</v>
      </c>
      <c r="O32" s="309">
        <f>'5'!O32</f>
        <v>0</v>
      </c>
      <c r="P32" s="170">
        <f>'5'!P32</f>
        <v>0</v>
      </c>
      <c r="Q32" s="310">
        <f>'5'!Q32</f>
        <v>0</v>
      </c>
    </row>
    <row r="33" spans="1:20" x14ac:dyDescent="0.3">
      <c r="A33" s="307" t="str">
        <f>'5'!A33</f>
        <v>WR</v>
      </c>
      <c r="B33" s="307">
        <v>6.5</v>
      </c>
      <c r="C33" s="307">
        <v>15</v>
      </c>
      <c r="D33" s="308">
        <f>J8</f>
        <v>6</v>
      </c>
      <c r="E33" s="308">
        <f>K8</f>
        <v>12304</v>
      </c>
      <c r="F33" s="135"/>
      <c r="G33" s="307" t="str">
        <f>'5'!G33</f>
        <v>WR</v>
      </c>
      <c r="H33" s="309">
        <f>'5'!H33</f>
        <v>0</v>
      </c>
      <c r="I33" s="309">
        <f>'5'!I33</f>
        <v>0</v>
      </c>
      <c r="J33" s="170">
        <f>'5'!J33</f>
        <v>0</v>
      </c>
      <c r="K33" s="310">
        <f>'5'!K33</f>
        <v>0</v>
      </c>
      <c r="L33" s="135"/>
      <c r="M33" s="307" t="str">
        <f>'5'!M33</f>
        <v>WR</v>
      </c>
      <c r="N33" s="309">
        <f>'5'!N33</f>
        <v>0</v>
      </c>
      <c r="O33" s="309">
        <f>'5'!O33</f>
        <v>0</v>
      </c>
      <c r="P33" s="170">
        <f>'5'!P33</f>
        <v>0</v>
      </c>
      <c r="Q33" s="310">
        <f>'5'!Q33</f>
        <v>0</v>
      </c>
    </row>
    <row r="34" spans="1:20" x14ac:dyDescent="0.3">
      <c r="A34" s="307" t="str">
        <f>'5'!A34</f>
        <v>WR</v>
      </c>
      <c r="B34" s="307">
        <f>'5'!B34</f>
        <v>0</v>
      </c>
      <c r="C34" s="307">
        <f>'5'!C34</f>
        <v>0</v>
      </c>
      <c r="D34" s="308">
        <f>'5'!D34</f>
        <v>0</v>
      </c>
      <c r="E34" s="308">
        <f>'5'!E34</f>
        <v>0</v>
      </c>
      <c r="F34" s="135"/>
      <c r="G34" s="307" t="str">
        <f>'5'!G34</f>
        <v>WR</v>
      </c>
      <c r="H34" s="309">
        <f>'5'!H34</f>
        <v>0</v>
      </c>
      <c r="I34" s="309">
        <f>'5'!I34</f>
        <v>0</v>
      </c>
      <c r="J34" s="170">
        <f>'5'!J34</f>
        <v>0</v>
      </c>
      <c r="K34" s="310">
        <f>'5'!K34</f>
        <v>0</v>
      </c>
      <c r="L34" s="135"/>
      <c r="M34" s="307" t="str">
        <f>'5'!M34</f>
        <v>WR</v>
      </c>
      <c r="N34" s="309">
        <f>'5'!N34</f>
        <v>0</v>
      </c>
      <c r="O34" s="309">
        <f>'5'!O34</f>
        <v>0</v>
      </c>
      <c r="P34" s="170">
        <f>'5'!P34</f>
        <v>0</v>
      </c>
      <c r="Q34" s="310">
        <f>'5'!Q34</f>
        <v>0</v>
      </c>
    </row>
    <row r="35" spans="1:20" x14ac:dyDescent="0.3">
      <c r="A35" s="307" t="str">
        <f>'5'!A35</f>
        <v>WR</v>
      </c>
      <c r="B35" s="307">
        <f>'5'!B35</f>
        <v>0</v>
      </c>
      <c r="C35" s="307">
        <f>'5'!C35</f>
        <v>0</v>
      </c>
      <c r="D35" s="308">
        <f>'5'!D35</f>
        <v>0</v>
      </c>
      <c r="E35" s="308">
        <f>'5'!E35</f>
        <v>0</v>
      </c>
      <c r="F35" s="135"/>
      <c r="G35" s="307" t="str">
        <f>'5'!G35</f>
        <v>WR</v>
      </c>
      <c r="H35" s="309">
        <f>'5'!H35</f>
        <v>0</v>
      </c>
      <c r="I35" s="309">
        <f>'5'!I35</f>
        <v>0</v>
      </c>
      <c r="J35" s="170">
        <f>'5'!J35</f>
        <v>0</v>
      </c>
      <c r="K35" s="310">
        <f>'5'!K35</f>
        <v>0</v>
      </c>
      <c r="L35" s="135"/>
      <c r="M35" s="307" t="str">
        <f>'5'!M35</f>
        <v>WR</v>
      </c>
      <c r="N35" s="309">
        <f>'5'!N35</f>
        <v>0</v>
      </c>
      <c r="O35" s="309">
        <f>'5'!O35</f>
        <v>0</v>
      </c>
      <c r="P35" s="170">
        <f>'5'!P35</f>
        <v>0</v>
      </c>
      <c r="Q35" s="310">
        <f>'5'!Q35</f>
        <v>0</v>
      </c>
      <c r="S35" s="438"/>
      <c r="T35" s="438"/>
    </row>
    <row r="36" spans="1:20" x14ac:dyDescent="0.3">
      <c r="A36" s="307" t="str">
        <f>'5'!A36</f>
        <v>WR</v>
      </c>
      <c r="B36" s="307">
        <f>'5'!B36</f>
        <v>0</v>
      </c>
      <c r="C36" s="307">
        <f>'5'!C36</f>
        <v>0</v>
      </c>
      <c r="D36" s="308">
        <f>'5'!D36</f>
        <v>0</v>
      </c>
      <c r="E36" s="308">
        <f>'5'!E36</f>
        <v>0</v>
      </c>
      <c r="F36" s="135"/>
      <c r="G36" s="307" t="str">
        <f>'5'!G36</f>
        <v>WR</v>
      </c>
      <c r="H36" s="309">
        <f>'5'!H36</f>
        <v>0</v>
      </c>
      <c r="I36" s="309">
        <f>'5'!I36</f>
        <v>0</v>
      </c>
      <c r="J36" s="170">
        <f>'5'!J36</f>
        <v>0</v>
      </c>
      <c r="K36" s="310">
        <f>'5'!K36</f>
        <v>0</v>
      </c>
      <c r="L36" s="135"/>
      <c r="M36" s="307" t="str">
        <f>'5'!M36</f>
        <v>WR</v>
      </c>
      <c r="N36" s="309">
        <f>'5'!N36</f>
        <v>0</v>
      </c>
      <c r="O36" s="309">
        <f>'5'!O36</f>
        <v>0</v>
      </c>
      <c r="P36" s="170">
        <f>'5'!P36</f>
        <v>0</v>
      </c>
      <c r="Q36" s="310">
        <f>'5'!Q36</f>
        <v>0</v>
      </c>
    </row>
    <row r="37" spans="1:20" x14ac:dyDescent="0.3">
      <c r="A37" s="307" t="str">
        <f>'5'!A37</f>
        <v>WR</v>
      </c>
      <c r="B37" s="307">
        <f>'5'!B37</f>
        <v>0</v>
      </c>
      <c r="C37" s="307">
        <f>'5'!C37</f>
        <v>0</v>
      </c>
      <c r="D37" s="308">
        <f>'5'!D37</f>
        <v>0</v>
      </c>
      <c r="E37" s="308">
        <f>'5'!E37</f>
        <v>0</v>
      </c>
      <c r="F37" s="135"/>
      <c r="G37" s="307" t="str">
        <f>'5'!G37</f>
        <v>WR</v>
      </c>
      <c r="H37" s="309">
        <f>'5'!H37</f>
        <v>0</v>
      </c>
      <c r="I37" s="309">
        <f>'5'!I37</f>
        <v>0</v>
      </c>
      <c r="J37" s="170">
        <f>'5'!J37</f>
        <v>0</v>
      </c>
      <c r="K37" s="310">
        <f>'5'!K37</f>
        <v>0</v>
      </c>
      <c r="L37" s="135"/>
      <c r="M37" s="307" t="str">
        <f>'5'!M37</f>
        <v>WR</v>
      </c>
      <c r="N37" s="309">
        <f>'5'!N37</f>
        <v>0</v>
      </c>
      <c r="O37" s="309">
        <f>'5'!O37</f>
        <v>0</v>
      </c>
      <c r="P37" s="170">
        <f>'5'!P37</f>
        <v>0</v>
      </c>
      <c r="Q37" s="310">
        <f>'5'!Q37</f>
        <v>0</v>
      </c>
    </row>
    <row r="38" spans="1:20" x14ac:dyDescent="0.3">
      <c r="A38" s="307" t="str">
        <f>'5'!A38</f>
        <v>WR</v>
      </c>
      <c r="B38" s="307">
        <f>'5'!B38</f>
        <v>0</v>
      </c>
      <c r="C38" s="307">
        <f>'5'!C38</f>
        <v>0</v>
      </c>
      <c r="D38" s="308">
        <f>'5'!D38</f>
        <v>0</v>
      </c>
      <c r="E38" s="308">
        <f>'5'!E38</f>
        <v>0</v>
      </c>
      <c r="F38" s="135"/>
      <c r="G38" s="307" t="str">
        <f>'5'!G38</f>
        <v>WR</v>
      </c>
      <c r="H38" s="309">
        <f>'5'!H38</f>
        <v>0</v>
      </c>
      <c r="I38" s="309">
        <f>'5'!I38</f>
        <v>0</v>
      </c>
      <c r="J38" s="170">
        <f>'5'!J38</f>
        <v>0</v>
      </c>
      <c r="K38" s="310">
        <f>'5'!K38</f>
        <v>0</v>
      </c>
      <c r="L38" s="135"/>
      <c r="M38" s="307" t="str">
        <f>'5'!M38</f>
        <v>WR</v>
      </c>
      <c r="N38" s="309">
        <f>'5'!N38</f>
        <v>0</v>
      </c>
      <c r="O38" s="309">
        <f>'5'!O38</f>
        <v>0</v>
      </c>
      <c r="P38" s="170">
        <f>'5'!P38</f>
        <v>0</v>
      </c>
      <c r="Q38" s="310">
        <f>'5'!Q38</f>
        <v>0</v>
      </c>
    </row>
    <row r="39" spans="1:20" x14ac:dyDescent="0.3">
      <c r="A39" s="307" t="str">
        <f>'5'!A39</f>
        <v>WR</v>
      </c>
      <c r="B39" s="307">
        <f>'5'!B39</f>
        <v>0</v>
      </c>
      <c r="C39" s="307">
        <f>'5'!C39</f>
        <v>0</v>
      </c>
      <c r="D39" s="308">
        <f>'5'!D39</f>
        <v>0</v>
      </c>
      <c r="E39" s="308">
        <f>'5'!E39</f>
        <v>0</v>
      </c>
      <c r="F39" s="135"/>
      <c r="G39" s="307" t="str">
        <f>'5'!G39</f>
        <v>WR</v>
      </c>
      <c r="H39" s="309">
        <f>'5'!H39</f>
        <v>0</v>
      </c>
      <c r="I39" s="309">
        <f>'5'!I39</f>
        <v>0</v>
      </c>
      <c r="J39" s="170">
        <f>'5'!J39</f>
        <v>0</v>
      </c>
      <c r="K39" s="310">
        <f>'5'!K39</f>
        <v>0</v>
      </c>
      <c r="L39" s="135"/>
      <c r="M39" s="307" t="str">
        <f>'5'!M39</f>
        <v>WR</v>
      </c>
      <c r="N39" s="309">
        <f>'5'!N39</f>
        <v>0</v>
      </c>
      <c r="O39" s="309">
        <f>'5'!O39</f>
        <v>0</v>
      </c>
      <c r="P39" s="170">
        <f>'5'!P39</f>
        <v>0</v>
      </c>
      <c r="Q39" s="310">
        <f>'5'!Q39</f>
        <v>0</v>
      </c>
    </row>
    <row r="40" spans="1:20" x14ac:dyDescent="0.3">
      <c r="A40" s="307" t="str">
        <f>'5'!A40</f>
        <v>WR</v>
      </c>
      <c r="B40" s="307">
        <f>'5'!B40</f>
        <v>0</v>
      </c>
      <c r="C40" s="307">
        <f>'5'!C40</f>
        <v>0</v>
      </c>
      <c r="D40" s="308">
        <f>'5'!D40</f>
        <v>0</v>
      </c>
      <c r="E40" s="308">
        <f>'5'!E40</f>
        <v>0</v>
      </c>
      <c r="F40" s="135"/>
      <c r="G40" s="307" t="str">
        <f>'5'!G40</f>
        <v>WR</v>
      </c>
      <c r="H40" s="309">
        <f>'5'!H40</f>
        <v>0</v>
      </c>
      <c r="I40" s="309">
        <f>'5'!I40</f>
        <v>0</v>
      </c>
      <c r="J40" s="170">
        <f>'5'!J40</f>
        <v>0</v>
      </c>
      <c r="K40" s="310">
        <f>'5'!K40</f>
        <v>0</v>
      </c>
      <c r="L40" s="135"/>
      <c r="M40" s="307" t="str">
        <f>'5'!M40</f>
        <v>WR</v>
      </c>
      <c r="N40" s="309">
        <f>'5'!N40</f>
        <v>0</v>
      </c>
      <c r="O40" s="309">
        <f>'5'!O40</f>
        <v>0</v>
      </c>
      <c r="P40" s="170">
        <f>'5'!P40</f>
        <v>0</v>
      </c>
      <c r="Q40" s="310">
        <f>'5'!Q40</f>
        <v>0</v>
      </c>
    </row>
    <row r="41" spans="1:20" x14ac:dyDescent="0.3">
      <c r="A41" s="307" t="str">
        <f>'5'!A41</f>
        <v>WR</v>
      </c>
      <c r="B41" s="307">
        <f>'5'!B41</f>
        <v>0</v>
      </c>
      <c r="C41" s="307">
        <f>'5'!C41</f>
        <v>0</v>
      </c>
      <c r="D41" s="308">
        <f>'5'!D41</f>
        <v>0</v>
      </c>
      <c r="E41" s="308">
        <f>'5'!E41</f>
        <v>0</v>
      </c>
      <c r="F41" s="135"/>
      <c r="G41" s="307" t="str">
        <f>'5'!G41</f>
        <v>WR</v>
      </c>
      <c r="H41" s="309">
        <f>'5'!H41</f>
        <v>0</v>
      </c>
      <c r="I41" s="309">
        <f>'5'!I41</f>
        <v>0</v>
      </c>
      <c r="J41" s="170">
        <f>'5'!J41</f>
        <v>0</v>
      </c>
      <c r="K41" s="310">
        <f>'5'!K41</f>
        <v>0</v>
      </c>
      <c r="L41" s="135"/>
      <c r="M41" s="307" t="str">
        <f>'5'!M41</f>
        <v>WR</v>
      </c>
      <c r="N41" s="309">
        <f>'5'!N41</f>
        <v>0</v>
      </c>
      <c r="O41" s="309">
        <f>'5'!O41</f>
        <v>0</v>
      </c>
      <c r="P41" s="170">
        <f>'5'!P41</f>
        <v>0</v>
      </c>
      <c r="Q41" s="310">
        <f>'5'!Q41</f>
        <v>0</v>
      </c>
    </row>
    <row r="42" spans="1:20" x14ac:dyDescent="0.3">
      <c r="A42" s="307" t="str">
        <f>'5'!A42</f>
        <v>WR</v>
      </c>
      <c r="B42" s="307">
        <f>'5'!B42</f>
        <v>0</v>
      </c>
      <c r="C42" s="307">
        <f>'5'!C42</f>
        <v>0</v>
      </c>
      <c r="D42" s="308">
        <f>'5'!D42</f>
        <v>0</v>
      </c>
      <c r="E42" s="308">
        <f>'5'!E42</f>
        <v>0</v>
      </c>
      <c r="F42" s="135"/>
      <c r="G42" s="307" t="str">
        <f>'5'!G42</f>
        <v>WR</v>
      </c>
      <c r="H42" s="309">
        <f>'5'!H42</f>
        <v>0</v>
      </c>
      <c r="I42" s="309">
        <f>'5'!I42</f>
        <v>0</v>
      </c>
      <c r="J42" s="170">
        <f>'5'!J42</f>
        <v>0</v>
      </c>
      <c r="K42" s="310">
        <f>'5'!K42</f>
        <v>0</v>
      </c>
      <c r="L42" s="135"/>
      <c r="M42" s="307" t="str">
        <f>'5'!M42</f>
        <v>WR</v>
      </c>
      <c r="N42" s="309">
        <f>'5'!N42</f>
        <v>0</v>
      </c>
      <c r="O42" s="309">
        <f>'5'!O42</f>
        <v>0</v>
      </c>
      <c r="P42" s="170">
        <f>'5'!P42</f>
        <v>0</v>
      </c>
      <c r="Q42" s="310">
        <f>'5'!Q42</f>
        <v>0</v>
      </c>
    </row>
    <row r="43" spans="1:20" x14ac:dyDescent="0.3">
      <c r="A43" s="307" t="str">
        <f>'5'!A43</f>
        <v>WR</v>
      </c>
      <c r="B43" s="307">
        <f>'5'!B43</f>
        <v>0</v>
      </c>
      <c r="C43" s="307">
        <f>'5'!C43</f>
        <v>0</v>
      </c>
      <c r="D43" s="308">
        <f>'5'!D43</f>
        <v>0</v>
      </c>
      <c r="E43" s="308">
        <f>'5'!E43</f>
        <v>0</v>
      </c>
      <c r="F43" s="135"/>
      <c r="G43" s="307" t="str">
        <f>'5'!G43</f>
        <v>WR</v>
      </c>
      <c r="H43" s="309">
        <f>'5'!H43</f>
        <v>0</v>
      </c>
      <c r="I43" s="309">
        <f>'5'!I43</f>
        <v>0</v>
      </c>
      <c r="J43" s="170">
        <f>'5'!J43</f>
        <v>0</v>
      </c>
      <c r="K43" s="310">
        <f>'5'!K43</f>
        <v>0</v>
      </c>
      <c r="L43" s="135"/>
      <c r="M43" s="307" t="str">
        <f>'5'!M43</f>
        <v>WR</v>
      </c>
      <c r="N43" s="309">
        <f>'5'!N43</f>
        <v>0</v>
      </c>
      <c r="O43" s="309">
        <f>'5'!O43</f>
        <v>0</v>
      </c>
      <c r="P43" s="170">
        <f>'5'!P43</f>
        <v>0</v>
      </c>
      <c r="Q43" s="310">
        <f>'5'!Q43</f>
        <v>0</v>
      </c>
    </row>
    <row r="44" spans="1:20" x14ac:dyDescent="0.3">
      <c r="A44" s="307" t="str">
        <f>'5'!A44</f>
        <v>WR</v>
      </c>
      <c r="B44" s="307">
        <f>'5'!B44</f>
        <v>0</v>
      </c>
      <c r="C44" s="307">
        <f>'5'!C44</f>
        <v>0</v>
      </c>
      <c r="D44" s="308">
        <f>'5'!D44</f>
        <v>0</v>
      </c>
      <c r="E44" s="308">
        <f>'5'!E44</f>
        <v>0</v>
      </c>
      <c r="F44" s="135"/>
      <c r="G44" s="307" t="str">
        <f>'5'!G44</f>
        <v>WR</v>
      </c>
      <c r="H44" s="309">
        <f>'5'!H44</f>
        <v>0</v>
      </c>
      <c r="I44" s="309">
        <f>'5'!I44</f>
        <v>0</v>
      </c>
      <c r="J44" s="170">
        <f>'5'!J44</f>
        <v>0</v>
      </c>
      <c r="K44" s="310">
        <f>'5'!K44</f>
        <v>0</v>
      </c>
      <c r="L44" s="135"/>
      <c r="M44" s="307" t="str">
        <f>'5'!M44</f>
        <v>WR</v>
      </c>
      <c r="N44" s="309">
        <f>'5'!N44</f>
        <v>0</v>
      </c>
      <c r="O44" s="309">
        <f>'5'!O44</f>
        <v>0</v>
      </c>
      <c r="P44" s="170">
        <f>'5'!P44</f>
        <v>0</v>
      </c>
      <c r="Q44" s="310">
        <f>'5'!Q44</f>
        <v>0</v>
      </c>
    </row>
    <row r="45" spans="1:20" x14ac:dyDescent="0.3">
      <c r="A45" s="307" t="str">
        <f>'5'!A45</f>
        <v>WR</v>
      </c>
      <c r="B45" s="307">
        <f>'5'!B45</f>
        <v>0</v>
      </c>
      <c r="C45" s="307">
        <f>'5'!C45</f>
        <v>0</v>
      </c>
      <c r="D45" s="308">
        <f>'5'!D45</f>
        <v>0</v>
      </c>
      <c r="E45" s="308">
        <f>'5'!E45</f>
        <v>0</v>
      </c>
      <c r="F45" s="135"/>
      <c r="G45" s="307" t="str">
        <f>'5'!G45</f>
        <v>WR</v>
      </c>
      <c r="H45" s="309">
        <f>'5'!H45</f>
        <v>0</v>
      </c>
      <c r="I45" s="309">
        <f>'5'!I45</f>
        <v>0</v>
      </c>
      <c r="J45" s="170">
        <f>'5'!J45</f>
        <v>0</v>
      </c>
      <c r="K45" s="310">
        <f>'5'!K45</f>
        <v>0</v>
      </c>
      <c r="L45" s="135"/>
      <c r="M45" s="307" t="str">
        <f>'5'!M45</f>
        <v>WR</v>
      </c>
      <c r="N45" s="309">
        <f>'5'!N45</f>
        <v>0</v>
      </c>
      <c r="O45" s="309">
        <f>'5'!O45</f>
        <v>0</v>
      </c>
      <c r="P45" s="170">
        <f>'5'!P45</f>
        <v>0</v>
      </c>
      <c r="Q45" s="310">
        <f>'5'!Q45</f>
        <v>0</v>
      </c>
    </row>
    <row r="46" spans="1:20" x14ac:dyDescent="0.3">
      <c r="A46" s="307" t="str">
        <f>'5'!A46</f>
        <v>WR</v>
      </c>
      <c r="B46" s="307">
        <f>'5'!B46</f>
        <v>0</v>
      </c>
      <c r="C46" s="307">
        <f>'5'!C46</f>
        <v>0</v>
      </c>
      <c r="D46" s="308">
        <f>'5'!D46</f>
        <v>0</v>
      </c>
      <c r="E46" s="308">
        <f>'5'!E46</f>
        <v>0</v>
      </c>
      <c r="F46" s="135"/>
      <c r="G46" s="307" t="str">
        <f>'5'!G46</f>
        <v>WR</v>
      </c>
      <c r="H46" s="309">
        <f>'5'!H46</f>
        <v>0</v>
      </c>
      <c r="I46" s="309">
        <f>'5'!I46</f>
        <v>0</v>
      </c>
      <c r="J46" s="170">
        <f>'5'!J46</f>
        <v>0</v>
      </c>
      <c r="K46" s="310">
        <f>'5'!K46</f>
        <v>0</v>
      </c>
      <c r="L46" s="135"/>
      <c r="M46" s="307" t="str">
        <f>'5'!M46</f>
        <v>WR</v>
      </c>
      <c r="N46" s="309">
        <f>'5'!N46</f>
        <v>0</v>
      </c>
      <c r="O46" s="309">
        <f>'5'!O46</f>
        <v>0</v>
      </c>
      <c r="P46" s="170">
        <f>'5'!P46</f>
        <v>0</v>
      </c>
      <c r="Q46" s="310">
        <f>'5'!Q46</f>
        <v>0</v>
      </c>
    </row>
    <row r="47" spans="1:20" x14ac:dyDescent="0.3">
      <c r="A47" s="307" t="str">
        <f>'5'!A47</f>
        <v>WR</v>
      </c>
      <c r="B47" s="307">
        <f>'5'!B47</f>
        <v>0</v>
      </c>
      <c r="C47" s="307">
        <f>'5'!C47</f>
        <v>0</v>
      </c>
      <c r="D47" s="308">
        <f>'5'!D47</f>
        <v>0</v>
      </c>
      <c r="E47" s="308">
        <f>'5'!E47</f>
        <v>0</v>
      </c>
      <c r="F47" s="135"/>
      <c r="G47" s="307" t="str">
        <f>'5'!G47</f>
        <v>WR</v>
      </c>
      <c r="H47" s="309">
        <f>'5'!H47</f>
        <v>0</v>
      </c>
      <c r="I47" s="309">
        <f>'5'!I47</f>
        <v>0</v>
      </c>
      <c r="J47" s="170">
        <f>'5'!J47</f>
        <v>0</v>
      </c>
      <c r="K47" s="310">
        <f>'5'!K47</f>
        <v>0</v>
      </c>
      <c r="L47" s="135"/>
      <c r="M47" s="307" t="str">
        <f>'5'!M47</f>
        <v>WR</v>
      </c>
      <c r="N47" s="309">
        <f>'5'!N47</f>
        <v>0</v>
      </c>
      <c r="O47" s="309">
        <f>'5'!O47</f>
        <v>0</v>
      </c>
      <c r="P47" s="170">
        <f>'5'!P47</f>
        <v>0</v>
      </c>
      <c r="Q47" s="310">
        <f>'5'!Q47</f>
        <v>0</v>
      </c>
    </row>
    <row r="48" spans="1:20" x14ac:dyDescent="0.3">
      <c r="A48" s="307" t="str">
        <f>'5'!A48</f>
        <v>WR</v>
      </c>
      <c r="B48" s="307">
        <f>'5'!B48</f>
        <v>0</v>
      </c>
      <c r="C48" s="307">
        <f>'5'!C48</f>
        <v>0</v>
      </c>
      <c r="D48" s="308">
        <f>'5'!D48</f>
        <v>0</v>
      </c>
      <c r="E48" s="308">
        <f>'5'!E48</f>
        <v>0</v>
      </c>
      <c r="F48" s="135"/>
      <c r="G48" s="307" t="str">
        <f>'5'!G48</f>
        <v>WR</v>
      </c>
      <c r="H48" s="309">
        <f>'5'!H48</f>
        <v>0</v>
      </c>
      <c r="I48" s="309">
        <f>'5'!I48</f>
        <v>0</v>
      </c>
      <c r="J48" s="170">
        <f>'5'!J48</f>
        <v>0</v>
      </c>
      <c r="K48" s="310">
        <f>'5'!K48</f>
        <v>0</v>
      </c>
      <c r="L48" s="135"/>
      <c r="M48" s="307" t="str">
        <f>'5'!M48</f>
        <v>WR</v>
      </c>
      <c r="N48" s="309">
        <f>'5'!N48</f>
        <v>0</v>
      </c>
      <c r="O48" s="309">
        <f>'5'!O48</f>
        <v>0</v>
      </c>
      <c r="P48" s="170">
        <f>'5'!P48</f>
        <v>0</v>
      </c>
      <c r="Q48" s="310">
        <f>'5'!Q48</f>
        <v>0</v>
      </c>
    </row>
    <row r="49" spans="1:23" x14ac:dyDescent="0.3">
      <c r="A49" s="307" t="str">
        <f>'5'!A49</f>
        <v>WR</v>
      </c>
      <c r="B49" s="307">
        <f>'5'!B49</f>
        <v>0</v>
      </c>
      <c r="C49" s="307">
        <f>'5'!C49</f>
        <v>0</v>
      </c>
      <c r="D49" s="308">
        <f>'5'!D49</f>
        <v>0</v>
      </c>
      <c r="E49" s="308">
        <f>'5'!E49</f>
        <v>0</v>
      </c>
      <c r="F49" s="3"/>
      <c r="G49" s="307" t="str">
        <f>'5'!G49</f>
        <v>WR</v>
      </c>
      <c r="H49" s="309">
        <f>'5'!H49</f>
        <v>0</v>
      </c>
      <c r="I49" s="309">
        <f>'5'!I49</f>
        <v>0</v>
      </c>
      <c r="J49" s="170">
        <f>'5'!J49</f>
        <v>0</v>
      </c>
      <c r="K49" s="310">
        <f>'5'!K49</f>
        <v>0</v>
      </c>
      <c r="L49" s="3"/>
      <c r="M49" s="307" t="str">
        <f>'5'!M49</f>
        <v>WR</v>
      </c>
      <c r="N49" s="309">
        <f>'5'!N49</f>
        <v>0</v>
      </c>
      <c r="O49" s="309">
        <f>'5'!O49</f>
        <v>0</v>
      </c>
      <c r="P49" s="170">
        <f>'5'!P49</f>
        <v>0</v>
      </c>
      <c r="Q49" s="310">
        <f>'5'!Q49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425">
        <f>A3</f>
        <v>46028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220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26">
        <v>21</v>
      </c>
      <c r="C55" s="21"/>
      <c r="D55" s="547" t="s">
        <v>207</v>
      </c>
      <c r="E55" s="548"/>
      <c r="F55" s="548"/>
      <c r="G55" s="548"/>
      <c r="H55" s="548"/>
      <c r="I55" s="548"/>
      <c r="J55" s="93">
        <v>15</v>
      </c>
      <c r="K55" s="391"/>
      <c r="L55" s="466" t="s">
        <v>26</v>
      </c>
      <c r="M55" s="467"/>
      <c r="N55" s="467"/>
      <c r="O55" s="392" t="s">
        <v>13</v>
      </c>
      <c r="P55" s="393">
        <f>C16</f>
        <v>941836</v>
      </c>
      <c r="Q55" s="394">
        <f>C26</f>
        <v>941836</v>
      </c>
      <c r="R55" s="395"/>
      <c r="S55" s="388">
        <f>DAY(A52)</f>
        <v>6</v>
      </c>
      <c r="T55" s="383">
        <f>S55-U55</f>
        <v>1</v>
      </c>
      <c r="U55" s="383">
        <f>'5'!U55</f>
        <v>5</v>
      </c>
    </row>
    <row r="56" spans="1:23" x14ac:dyDescent="0.3">
      <c r="A56" s="95" t="s">
        <v>37</v>
      </c>
      <c r="B56" s="427">
        <v>26</v>
      </c>
      <c r="C56" s="77"/>
      <c r="D56" s="544"/>
      <c r="E56" s="545"/>
      <c r="F56" s="545"/>
      <c r="G56" s="545"/>
      <c r="H56" s="545"/>
      <c r="I56" s="546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915589</v>
      </c>
      <c r="Q56" s="398">
        <f>K27</f>
        <v>915589</v>
      </c>
      <c r="R56" s="399"/>
    </row>
    <row r="57" spans="1:23" x14ac:dyDescent="0.3">
      <c r="A57" s="95" t="s">
        <v>39</v>
      </c>
      <c r="B57" s="427">
        <v>21</v>
      </c>
      <c r="C57" s="77"/>
      <c r="D57" s="544" t="s">
        <v>208</v>
      </c>
      <c r="E57" s="545"/>
      <c r="F57" s="545"/>
      <c r="G57" s="545"/>
      <c r="H57" s="545"/>
      <c r="I57" s="546"/>
      <c r="J57" s="97">
        <v>12</v>
      </c>
      <c r="K57" s="391"/>
      <c r="L57" s="468" t="s">
        <v>19</v>
      </c>
      <c r="M57" s="469"/>
      <c r="N57" s="469"/>
      <c r="O57" s="400" t="s">
        <v>14</v>
      </c>
      <c r="P57" s="401">
        <f>L17</f>
        <v>0.97213209093727571</v>
      </c>
      <c r="Q57" s="430">
        <f>L27</f>
        <v>0.97213209093727571</v>
      </c>
      <c r="R57" s="403">
        <v>0.98499999999999999</v>
      </c>
    </row>
    <row r="58" spans="1:23" x14ac:dyDescent="0.3">
      <c r="A58" s="95" t="s">
        <v>41</v>
      </c>
      <c r="B58" s="427">
        <v>22</v>
      </c>
      <c r="C58" s="77"/>
      <c r="D58" s="544" t="s">
        <v>209</v>
      </c>
      <c r="E58" s="545"/>
      <c r="F58" s="545"/>
      <c r="G58" s="545"/>
      <c r="H58" s="545"/>
      <c r="I58" s="546"/>
      <c r="J58" s="97">
        <v>8</v>
      </c>
      <c r="K58" s="391"/>
      <c r="L58" s="507" t="s">
        <v>192</v>
      </c>
      <c r="M58" s="508"/>
      <c r="N58" s="508"/>
      <c r="O58" s="392" t="s">
        <v>13</v>
      </c>
      <c r="P58" s="393">
        <f>E16</f>
        <v>12654</v>
      </c>
      <c r="Q58" s="394">
        <f>E26</f>
        <v>12654</v>
      </c>
      <c r="R58" s="395"/>
    </row>
    <row r="59" spans="1:23" x14ac:dyDescent="0.3">
      <c r="A59" s="95" t="s">
        <v>43</v>
      </c>
      <c r="B59" s="427">
        <v>27</v>
      </c>
      <c r="C59" s="77"/>
      <c r="D59" s="544"/>
      <c r="E59" s="545"/>
      <c r="F59" s="545"/>
      <c r="G59" s="545"/>
      <c r="H59" s="545"/>
      <c r="I59" s="546"/>
      <c r="J59" s="97"/>
      <c r="K59" s="391"/>
      <c r="L59" s="509"/>
      <c r="M59" s="510"/>
      <c r="N59" s="510"/>
      <c r="O59" s="400" t="s">
        <v>14</v>
      </c>
      <c r="P59" s="401">
        <f>F16</f>
        <v>1.343546010133399E-2</v>
      </c>
      <c r="Q59" s="430">
        <f>F26</f>
        <v>1.343546010133399E-2</v>
      </c>
      <c r="R59" s="404">
        <v>1.5E-3</v>
      </c>
    </row>
    <row r="60" spans="1:23" x14ac:dyDescent="0.3">
      <c r="A60" s="95" t="s">
        <v>45</v>
      </c>
      <c r="B60" s="427">
        <v>18</v>
      </c>
      <c r="C60" s="77"/>
      <c r="D60" s="544" t="s">
        <v>210</v>
      </c>
      <c r="E60" s="545"/>
      <c r="F60" s="545"/>
      <c r="G60" s="545"/>
      <c r="H60" s="545"/>
      <c r="I60" s="546"/>
      <c r="J60" s="97">
        <v>17</v>
      </c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</f>
        <v>8640</v>
      </c>
      <c r="R60" s="406"/>
    </row>
    <row r="61" spans="1:23" x14ac:dyDescent="0.3">
      <c r="A61" s="95" t="s">
        <v>47</v>
      </c>
      <c r="B61" s="427">
        <v>18</v>
      </c>
      <c r="C61" s="77">
        <v>2</v>
      </c>
      <c r="D61" s="544" t="s">
        <v>211</v>
      </c>
      <c r="E61" s="545"/>
      <c r="F61" s="545"/>
      <c r="G61" s="545"/>
      <c r="H61" s="545"/>
      <c r="I61" s="546"/>
      <c r="J61" s="97">
        <v>16</v>
      </c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</f>
        <v>7200</v>
      </c>
      <c r="R61" s="395"/>
    </row>
    <row r="62" spans="1:23" x14ac:dyDescent="0.3">
      <c r="A62" s="95" t="s">
        <v>49</v>
      </c>
      <c r="B62" s="427">
        <v>12</v>
      </c>
      <c r="C62" s="77"/>
      <c r="D62" s="494" t="s">
        <v>212</v>
      </c>
      <c r="E62" s="495"/>
      <c r="F62" s="495"/>
      <c r="G62" s="495"/>
      <c r="H62" s="495"/>
      <c r="I62" s="496"/>
      <c r="J62" s="97">
        <v>29</v>
      </c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</f>
        <v>7200</v>
      </c>
      <c r="R62" s="399"/>
    </row>
    <row r="63" spans="1:23" x14ac:dyDescent="0.3">
      <c r="A63" s="95" t="s">
        <v>51</v>
      </c>
      <c r="B63" s="427">
        <v>23</v>
      </c>
      <c r="C63" s="77"/>
      <c r="D63" s="494"/>
      <c r="E63" s="495"/>
      <c r="F63" s="495"/>
      <c r="G63" s="495"/>
      <c r="H63" s="495"/>
      <c r="I63" s="496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</f>
        <v>0</v>
      </c>
      <c r="R63" s="399"/>
    </row>
    <row r="64" spans="1:23" x14ac:dyDescent="0.3">
      <c r="A64" s="95" t="s">
        <v>53</v>
      </c>
      <c r="B64" s="427">
        <v>12</v>
      </c>
      <c r="C64" s="77">
        <v>1</v>
      </c>
      <c r="D64" s="494" t="s">
        <v>213</v>
      </c>
      <c r="E64" s="495"/>
      <c r="F64" s="495"/>
      <c r="G64" s="495"/>
      <c r="H64" s="495"/>
      <c r="I64" s="496"/>
      <c r="J64" s="97">
        <v>26</v>
      </c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27">
        <v>14</v>
      </c>
      <c r="C65" s="77">
        <v>2</v>
      </c>
      <c r="D65" s="494" t="s">
        <v>214</v>
      </c>
      <c r="E65" s="495"/>
      <c r="F65" s="495"/>
      <c r="G65" s="495"/>
      <c r="H65" s="495"/>
      <c r="I65" s="496"/>
      <c r="J65" s="97">
        <v>31</v>
      </c>
      <c r="K65" s="391"/>
      <c r="L65" s="466" t="s">
        <v>46</v>
      </c>
      <c r="M65" s="467"/>
      <c r="N65" s="467"/>
      <c r="O65" s="106" t="s">
        <v>28</v>
      </c>
      <c r="P65" s="126">
        <f>SUM(P66:P68)</f>
        <v>80</v>
      </c>
      <c r="Q65" s="100">
        <f>'1'!Q65+'2'!P65+'3'!P65+'4'!P65+'5'!P65+'6'!P65</f>
        <v>80</v>
      </c>
      <c r="R65" s="395"/>
      <c r="S65" s="171" t="s">
        <v>56</v>
      </c>
      <c r="T65" s="172"/>
      <c r="U65" s="173" t="s">
        <v>151</v>
      </c>
      <c r="V65" s="174">
        <v>2</v>
      </c>
      <c r="W65" s="181">
        <f>+'5'!W65+'6'!V65</f>
        <v>2</v>
      </c>
    </row>
    <row r="66" spans="1:23" x14ac:dyDescent="0.3">
      <c r="A66" s="95" t="s">
        <v>57</v>
      </c>
      <c r="B66" s="427">
        <v>22</v>
      </c>
      <c r="C66" s="77"/>
      <c r="D66" s="463"/>
      <c r="E66" s="543"/>
      <c r="F66" s="543"/>
      <c r="G66" s="543"/>
      <c r="H66" s="543"/>
      <c r="I66" s="543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</f>
        <v>0</v>
      </c>
      <c r="R66" s="399"/>
      <c r="S66" s="377" t="s">
        <v>58</v>
      </c>
      <c r="T66" s="175"/>
      <c r="U66" s="176" t="s">
        <v>151</v>
      </c>
      <c r="V66" s="177">
        <v>4</v>
      </c>
      <c r="W66" s="182">
        <f>+'5'!W66+'6'!V66</f>
        <v>4</v>
      </c>
    </row>
    <row r="67" spans="1:23" x14ac:dyDescent="0.3">
      <c r="A67" s="95" t="s">
        <v>59</v>
      </c>
      <c r="B67" s="427">
        <v>12</v>
      </c>
      <c r="C67" s="77"/>
      <c r="D67" s="463" t="s">
        <v>215</v>
      </c>
      <c r="E67" s="543"/>
      <c r="F67" s="543"/>
      <c r="G67" s="543"/>
      <c r="H67" s="543"/>
      <c r="I67" s="543"/>
      <c r="J67" s="97">
        <v>25</v>
      </c>
      <c r="K67" s="391"/>
      <c r="L67" s="502" t="s">
        <v>50</v>
      </c>
      <c r="M67" s="498"/>
      <c r="N67" s="498"/>
      <c r="O67" s="408" t="s">
        <v>28</v>
      </c>
      <c r="P67" s="138">
        <v>65</v>
      </c>
      <c r="Q67" s="99">
        <f>'1'!Q67+'2'!P67+'3'!P67+'4'!P67+'5'!P67+'6'!P67</f>
        <v>65</v>
      </c>
      <c r="R67" s="399"/>
      <c r="S67" s="377" t="s">
        <v>60</v>
      </c>
      <c r="T67" s="175"/>
      <c r="U67" s="176" t="s">
        <v>151</v>
      </c>
      <c r="V67" s="177"/>
      <c r="W67" s="182">
        <f>+'5'!W67+'6'!V67</f>
        <v>0</v>
      </c>
    </row>
    <row r="68" spans="1:23" x14ac:dyDescent="0.3">
      <c r="A68" s="95" t="s">
        <v>61</v>
      </c>
      <c r="B68" s="427">
        <v>0</v>
      </c>
      <c r="C68" s="77"/>
      <c r="D68" s="463" t="s">
        <v>215</v>
      </c>
      <c r="E68" s="543"/>
      <c r="F68" s="543"/>
      <c r="G68" s="543"/>
      <c r="H68" s="543"/>
      <c r="I68" s="543"/>
      <c r="J68" s="97">
        <v>60</v>
      </c>
      <c r="K68" s="391"/>
      <c r="L68" s="468" t="s">
        <v>52</v>
      </c>
      <c r="M68" s="469"/>
      <c r="N68" s="469"/>
      <c r="O68" s="85" t="s">
        <v>28</v>
      </c>
      <c r="P68" s="141">
        <v>15</v>
      </c>
      <c r="Q68" s="86">
        <f>'1'!Q68+'2'!P68+'3'!P68+'4'!P68+'5'!P68+'6'!P68</f>
        <v>15</v>
      </c>
      <c r="R68" s="409"/>
      <c r="S68" s="377" t="s">
        <v>62</v>
      </c>
      <c r="T68" s="175"/>
      <c r="U68" s="176" t="s">
        <v>151</v>
      </c>
      <c r="V68" s="177"/>
      <c r="W68" s="182">
        <f>+'5'!W68+'6'!V68</f>
        <v>0</v>
      </c>
    </row>
    <row r="69" spans="1:23" x14ac:dyDescent="0.3">
      <c r="A69" s="95" t="s">
        <v>63</v>
      </c>
      <c r="B69" s="427">
        <v>0</v>
      </c>
      <c r="C69" s="77"/>
      <c r="D69" s="463" t="s">
        <v>216</v>
      </c>
      <c r="E69" s="543"/>
      <c r="F69" s="543"/>
      <c r="G69" s="543"/>
      <c r="H69" s="543"/>
      <c r="I69" s="543"/>
      <c r="J69" s="97">
        <v>60</v>
      </c>
      <c r="K69" s="391"/>
      <c r="L69" s="466" t="s">
        <v>54</v>
      </c>
      <c r="M69" s="467"/>
      <c r="N69" s="467"/>
      <c r="O69" s="106" t="s">
        <v>28</v>
      </c>
      <c r="P69" s="100">
        <f>SUM(P70:P74)</f>
        <v>281</v>
      </c>
      <c r="Q69" s="100">
        <f>'1'!Q69+'2'!P69+'3'!P69+'4'!P69+'5'!P69+'6'!P69</f>
        <v>281</v>
      </c>
      <c r="R69" s="395"/>
      <c r="S69" s="376" t="s">
        <v>64</v>
      </c>
      <c r="T69" s="178"/>
      <c r="U69" s="179" t="s">
        <v>151</v>
      </c>
      <c r="V69" s="180"/>
      <c r="W69" s="183">
        <f>+'5'!W69+'6'!V69</f>
        <v>0</v>
      </c>
    </row>
    <row r="70" spans="1:23" x14ac:dyDescent="0.3">
      <c r="A70" s="95" t="s">
        <v>65</v>
      </c>
      <c r="B70" s="427">
        <v>12</v>
      </c>
      <c r="C70" s="77">
        <v>1</v>
      </c>
      <c r="D70" s="463" t="s">
        <v>217</v>
      </c>
      <c r="E70" s="543"/>
      <c r="F70" s="543"/>
      <c r="G70" s="543"/>
      <c r="H70" s="543"/>
      <c r="I70" s="543"/>
      <c r="J70" s="97">
        <v>25</v>
      </c>
      <c r="K70" s="407"/>
      <c r="L70" s="497" t="s">
        <v>56</v>
      </c>
      <c r="M70" s="498"/>
      <c r="N70" s="498"/>
      <c r="O70" s="408" t="s">
        <v>28</v>
      </c>
      <c r="P70" s="138">
        <v>78</v>
      </c>
      <c r="Q70" s="429">
        <f>'1'!Q70+'2'!P70+'3'!P70+'4'!P70+'5'!P70+'6'!P70</f>
        <v>78</v>
      </c>
      <c r="R70" s="399">
        <f>T55*30</f>
        <v>30</v>
      </c>
    </row>
    <row r="71" spans="1:23" x14ac:dyDescent="0.3">
      <c r="A71" s="95" t="s">
        <v>67</v>
      </c>
      <c r="B71" s="427">
        <v>27</v>
      </c>
      <c r="C71" s="77"/>
      <c r="D71" s="463"/>
      <c r="E71" s="543"/>
      <c r="F71" s="543"/>
      <c r="G71" s="543"/>
      <c r="H71" s="543"/>
      <c r="I71" s="543"/>
      <c r="J71" s="97"/>
      <c r="K71" s="391"/>
      <c r="L71" s="497" t="s">
        <v>58</v>
      </c>
      <c r="M71" s="498"/>
      <c r="N71" s="498"/>
      <c r="O71" s="408" t="s">
        <v>28</v>
      </c>
      <c r="P71" s="138">
        <v>184</v>
      </c>
      <c r="Q71" s="429">
        <f>'1'!Q71+'2'!P71+'3'!P71+'4'!P71+'5'!P71+'6'!P71</f>
        <v>184</v>
      </c>
      <c r="R71" s="399">
        <f>T55*25</f>
        <v>25</v>
      </c>
    </row>
    <row r="72" spans="1:23" x14ac:dyDescent="0.3">
      <c r="A72" s="95" t="s">
        <v>69</v>
      </c>
      <c r="B72" s="427">
        <v>27</v>
      </c>
      <c r="C72" s="77"/>
      <c r="D72" s="463"/>
      <c r="E72" s="543"/>
      <c r="F72" s="543"/>
      <c r="G72" s="543"/>
      <c r="H72" s="543"/>
      <c r="I72" s="543"/>
      <c r="J72" s="97"/>
      <c r="K72" s="391"/>
      <c r="L72" s="497" t="s">
        <v>60</v>
      </c>
      <c r="M72" s="498"/>
      <c r="N72" s="498"/>
      <c r="O72" s="408" t="s">
        <v>28</v>
      </c>
      <c r="P72" s="138">
        <v>19</v>
      </c>
      <c r="Q72" s="429">
        <f>'1'!Q72+'2'!P72+'3'!P72+'4'!P72+'5'!P72+'6'!P72</f>
        <v>19</v>
      </c>
      <c r="R72" s="399">
        <f>T55*10</f>
        <v>10</v>
      </c>
    </row>
    <row r="73" spans="1:23" x14ac:dyDescent="0.3">
      <c r="A73" s="95" t="s">
        <v>71</v>
      </c>
      <c r="B73" s="427">
        <v>26</v>
      </c>
      <c r="C73" s="77"/>
      <c r="D73" s="463"/>
      <c r="E73" s="543"/>
      <c r="F73" s="543"/>
      <c r="G73" s="543"/>
      <c r="H73" s="543"/>
      <c r="I73" s="543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</f>
        <v>0</v>
      </c>
      <c r="R73" s="399"/>
    </row>
    <row r="74" spans="1:23" x14ac:dyDescent="0.3">
      <c r="A74" s="95" t="s">
        <v>73</v>
      </c>
      <c r="B74" s="427">
        <v>21</v>
      </c>
      <c r="C74" s="77"/>
      <c r="D74" s="463" t="s">
        <v>218</v>
      </c>
      <c r="E74" s="543"/>
      <c r="F74" s="543"/>
      <c r="G74" s="543"/>
      <c r="H74" s="543"/>
      <c r="I74" s="543"/>
      <c r="J74" s="97">
        <v>13</v>
      </c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</f>
        <v>0</v>
      </c>
      <c r="R74" s="409"/>
    </row>
    <row r="75" spans="1:23" x14ac:dyDescent="0.3">
      <c r="A75" s="95" t="s">
        <v>75</v>
      </c>
      <c r="B75" s="427">
        <v>27</v>
      </c>
      <c r="C75" s="77"/>
      <c r="D75" s="463"/>
      <c r="E75" s="543"/>
      <c r="F75" s="543"/>
      <c r="G75" s="543"/>
      <c r="H75" s="543"/>
      <c r="I75" s="54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</f>
        <v>1440</v>
      </c>
      <c r="R75" s="406"/>
    </row>
    <row r="76" spans="1:23" x14ac:dyDescent="0.3">
      <c r="A76" s="95" t="s">
        <v>77</v>
      </c>
      <c r="B76" s="427">
        <v>15</v>
      </c>
      <c r="C76" s="77"/>
      <c r="D76" s="463" t="s">
        <v>219</v>
      </c>
      <c r="E76" s="543"/>
      <c r="F76" s="543"/>
      <c r="G76" s="543"/>
      <c r="H76" s="543"/>
      <c r="I76" s="543"/>
      <c r="J76" s="97">
        <v>24</v>
      </c>
      <c r="K76" s="391"/>
      <c r="L76" s="489" t="s">
        <v>68</v>
      </c>
      <c r="M76" s="490"/>
      <c r="N76" s="490"/>
      <c r="O76" s="405" t="s">
        <v>28</v>
      </c>
      <c r="P76" s="94">
        <f>P65+P69</f>
        <v>361</v>
      </c>
      <c r="Q76" s="94">
        <f>'1'!Q76+'2'!P76+'3'!P76+'4'!P76+'5'!P76+'6'!P76</f>
        <v>361</v>
      </c>
      <c r="R76" s="406"/>
    </row>
    <row r="77" spans="1:23" x14ac:dyDescent="0.3">
      <c r="A77" s="95" t="s">
        <v>79</v>
      </c>
      <c r="B77" s="427">
        <v>21</v>
      </c>
      <c r="C77" s="77"/>
      <c r="D77" s="463"/>
      <c r="E77" s="543"/>
      <c r="F77" s="543"/>
      <c r="G77" s="543"/>
      <c r="H77" s="543"/>
      <c r="I77" s="543"/>
      <c r="J77" s="97"/>
      <c r="K77" s="391"/>
      <c r="L77" s="486" t="s">
        <v>70</v>
      </c>
      <c r="M77" s="487"/>
      <c r="N77" s="488"/>
      <c r="O77" s="405" t="s">
        <v>28</v>
      </c>
      <c r="P77" s="142">
        <v>361</v>
      </c>
      <c r="Q77" s="94">
        <f>'1'!Q77+'2'!P77+'3'!P77+'4'!P77+'5'!P77+'6'!P77</f>
        <v>361</v>
      </c>
      <c r="R77" s="406"/>
    </row>
    <row r="78" spans="1:23" x14ac:dyDescent="0.3">
      <c r="A78" s="109" t="s">
        <v>82</v>
      </c>
      <c r="B78" s="428">
        <v>22</v>
      </c>
      <c r="C78" s="111"/>
      <c r="D78" s="463"/>
      <c r="E78" s="543"/>
      <c r="F78" s="543"/>
      <c r="G78" s="543"/>
      <c r="H78" s="543"/>
      <c r="I78" s="54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</f>
        <v>0</v>
      </c>
      <c r="R78" s="406"/>
    </row>
    <row r="79" spans="1:23" x14ac:dyDescent="0.3">
      <c r="A79" s="114"/>
      <c r="B79" s="115">
        <f>SUM(B55:B78)</f>
        <v>446</v>
      </c>
      <c r="C79" s="116">
        <f>SUM(C55:C78)</f>
        <v>6</v>
      </c>
      <c r="D79" s="470"/>
      <c r="E79" s="471"/>
      <c r="F79" s="471"/>
      <c r="G79" s="471"/>
      <c r="H79" s="471"/>
      <c r="I79" s="472"/>
      <c r="J79" s="117">
        <f>SUM(J55:J78)</f>
        <v>361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1079</v>
      </c>
      <c r="Q79" s="94">
        <f>'1'!Q79+'2'!P79+'3'!P79+'4'!P79+'5'!P79+'6'!P79</f>
        <v>1079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0.74930555555555556</v>
      </c>
      <c r="Q80" s="431">
        <f>Q79/Q75</f>
        <v>0.74930555555555556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0.74930555555555556</v>
      </c>
      <c r="Q81" s="165">
        <f>Q79/Q60</f>
        <v>0.12488425925925926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52.372715477293788</v>
      </c>
      <c r="Q82" s="150">
        <f>(C26/1000)/(Q79/60)</f>
        <v>52.372715477293788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39.243166666666667</v>
      </c>
      <c r="Q83" s="113">
        <f>(C26/1000)/(Q75/60)</f>
        <v>39.243166666666667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32634</v>
      </c>
      <c r="Q84" s="100">
        <f>'1'!Q84+'2'!P84+'3'!P84+'4'!P84+'5'!P84+'6'!P84</f>
        <v>45155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35.642630044703459</v>
      </c>
      <c r="Q85" s="124">
        <f>Q84/(K27/1000)</f>
        <v>49.317980010681644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169.2</v>
      </c>
      <c r="Q86" s="100">
        <f>'1'!Q86+'2'!P86+'3'!P86+'4'!P86+'5'!P86+'6'!P86</f>
        <v>237.45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186.78135542328278</v>
      </c>
      <c r="Q87" s="124">
        <f>(Q86*1000)/(K26/1000)</f>
        <v>262.12312556299344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139</v>
      </c>
      <c r="Q88" s="100">
        <f>'1'!Q88+'2'!P88+'3'!P88+'4'!P88+'5'!P88+'6'!P88</f>
        <v>273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0.15344331207941078</v>
      </c>
      <c r="Q89" s="124">
        <f>Q88/(K26/1000)</f>
        <v>0.30136708055884276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16" priority="1" operator="lessThan">
      <formula>0.0018</formula>
    </cfRule>
  </conditionalFormatting>
  <pageMargins left="0.7" right="0.7" top="0.25" bottom="0.25" header="0.3" footer="0.3"/>
  <pageSetup paperSize="9" scale="71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52" zoomScale="90" zoomScaleNormal="90" workbookViewId="0">
      <selection activeCell="R59" sqref="R59"/>
    </sheetView>
  </sheetViews>
  <sheetFormatPr defaultRowHeight="16.5" x14ac:dyDescent="0.3"/>
  <cols>
    <col min="1" max="1" width="7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'6'!A3:Q3+1</f>
        <v>46029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205</v>
      </c>
      <c r="B7" s="15">
        <v>2</v>
      </c>
      <c r="C7" s="15">
        <v>4196</v>
      </c>
      <c r="D7" s="16"/>
      <c r="E7" s="17"/>
      <c r="F7" s="18"/>
      <c r="G7" s="19" t="s">
        <v>1</v>
      </c>
      <c r="H7" s="20">
        <v>6.5</v>
      </c>
      <c r="I7" s="21" t="s">
        <v>206</v>
      </c>
      <c r="J7" s="22">
        <v>2</v>
      </c>
      <c r="K7" s="17">
        <v>4124</v>
      </c>
      <c r="L7" s="23">
        <f t="shared" ref="L7:L16" si="0">K7/C7</f>
        <v>0.98284080076263103</v>
      </c>
      <c r="M7" s="17"/>
      <c r="N7" s="22"/>
      <c r="O7" s="134"/>
      <c r="P7" s="134"/>
      <c r="Q7" s="134"/>
    </row>
    <row r="8" spans="1:17" x14ac:dyDescent="0.3">
      <c r="A8" s="24" t="s">
        <v>236</v>
      </c>
      <c r="B8" s="25">
        <v>48</v>
      </c>
      <c r="C8" s="25">
        <v>101712</v>
      </c>
      <c r="D8" s="26"/>
      <c r="E8" s="27"/>
      <c r="F8" s="28"/>
      <c r="G8" s="29" t="s">
        <v>1</v>
      </c>
      <c r="H8" s="30">
        <v>5.5</v>
      </c>
      <c r="I8" s="31" t="s">
        <v>237</v>
      </c>
      <c r="J8" s="32">
        <v>48</v>
      </c>
      <c r="K8" s="33">
        <v>100103</v>
      </c>
      <c r="L8" s="34">
        <f t="shared" si="0"/>
        <v>0.98418082428818621</v>
      </c>
      <c r="M8" s="33"/>
      <c r="N8" s="32"/>
      <c r="O8" s="135"/>
      <c r="P8" s="135"/>
      <c r="Q8" s="135"/>
    </row>
    <row r="9" spans="1:17" x14ac:dyDescent="0.3">
      <c r="A9" s="24" t="s">
        <v>238</v>
      </c>
      <c r="B9" s="25">
        <v>144</v>
      </c>
      <c r="C9" s="25">
        <v>304416</v>
      </c>
      <c r="D9" s="26"/>
      <c r="E9" s="27"/>
      <c r="F9" s="28"/>
      <c r="G9" s="29" t="s">
        <v>1</v>
      </c>
      <c r="H9" s="30">
        <v>5.5</v>
      </c>
      <c r="I9" s="31" t="s">
        <v>239</v>
      </c>
      <c r="J9" s="32">
        <v>140</v>
      </c>
      <c r="K9" s="33">
        <v>291528</v>
      </c>
      <c r="L9" s="34">
        <f t="shared" si="0"/>
        <v>0.95766319772942288</v>
      </c>
      <c r="M9" s="33">
        <v>4</v>
      </c>
      <c r="N9" s="32">
        <v>8271</v>
      </c>
      <c r="O9" s="135"/>
      <c r="P9" s="135"/>
      <c r="Q9" s="135"/>
    </row>
    <row r="10" spans="1:17" x14ac:dyDescent="0.3">
      <c r="A10" s="35" t="s">
        <v>240</v>
      </c>
      <c r="B10" s="36">
        <v>96</v>
      </c>
      <c r="C10" s="36">
        <v>203424</v>
      </c>
      <c r="D10" s="37"/>
      <c r="E10" s="38"/>
      <c r="F10" s="18"/>
      <c r="G10" s="39" t="s">
        <v>1</v>
      </c>
      <c r="H10" s="40">
        <v>5.5</v>
      </c>
      <c r="I10" s="31" t="s">
        <v>241</v>
      </c>
      <c r="J10" s="41">
        <v>96</v>
      </c>
      <c r="K10" s="42">
        <v>201333</v>
      </c>
      <c r="L10" s="34">
        <f t="shared" si="0"/>
        <v>0.98972097687588489</v>
      </c>
      <c r="M10" s="33"/>
      <c r="N10" s="32"/>
      <c r="O10" s="135"/>
      <c r="P10" s="135"/>
      <c r="Q10" s="135"/>
    </row>
    <row r="11" spans="1:17" x14ac:dyDescent="0.3">
      <c r="A11" s="35" t="s">
        <v>242</v>
      </c>
      <c r="B11" s="36">
        <v>48</v>
      </c>
      <c r="C11" s="36">
        <v>102096</v>
      </c>
      <c r="D11" s="37"/>
      <c r="E11" s="38"/>
      <c r="F11" s="18"/>
      <c r="G11" s="39" t="s">
        <v>1</v>
      </c>
      <c r="H11" s="40">
        <v>5.5</v>
      </c>
      <c r="I11" s="31" t="s">
        <v>243</v>
      </c>
      <c r="J11" s="41">
        <v>48</v>
      </c>
      <c r="K11" s="42">
        <v>100840</v>
      </c>
      <c r="L11" s="34">
        <f t="shared" si="0"/>
        <v>0.98769785300109703</v>
      </c>
      <c r="M11" s="33"/>
      <c r="N11" s="32"/>
      <c r="O11" s="135"/>
      <c r="P11" s="135"/>
      <c r="Q11" s="135"/>
    </row>
    <row r="12" spans="1:17" x14ac:dyDescent="0.3">
      <c r="A12" s="35" t="s">
        <v>244</v>
      </c>
      <c r="B12" s="36">
        <v>24</v>
      </c>
      <c r="C12" s="36">
        <v>51168</v>
      </c>
      <c r="D12" s="37"/>
      <c r="E12" s="38"/>
      <c r="F12" s="18"/>
      <c r="G12" s="39" t="s">
        <v>1</v>
      </c>
      <c r="H12" s="40">
        <v>5.5</v>
      </c>
      <c r="I12" s="31" t="s">
        <v>245</v>
      </c>
      <c r="J12" s="41">
        <v>24</v>
      </c>
      <c r="K12" s="42">
        <v>50848</v>
      </c>
      <c r="L12" s="34">
        <f t="shared" si="0"/>
        <v>0.99374609130706693</v>
      </c>
      <c r="M12" s="33"/>
      <c r="N12" s="32"/>
      <c r="O12" s="135"/>
      <c r="P12" s="135"/>
      <c r="Q12" s="135"/>
    </row>
    <row r="13" spans="1:17" x14ac:dyDescent="0.3">
      <c r="A13" s="35" t="s">
        <v>200</v>
      </c>
      <c r="B13" s="36">
        <v>123</v>
      </c>
      <c r="C13" s="36">
        <v>259407</v>
      </c>
      <c r="D13" s="37"/>
      <c r="E13" s="38"/>
      <c r="F13" s="18"/>
      <c r="G13" s="39" t="s">
        <v>195</v>
      </c>
      <c r="H13" s="40" t="s">
        <v>246</v>
      </c>
      <c r="I13" s="31" t="s">
        <v>202</v>
      </c>
      <c r="J13" s="41">
        <v>123</v>
      </c>
      <c r="K13" s="42">
        <v>256161</v>
      </c>
      <c r="L13" s="34">
        <f t="shared" si="0"/>
        <v>0.98748684499647277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485</v>
      </c>
      <c r="C16" s="48">
        <f>SUM(C7:C15)</f>
        <v>1026419</v>
      </c>
      <c r="D16" s="49">
        <f>SUM(D7:D15)</f>
        <v>0</v>
      </c>
      <c r="E16" s="50">
        <f>SUM(E7:E15)</f>
        <v>0</v>
      </c>
      <c r="F16" s="51">
        <f>E16/C16</f>
        <v>0</v>
      </c>
      <c r="G16" s="52"/>
      <c r="H16" s="2"/>
      <c r="I16" s="2"/>
      <c r="J16" s="53">
        <f>SUM(J7:J15)</f>
        <v>481</v>
      </c>
      <c r="K16" s="53">
        <f>SUM(K7:K15)</f>
        <v>1004937</v>
      </c>
      <c r="L16" s="51">
        <f t="shared" si="0"/>
        <v>0.97907092522644257</v>
      </c>
      <c r="M16" s="50">
        <f>SUM(M7:M15)</f>
        <v>4</v>
      </c>
      <c r="N16" s="54">
        <f>SUM(N7:N15)</f>
        <v>8271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1013208</v>
      </c>
      <c r="L17" s="51">
        <f>K17/C16</f>
        <v>0.98712903794649165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'6'!B22+B7+B8+B9+B10+B11+B12</f>
        <v>560</v>
      </c>
      <c r="C22" s="57">
        <f>'6'!C22+C7+C8+C9+C10+C11+C12</f>
        <v>1185816</v>
      </c>
      <c r="D22" s="57">
        <f>'6'!D22+D7+D8+D9+D10+D11+D12</f>
        <v>1</v>
      </c>
      <c r="E22" s="57">
        <f>'6'!E22+E7+E8+E9+E10+E11+E12</f>
        <v>2109</v>
      </c>
      <c r="F22" s="423">
        <f>E22/C22</f>
        <v>1.7785221315954583E-3</v>
      </c>
      <c r="G22" s="58" t="s">
        <v>1</v>
      </c>
      <c r="H22" s="59"/>
      <c r="I22" s="59"/>
      <c r="J22" s="57">
        <f>'6'!J22+J7+J8+J9+J10+J11+J12</f>
        <v>554</v>
      </c>
      <c r="K22" s="57">
        <f>'6'!K22+K7+K8+K9+K10+K11+K12</f>
        <v>1157610</v>
      </c>
      <c r="L22" s="60">
        <f>K22/C22</f>
        <v>0.97621384767957253</v>
      </c>
      <c r="M22" s="57">
        <f>'6'!M22+M7+M8+M9+M10+M11+M12</f>
        <v>5</v>
      </c>
      <c r="N22" s="57">
        <f>'6'!N22+N7+N8+N9+N10+N11+N12</f>
        <v>10326</v>
      </c>
      <c r="O22" s="135"/>
      <c r="P22" s="135"/>
      <c r="Q22" s="135"/>
    </row>
    <row r="23" spans="1:17" x14ac:dyDescent="0.3">
      <c r="A23" s="521"/>
      <c r="B23" s="61">
        <f>'6'!B23+B13</f>
        <v>371</v>
      </c>
      <c r="C23" s="61">
        <f>'6'!C23+C13</f>
        <v>782439</v>
      </c>
      <c r="D23" s="61">
        <f>'6'!D23+D13</f>
        <v>5</v>
      </c>
      <c r="E23" s="61">
        <f>'6'!E23+E13</f>
        <v>10545</v>
      </c>
      <c r="F23" s="424">
        <f>E23/C23</f>
        <v>1.3477088948787063E-2</v>
      </c>
      <c r="G23" s="381" t="s">
        <v>195</v>
      </c>
      <c r="H23" s="59"/>
      <c r="I23" s="59"/>
      <c r="J23" s="61">
        <f>'6'!J23+J13</f>
        <v>362</v>
      </c>
      <c r="K23" s="61">
        <f>'6'!K23+K13</f>
        <v>753199</v>
      </c>
      <c r="L23" s="382">
        <f t="shared" ref="L23:L24" si="1">K23/C23</f>
        <v>0.96262967464556337</v>
      </c>
      <c r="M23" s="61">
        <f>'6'!M23+M13</f>
        <v>4</v>
      </c>
      <c r="N23" s="61">
        <f>'6'!N23+N13</f>
        <v>7662</v>
      </c>
      <c r="O23" s="135"/>
      <c r="P23" s="135"/>
      <c r="Q23" s="135"/>
    </row>
    <row r="24" spans="1:17" x14ac:dyDescent="0.3">
      <c r="A24" s="521"/>
      <c r="B24" s="61">
        <f>'6'!B24</f>
        <v>0</v>
      </c>
      <c r="C24" s="61">
        <f>'6'!C24</f>
        <v>0</v>
      </c>
      <c r="D24" s="61">
        <f>'6'!D24</f>
        <v>0</v>
      </c>
      <c r="E24" s="61">
        <f>'6'!E24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'6'!J24</f>
        <v>0</v>
      </c>
      <c r="K24" s="61">
        <f>'6'!K24</f>
        <v>0</v>
      </c>
      <c r="L24" s="382" t="e">
        <f t="shared" si="1"/>
        <v>#DIV/0!</v>
      </c>
      <c r="M24" s="61">
        <f>'6'!M24</f>
        <v>0</v>
      </c>
      <c r="N24" s="61">
        <f>'6'!N24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931</v>
      </c>
      <c r="C26" s="68">
        <f>SUM(C21:C25)</f>
        <v>1968255</v>
      </c>
      <c r="D26" s="49">
        <f>SUM(D21:D25)</f>
        <v>6</v>
      </c>
      <c r="E26" s="69">
        <f>SUM(E22:E25)</f>
        <v>12654</v>
      </c>
      <c r="F26" s="51">
        <f>E26/C26</f>
        <v>6.4290450170328538E-3</v>
      </c>
      <c r="G26" s="51"/>
      <c r="H26" s="70"/>
      <c r="I26" s="70"/>
      <c r="J26" s="71">
        <f>SUM(J22:J25)</f>
        <v>916</v>
      </c>
      <c r="K26" s="68">
        <f>SUM(K22:K25)</f>
        <v>1910809</v>
      </c>
      <c r="L26" s="51">
        <f>K26/C26</f>
        <v>0.97081374110570018</v>
      </c>
      <c r="M26" s="71">
        <f>SUM(M22:M25)</f>
        <v>9</v>
      </c>
      <c r="N26" s="54">
        <f>SUM(N22:N25)</f>
        <v>17988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1928797</v>
      </c>
      <c r="L27" s="51">
        <f>K27/C26</f>
        <v>0.97995280083119307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'6'!A30</f>
        <v>BIC</v>
      </c>
      <c r="B30" s="307" t="str">
        <f>'6'!B30</f>
        <v>P.6</v>
      </c>
      <c r="C30" s="307" t="str">
        <f>'6'!C30</f>
        <v>BjTPG280</v>
      </c>
      <c r="D30" s="308">
        <f>'6'!D30</f>
        <v>239</v>
      </c>
      <c r="E30" s="308">
        <f>'6'!E30</f>
        <v>497038</v>
      </c>
      <c r="F30" s="79"/>
      <c r="G30" s="307" t="str">
        <f>'6'!G30</f>
        <v>WR</v>
      </c>
      <c r="H30" s="309">
        <f>'6'!H30</f>
        <v>0</v>
      </c>
      <c r="I30" s="309">
        <f>'6'!I30</f>
        <v>0</v>
      </c>
      <c r="J30" s="170">
        <f>'6'!J30</f>
        <v>0</v>
      </c>
      <c r="K30" s="310">
        <f>'6'!K30</f>
        <v>0</v>
      </c>
      <c r="L30" s="79"/>
      <c r="M30" s="307" t="str">
        <f>'6'!M30</f>
        <v>WR</v>
      </c>
      <c r="N30" s="309">
        <f>'6'!N30</f>
        <v>0</v>
      </c>
      <c r="O30" s="309">
        <f>'6'!O30</f>
        <v>0</v>
      </c>
      <c r="P30" s="170">
        <f>'6'!P30</f>
        <v>0</v>
      </c>
      <c r="Q30" s="310">
        <f>'6'!Q30</f>
        <v>0</v>
      </c>
    </row>
    <row r="31" spans="1:17" x14ac:dyDescent="0.3">
      <c r="A31" s="307" t="str">
        <f>'6'!A31</f>
        <v>WR</v>
      </c>
      <c r="B31" s="307">
        <f>'6'!B31</f>
        <v>6.5</v>
      </c>
      <c r="C31" s="307">
        <f>'6'!C31</f>
        <v>8</v>
      </c>
      <c r="D31" s="308">
        <f>'6'!D31</f>
        <v>144</v>
      </c>
      <c r="E31" s="308">
        <f>'6'!E31</f>
        <v>301505</v>
      </c>
      <c r="F31" s="135"/>
      <c r="G31" s="307" t="str">
        <f>'6'!G31</f>
        <v>WR</v>
      </c>
      <c r="H31" s="309">
        <f>'6'!H31</f>
        <v>0</v>
      </c>
      <c r="I31" s="309">
        <f>'6'!I31</f>
        <v>0</v>
      </c>
      <c r="J31" s="170">
        <f>'6'!J31</f>
        <v>0</v>
      </c>
      <c r="K31" s="310">
        <f>'6'!K31</f>
        <v>0</v>
      </c>
      <c r="L31" s="135"/>
      <c r="M31" s="307" t="str">
        <f>'6'!M31</f>
        <v>WR</v>
      </c>
      <c r="N31" s="309">
        <f>'6'!N31</f>
        <v>0</v>
      </c>
      <c r="O31" s="309">
        <f>'6'!O31</f>
        <v>0</v>
      </c>
      <c r="P31" s="170">
        <f>'6'!P31</f>
        <v>0</v>
      </c>
      <c r="Q31" s="310">
        <f>'6'!Q31</f>
        <v>0</v>
      </c>
    </row>
    <row r="32" spans="1:17" x14ac:dyDescent="0.3">
      <c r="A32" s="307" t="str">
        <f>'6'!A32</f>
        <v>WR</v>
      </c>
      <c r="B32" s="307">
        <f>'6'!B32</f>
        <v>6.5</v>
      </c>
      <c r="C32" s="307">
        <f>'6'!C32</f>
        <v>10</v>
      </c>
      <c r="D32" s="308">
        <f>'6'!D32+J7</f>
        <v>48</v>
      </c>
      <c r="E32" s="308">
        <f>'6'!E32+K7</f>
        <v>99149</v>
      </c>
      <c r="F32" s="135"/>
      <c r="G32" s="307" t="str">
        <f>'6'!G32</f>
        <v>WR</v>
      </c>
      <c r="H32" s="309">
        <f>'6'!H32</f>
        <v>0</v>
      </c>
      <c r="I32" s="309">
        <f>'6'!I32</f>
        <v>0</v>
      </c>
      <c r="J32" s="170">
        <f>'6'!J32</f>
        <v>0</v>
      </c>
      <c r="K32" s="310">
        <f>'6'!K32</f>
        <v>0</v>
      </c>
      <c r="L32" s="135"/>
      <c r="M32" s="307" t="str">
        <f>'6'!M32</f>
        <v>WR</v>
      </c>
      <c r="N32" s="309">
        <f>'6'!N32</f>
        <v>0</v>
      </c>
      <c r="O32" s="309">
        <f>'6'!O32</f>
        <v>0</v>
      </c>
      <c r="P32" s="170">
        <f>'6'!P32</f>
        <v>0</v>
      </c>
      <c r="Q32" s="310">
        <f>'6'!Q32</f>
        <v>0</v>
      </c>
    </row>
    <row r="33" spans="1:20" x14ac:dyDescent="0.3">
      <c r="A33" s="307" t="str">
        <f>'6'!A33</f>
        <v>WR</v>
      </c>
      <c r="B33" s="307">
        <f>'6'!B33</f>
        <v>6.5</v>
      </c>
      <c r="C33" s="307">
        <f>'6'!C33</f>
        <v>15</v>
      </c>
      <c r="D33" s="308">
        <f>'6'!D33</f>
        <v>6</v>
      </c>
      <c r="E33" s="308">
        <f>'6'!E33</f>
        <v>12304</v>
      </c>
      <c r="F33" s="135"/>
      <c r="G33" s="307" t="str">
        <f>'6'!G33</f>
        <v>WR</v>
      </c>
      <c r="H33" s="309">
        <f>'6'!H33</f>
        <v>0</v>
      </c>
      <c r="I33" s="309">
        <f>'6'!I33</f>
        <v>0</v>
      </c>
      <c r="J33" s="170">
        <f>'6'!J33</f>
        <v>0</v>
      </c>
      <c r="K33" s="310">
        <f>'6'!K33</f>
        <v>0</v>
      </c>
      <c r="L33" s="135"/>
      <c r="M33" s="307" t="str">
        <f>'6'!M33</f>
        <v>WR</v>
      </c>
      <c r="N33" s="309">
        <f>'6'!N33</f>
        <v>0</v>
      </c>
      <c r="O33" s="309">
        <f>'6'!O33</f>
        <v>0</v>
      </c>
      <c r="P33" s="170">
        <f>'6'!P33</f>
        <v>0</v>
      </c>
      <c r="Q33" s="310">
        <f>'6'!Q33</f>
        <v>0</v>
      </c>
    </row>
    <row r="34" spans="1:20" x14ac:dyDescent="0.3">
      <c r="A34" s="307" t="str">
        <f>'6'!A34</f>
        <v>WR</v>
      </c>
      <c r="B34" s="307">
        <v>5.5</v>
      </c>
      <c r="C34" s="307">
        <v>6</v>
      </c>
      <c r="D34" s="308">
        <f>J8</f>
        <v>48</v>
      </c>
      <c r="E34" s="308">
        <f>K8</f>
        <v>100103</v>
      </c>
      <c r="F34" s="135"/>
      <c r="G34" s="307" t="str">
        <f>'6'!G34</f>
        <v>WR</v>
      </c>
      <c r="H34" s="309">
        <f>'6'!H34</f>
        <v>0</v>
      </c>
      <c r="I34" s="309">
        <f>'6'!I34</f>
        <v>0</v>
      </c>
      <c r="J34" s="170">
        <f>'6'!J34</f>
        <v>0</v>
      </c>
      <c r="K34" s="310">
        <f>'6'!K34</f>
        <v>0</v>
      </c>
      <c r="L34" s="135"/>
      <c r="M34" s="307" t="str">
        <f>'6'!M34</f>
        <v>WR</v>
      </c>
      <c r="N34" s="309">
        <f>'6'!N34</f>
        <v>0</v>
      </c>
      <c r="O34" s="309">
        <f>'6'!O34</f>
        <v>0</v>
      </c>
      <c r="P34" s="170">
        <f>'6'!P34</f>
        <v>0</v>
      </c>
      <c r="Q34" s="310">
        <f>'6'!Q34</f>
        <v>0</v>
      </c>
    </row>
    <row r="35" spans="1:20" x14ac:dyDescent="0.3">
      <c r="A35" s="307" t="str">
        <f>'6'!A35</f>
        <v>WR</v>
      </c>
      <c r="B35" s="307">
        <v>5.5</v>
      </c>
      <c r="C35" s="307" t="s">
        <v>247</v>
      </c>
      <c r="D35" s="308">
        <f>J11</f>
        <v>48</v>
      </c>
      <c r="E35" s="308">
        <f>K11</f>
        <v>100840</v>
      </c>
      <c r="F35" s="135"/>
      <c r="G35" s="307" t="str">
        <f>'6'!G35</f>
        <v>WR</v>
      </c>
      <c r="H35" s="309">
        <f>'6'!H35</f>
        <v>0</v>
      </c>
      <c r="I35" s="309">
        <f>'6'!I35</f>
        <v>0</v>
      </c>
      <c r="J35" s="170">
        <f>'6'!J35</f>
        <v>0</v>
      </c>
      <c r="K35" s="310">
        <f>'6'!K35</f>
        <v>0</v>
      </c>
      <c r="L35" s="135"/>
      <c r="M35" s="307" t="str">
        <f>'6'!M35</f>
        <v>WR</v>
      </c>
      <c r="N35" s="309">
        <f>'6'!N35</f>
        <v>0</v>
      </c>
      <c r="O35" s="309">
        <f>'6'!O35</f>
        <v>0</v>
      </c>
      <c r="P35" s="170">
        <f>'6'!P35</f>
        <v>0</v>
      </c>
      <c r="Q35" s="310">
        <f>'6'!Q35</f>
        <v>0</v>
      </c>
    </row>
    <row r="36" spans="1:20" x14ac:dyDescent="0.3">
      <c r="A36" s="307" t="str">
        <f>'6'!A36</f>
        <v>WR</v>
      </c>
      <c r="B36" s="307">
        <v>5.5</v>
      </c>
      <c r="C36" s="307" t="s">
        <v>248</v>
      </c>
      <c r="D36" s="308">
        <f>J9</f>
        <v>140</v>
      </c>
      <c r="E36" s="308">
        <f>K9</f>
        <v>291528</v>
      </c>
      <c r="F36" s="135"/>
      <c r="G36" s="307" t="str">
        <f>'6'!G36</f>
        <v>WR</v>
      </c>
      <c r="H36" s="309">
        <f>'6'!H36</f>
        <v>0</v>
      </c>
      <c r="I36" s="309">
        <f>'6'!I36</f>
        <v>0</v>
      </c>
      <c r="J36" s="170">
        <f>'6'!J36</f>
        <v>0</v>
      </c>
      <c r="K36" s="310">
        <f>'6'!K36</f>
        <v>0</v>
      </c>
      <c r="L36" s="135"/>
      <c r="M36" s="307" t="str">
        <f>'6'!M36</f>
        <v>WR</v>
      </c>
      <c r="N36" s="309">
        <f>'6'!N36</f>
        <v>0</v>
      </c>
      <c r="O36" s="309">
        <f>'6'!O36</f>
        <v>0</v>
      </c>
      <c r="P36" s="170">
        <f>'6'!P36</f>
        <v>0</v>
      </c>
      <c r="Q36" s="310">
        <f>'6'!Q36</f>
        <v>0</v>
      </c>
    </row>
    <row r="37" spans="1:20" x14ac:dyDescent="0.3">
      <c r="A37" s="307" t="str">
        <f>'6'!A37</f>
        <v>WR</v>
      </c>
      <c r="B37" s="307">
        <v>5.5</v>
      </c>
      <c r="C37" s="307" t="s">
        <v>249</v>
      </c>
      <c r="D37" s="308">
        <f>J10</f>
        <v>96</v>
      </c>
      <c r="E37" s="308">
        <f>K10</f>
        <v>201333</v>
      </c>
      <c r="F37" s="135"/>
      <c r="G37" s="307" t="str">
        <f>'6'!G37</f>
        <v>WR</v>
      </c>
      <c r="H37" s="309">
        <f>'6'!H37</f>
        <v>0</v>
      </c>
      <c r="I37" s="309">
        <f>'6'!I37</f>
        <v>0</v>
      </c>
      <c r="J37" s="170">
        <f>'6'!J37</f>
        <v>0</v>
      </c>
      <c r="K37" s="310">
        <f>'6'!K37</f>
        <v>0</v>
      </c>
      <c r="L37" s="135"/>
      <c r="M37" s="307" t="str">
        <f>'6'!M37</f>
        <v>WR</v>
      </c>
      <c r="N37" s="309">
        <f>'6'!N37</f>
        <v>0</v>
      </c>
      <c r="O37" s="309">
        <f>'6'!O37</f>
        <v>0</v>
      </c>
      <c r="P37" s="170">
        <f>'6'!P37</f>
        <v>0</v>
      </c>
      <c r="Q37" s="310">
        <f>'6'!Q37</f>
        <v>0</v>
      </c>
    </row>
    <row r="38" spans="1:20" x14ac:dyDescent="0.3">
      <c r="A38" s="307" t="str">
        <f>'6'!A38</f>
        <v>WR</v>
      </c>
      <c r="B38" s="307">
        <v>5.5</v>
      </c>
      <c r="C38" s="307" t="s">
        <v>250</v>
      </c>
      <c r="D38" s="308">
        <f>J12</f>
        <v>24</v>
      </c>
      <c r="E38" s="308">
        <f>K12</f>
        <v>50848</v>
      </c>
      <c r="F38" s="135"/>
      <c r="G38" s="307" t="str">
        <f>'6'!G38</f>
        <v>WR</v>
      </c>
      <c r="H38" s="309">
        <f>'6'!H38</f>
        <v>0</v>
      </c>
      <c r="I38" s="309">
        <f>'6'!I38</f>
        <v>0</v>
      </c>
      <c r="J38" s="170">
        <f>'6'!J38</f>
        <v>0</v>
      </c>
      <c r="K38" s="310">
        <f>'6'!K38</f>
        <v>0</v>
      </c>
      <c r="L38" s="135"/>
      <c r="M38" s="307" t="str">
        <f>'6'!M38</f>
        <v>WR</v>
      </c>
      <c r="N38" s="309">
        <f>'6'!N38</f>
        <v>0</v>
      </c>
      <c r="O38" s="309">
        <f>'6'!O38</f>
        <v>0</v>
      </c>
      <c r="P38" s="170">
        <f>'6'!P38</f>
        <v>0</v>
      </c>
      <c r="Q38" s="310">
        <f>'6'!Q38</f>
        <v>0</v>
      </c>
      <c r="S38" s="438"/>
      <c r="T38" s="438"/>
    </row>
    <row r="39" spans="1:20" x14ac:dyDescent="0.3">
      <c r="A39" s="307" t="s">
        <v>195</v>
      </c>
      <c r="B39" s="307" t="s">
        <v>246</v>
      </c>
      <c r="C39" s="307" t="s">
        <v>202</v>
      </c>
      <c r="D39" s="308">
        <f>J13</f>
        <v>123</v>
      </c>
      <c r="E39" s="308">
        <f>K13</f>
        <v>256161</v>
      </c>
      <c r="F39" s="135"/>
      <c r="G39" s="307" t="str">
        <f>'6'!G39</f>
        <v>WR</v>
      </c>
      <c r="H39" s="309">
        <f>'6'!H39</f>
        <v>0</v>
      </c>
      <c r="I39" s="309">
        <f>'6'!I39</f>
        <v>0</v>
      </c>
      <c r="J39" s="170">
        <f>'6'!J39</f>
        <v>0</v>
      </c>
      <c r="K39" s="310">
        <f>'6'!K39</f>
        <v>0</v>
      </c>
      <c r="L39" s="135"/>
      <c r="M39" s="307" t="str">
        <f>'6'!M39</f>
        <v>WR</v>
      </c>
      <c r="N39" s="309">
        <f>'6'!N39</f>
        <v>0</v>
      </c>
      <c r="O39" s="309">
        <f>'6'!O39</f>
        <v>0</v>
      </c>
      <c r="P39" s="170">
        <f>'6'!P39</f>
        <v>0</v>
      </c>
      <c r="Q39" s="310">
        <f>'6'!Q39</f>
        <v>0</v>
      </c>
    </row>
    <row r="40" spans="1:20" x14ac:dyDescent="0.3">
      <c r="A40" s="307" t="str">
        <f>'6'!A40</f>
        <v>WR</v>
      </c>
      <c r="B40" s="307">
        <f>'6'!B40</f>
        <v>0</v>
      </c>
      <c r="C40" s="307">
        <f>'6'!C40</f>
        <v>0</v>
      </c>
      <c r="D40" s="308">
        <f>'6'!D40</f>
        <v>0</v>
      </c>
      <c r="E40" s="308">
        <f>'6'!E40</f>
        <v>0</v>
      </c>
      <c r="F40" s="135"/>
      <c r="G40" s="307" t="str">
        <f>'6'!G40</f>
        <v>WR</v>
      </c>
      <c r="H40" s="309">
        <f>'6'!H40</f>
        <v>0</v>
      </c>
      <c r="I40" s="309">
        <f>'6'!I40</f>
        <v>0</v>
      </c>
      <c r="J40" s="170">
        <f>'6'!J40</f>
        <v>0</v>
      </c>
      <c r="K40" s="310">
        <f>'6'!K40</f>
        <v>0</v>
      </c>
      <c r="L40" s="135"/>
      <c r="M40" s="307" t="str">
        <f>'6'!M40</f>
        <v>WR</v>
      </c>
      <c r="N40" s="309">
        <f>'6'!N40</f>
        <v>0</v>
      </c>
      <c r="O40" s="309">
        <f>'6'!O40</f>
        <v>0</v>
      </c>
      <c r="P40" s="170">
        <f>'6'!P40</f>
        <v>0</v>
      </c>
      <c r="Q40" s="310">
        <f>'6'!Q40</f>
        <v>0</v>
      </c>
    </row>
    <row r="41" spans="1:20" x14ac:dyDescent="0.3">
      <c r="A41" s="307" t="str">
        <f>'6'!A41</f>
        <v>WR</v>
      </c>
      <c r="B41" s="307">
        <f>'6'!B41</f>
        <v>0</v>
      </c>
      <c r="C41" s="307">
        <f>'6'!C41</f>
        <v>0</v>
      </c>
      <c r="D41" s="308">
        <f>'6'!D41</f>
        <v>0</v>
      </c>
      <c r="E41" s="308">
        <f>'6'!E41</f>
        <v>0</v>
      </c>
      <c r="F41" s="135"/>
      <c r="G41" s="307" t="str">
        <f>'6'!G41</f>
        <v>WR</v>
      </c>
      <c r="H41" s="309">
        <f>'6'!H41</f>
        <v>0</v>
      </c>
      <c r="I41" s="309">
        <f>'6'!I41</f>
        <v>0</v>
      </c>
      <c r="J41" s="170">
        <f>'6'!J41</f>
        <v>0</v>
      </c>
      <c r="K41" s="310">
        <f>'6'!K41</f>
        <v>0</v>
      </c>
      <c r="L41" s="135"/>
      <c r="M41" s="307" t="str">
        <f>'6'!M41</f>
        <v>WR</v>
      </c>
      <c r="N41" s="309">
        <f>'6'!N41</f>
        <v>0</v>
      </c>
      <c r="O41" s="309">
        <f>'6'!O41</f>
        <v>0</v>
      </c>
      <c r="P41" s="170">
        <f>'6'!P41</f>
        <v>0</v>
      </c>
      <c r="Q41" s="310">
        <f>'6'!Q41</f>
        <v>0</v>
      </c>
    </row>
    <row r="42" spans="1:20" x14ac:dyDescent="0.3">
      <c r="A42" s="307" t="str">
        <f>'6'!A42</f>
        <v>WR</v>
      </c>
      <c r="B42" s="307">
        <f>'6'!B42</f>
        <v>0</v>
      </c>
      <c r="C42" s="307">
        <f>'6'!C42</f>
        <v>0</v>
      </c>
      <c r="D42" s="308">
        <f>'6'!D42</f>
        <v>0</v>
      </c>
      <c r="E42" s="308">
        <f>'6'!E42</f>
        <v>0</v>
      </c>
      <c r="F42" s="135"/>
      <c r="G42" s="307" t="str">
        <f>'6'!G42</f>
        <v>WR</v>
      </c>
      <c r="H42" s="309">
        <f>'6'!H42</f>
        <v>0</v>
      </c>
      <c r="I42" s="309">
        <f>'6'!I42</f>
        <v>0</v>
      </c>
      <c r="J42" s="170">
        <f>'6'!J42</f>
        <v>0</v>
      </c>
      <c r="K42" s="310">
        <f>'6'!K42</f>
        <v>0</v>
      </c>
      <c r="L42" s="135"/>
      <c r="M42" s="307" t="str">
        <f>'6'!M42</f>
        <v>WR</v>
      </c>
      <c r="N42" s="309">
        <f>'6'!N42</f>
        <v>0</v>
      </c>
      <c r="O42" s="309">
        <f>'6'!O42</f>
        <v>0</v>
      </c>
      <c r="P42" s="170">
        <f>'6'!P42</f>
        <v>0</v>
      </c>
      <c r="Q42" s="310">
        <f>'6'!Q42</f>
        <v>0</v>
      </c>
    </row>
    <row r="43" spans="1:20" x14ac:dyDescent="0.3">
      <c r="A43" s="307" t="str">
        <f>'6'!A43</f>
        <v>WR</v>
      </c>
      <c r="B43" s="307">
        <f>'6'!B43</f>
        <v>0</v>
      </c>
      <c r="C43" s="307">
        <f>'6'!C43</f>
        <v>0</v>
      </c>
      <c r="D43" s="308">
        <f>'6'!D43</f>
        <v>0</v>
      </c>
      <c r="E43" s="308">
        <f>'6'!E43</f>
        <v>0</v>
      </c>
      <c r="F43" s="135"/>
      <c r="G43" s="307" t="str">
        <f>'6'!G43</f>
        <v>WR</v>
      </c>
      <c r="H43" s="309">
        <f>'6'!H43</f>
        <v>0</v>
      </c>
      <c r="I43" s="309">
        <f>'6'!I43</f>
        <v>0</v>
      </c>
      <c r="J43" s="170">
        <f>'6'!J43</f>
        <v>0</v>
      </c>
      <c r="K43" s="310">
        <f>'6'!K43</f>
        <v>0</v>
      </c>
      <c r="L43" s="135"/>
      <c r="M43" s="307" t="str">
        <f>'6'!M43</f>
        <v>WR</v>
      </c>
      <c r="N43" s="309">
        <f>'6'!N43</f>
        <v>0</v>
      </c>
      <c r="O43" s="309">
        <f>'6'!O43</f>
        <v>0</v>
      </c>
      <c r="P43" s="170">
        <f>'6'!P43</f>
        <v>0</v>
      </c>
      <c r="Q43" s="310">
        <f>'6'!Q43</f>
        <v>0</v>
      </c>
    </row>
    <row r="44" spans="1:20" x14ac:dyDescent="0.3">
      <c r="A44" s="307" t="str">
        <f>'6'!A44</f>
        <v>WR</v>
      </c>
      <c r="B44" s="307">
        <f>'6'!B44</f>
        <v>0</v>
      </c>
      <c r="C44" s="307">
        <f>'6'!C44</f>
        <v>0</v>
      </c>
      <c r="D44" s="308">
        <f>'6'!D44</f>
        <v>0</v>
      </c>
      <c r="E44" s="308">
        <f>'6'!E44</f>
        <v>0</v>
      </c>
      <c r="F44" s="135"/>
      <c r="G44" s="307" t="str">
        <f>'6'!G44</f>
        <v>WR</v>
      </c>
      <c r="H44" s="309">
        <f>'6'!H44</f>
        <v>0</v>
      </c>
      <c r="I44" s="309">
        <f>'6'!I44</f>
        <v>0</v>
      </c>
      <c r="J44" s="170">
        <f>'6'!J44</f>
        <v>0</v>
      </c>
      <c r="K44" s="310">
        <f>'6'!K44</f>
        <v>0</v>
      </c>
      <c r="L44" s="135"/>
      <c r="M44" s="307" t="str">
        <f>'6'!M44</f>
        <v>WR</v>
      </c>
      <c r="N44" s="309">
        <f>'6'!N44</f>
        <v>0</v>
      </c>
      <c r="O44" s="309">
        <f>'6'!O44</f>
        <v>0</v>
      </c>
      <c r="P44" s="170">
        <f>'6'!P44</f>
        <v>0</v>
      </c>
      <c r="Q44" s="310">
        <f>'6'!Q44</f>
        <v>0</v>
      </c>
    </row>
    <row r="45" spans="1:20" x14ac:dyDescent="0.3">
      <c r="A45" s="307" t="str">
        <f>'6'!A45</f>
        <v>WR</v>
      </c>
      <c r="B45" s="307">
        <f>'6'!B45</f>
        <v>0</v>
      </c>
      <c r="C45" s="307">
        <f>'6'!C45</f>
        <v>0</v>
      </c>
      <c r="D45" s="308">
        <f>'6'!D45</f>
        <v>0</v>
      </c>
      <c r="E45" s="308">
        <f>'6'!E45</f>
        <v>0</v>
      </c>
      <c r="F45" s="135"/>
      <c r="G45" s="307" t="str">
        <f>'6'!G45</f>
        <v>WR</v>
      </c>
      <c r="H45" s="309">
        <f>'6'!H45</f>
        <v>0</v>
      </c>
      <c r="I45" s="309">
        <f>'6'!I45</f>
        <v>0</v>
      </c>
      <c r="J45" s="170">
        <f>'6'!J45</f>
        <v>0</v>
      </c>
      <c r="K45" s="310">
        <f>'6'!K45</f>
        <v>0</v>
      </c>
      <c r="L45" s="135"/>
      <c r="M45" s="307" t="str">
        <f>'6'!M45</f>
        <v>WR</v>
      </c>
      <c r="N45" s="309">
        <f>'6'!N45</f>
        <v>0</v>
      </c>
      <c r="O45" s="309">
        <f>'6'!O45</f>
        <v>0</v>
      </c>
      <c r="P45" s="170">
        <f>'6'!P45</f>
        <v>0</v>
      </c>
      <c r="Q45" s="310">
        <f>'6'!Q45</f>
        <v>0</v>
      </c>
    </row>
    <row r="46" spans="1:20" x14ac:dyDescent="0.3">
      <c r="A46" s="307" t="str">
        <f>'6'!A46</f>
        <v>WR</v>
      </c>
      <c r="B46" s="307">
        <f>'6'!B46</f>
        <v>0</v>
      </c>
      <c r="C46" s="307">
        <f>'6'!C46</f>
        <v>0</v>
      </c>
      <c r="D46" s="308">
        <f>'6'!D46</f>
        <v>0</v>
      </c>
      <c r="E46" s="308">
        <f>'6'!E46</f>
        <v>0</v>
      </c>
      <c r="F46" s="135"/>
      <c r="G46" s="307" t="str">
        <f>'6'!G46</f>
        <v>WR</v>
      </c>
      <c r="H46" s="309">
        <f>'6'!H46</f>
        <v>0</v>
      </c>
      <c r="I46" s="309">
        <f>'6'!I46</f>
        <v>0</v>
      </c>
      <c r="J46" s="170">
        <f>'6'!J46</f>
        <v>0</v>
      </c>
      <c r="K46" s="310">
        <f>'6'!K46</f>
        <v>0</v>
      </c>
      <c r="L46" s="135"/>
      <c r="M46" s="307" t="str">
        <f>'6'!M46</f>
        <v>WR</v>
      </c>
      <c r="N46" s="309">
        <f>'6'!N46</f>
        <v>0</v>
      </c>
      <c r="O46" s="309">
        <f>'6'!O46</f>
        <v>0</v>
      </c>
      <c r="P46" s="170">
        <f>'6'!P46</f>
        <v>0</v>
      </c>
      <c r="Q46" s="310">
        <f>'6'!Q46</f>
        <v>0</v>
      </c>
    </row>
    <row r="47" spans="1:20" x14ac:dyDescent="0.3">
      <c r="A47" s="307" t="str">
        <f>'6'!A47</f>
        <v>WR</v>
      </c>
      <c r="B47" s="307">
        <f>'6'!B47</f>
        <v>0</v>
      </c>
      <c r="C47" s="307">
        <f>'6'!C47</f>
        <v>0</v>
      </c>
      <c r="D47" s="308">
        <f>'6'!D47</f>
        <v>0</v>
      </c>
      <c r="E47" s="308">
        <f>'6'!E47</f>
        <v>0</v>
      </c>
      <c r="F47" s="135"/>
      <c r="G47" s="307" t="str">
        <f>'6'!G47</f>
        <v>WR</v>
      </c>
      <c r="H47" s="309">
        <f>'6'!H47</f>
        <v>0</v>
      </c>
      <c r="I47" s="309">
        <f>'6'!I47</f>
        <v>0</v>
      </c>
      <c r="J47" s="170">
        <f>'6'!J47</f>
        <v>0</v>
      </c>
      <c r="K47" s="310">
        <f>'6'!K47</f>
        <v>0</v>
      </c>
      <c r="L47" s="135"/>
      <c r="M47" s="307" t="str">
        <f>'6'!M47</f>
        <v>WR</v>
      </c>
      <c r="N47" s="309">
        <f>'6'!N47</f>
        <v>0</v>
      </c>
      <c r="O47" s="309">
        <f>'6'!O47</f>
        <v>0</v>
      </c>
      <c r="P47" s="170">
        <f>'6'!P47</f>
        <v>0</v>
      </c>
      <c r="Q47" s="310">
        <f>'6'!Q47</f>
        <v>0</v>
      </c>
    </row>
    <row r="48" spans="1:20" x14ac:dyDescent="0.3">
      <c r="A48" s="307" t="str">
        <f>'6'!A48</f>
        <v>WR</v>
      </c>
      <c r="B48" s="307">
        <f>'6'!B48</f>
        <v>0</v>
      </c>
      <c r="C48" s="307">
        <f>'6'!C48</f>
        <v>0</v>
      </c>
      <c r="D48" s="308">
        <f>'6'!D48</f>
        <v>0</v>
      </c>
      <c r="E48" s="308">
        <f>'6'!E48</f>
        <v>0</v>
      </c>
      <c r="F48" s="135"/>
      <c r="G48" s="307" t="str">
        <f>'6'!G48</f>
        <v>WR</v>
      </c>
      <c r="H48" s="309">
        <f>'6'!H48</f>
        <v>0</v>
      </c>
      <c r="I48" s="309">
        <f>'6'!I48</f>
        <v>0</v>
      </c>
      <c r="J48" s="170">
        <f>'6'!J48</f>
        <v>0</v>
      </c>
      <c r="K48" s="310">
        <f>'6'!K48</f>
        <v>0</v>
      </c>
      <c r="L48" s="135"/>
      <c r="M48" s="307" t="str">
        <f>'6'!M48</f>
        <v>WR</v>
      </c>
      <c r="N48" s="309">
        <f>'6'!N48</f>
        <v>0</v>
      </c>
      <c r="O48" s="309">
        <f>'6'!O48</f>
        <v>0</v>
      </c>
      <c r="P48" s="170">
        <f>'6'!P48</f>
        <v>0</v>
      </c>
      <c r="Q48" s="310">
        <f>'6'!Q48</f>
        <v>0</v>
      </c>
    </row>
    <row r="49" spans="1:23" x14ac:dyDescent="0.3">
      <c r="A49" s="307" t="str">
        <f>'6'!A49</f>
        <v>WR</v>
      </c>
      <c r="B49" s="307">
        <f>'6'!B49</f>
        <v>0</v>
      </c>
      <c r="C49" s="307">
        <f>'6'!C49</f>
        <v>0</v>
      </c>
      <c r="D49" s="308">
        <f>'6'!D49</f>
        <v>0</v>
      </c>
      <c r="E49" s="308">
        <f>'6'!E49</f>
        <v>0</v>
      </c>
      <c r="F49" s="3"/>
      <c r="G49" s="307" t="str">
        <f>'6'!G49</f>
        <v>WR</v>
      </c>
      <c r="H49" s="309">
        <f>'6'!H49</f>
        <v>0</v>
      </c>
      <c r="I49" s="309">
        <f>'6'!I49</f>
        <v>0</v>
      </c>
      <c r="J49" s="170">
        <f>'6'!J49</f>
        <v>0</v>
      </c>
      <c r="K49" s="310">
        <f>'6'!K49</f>
        <v>0</v>
      </c>
      <c r="L49" s="3"/>
      <c r="M49" s="307" t="str">
        <f>'6'!M49</f>
        <v>WR</v>
      </c>
      <c r="N49" s="309">
        <f>'6'!N49</f>
        <v>0</v>
      </c>
      <c r="O49" s="309">
        <f>'6'!O49</f>
        <v>0</v>
      </c>
      <c r="P49" s="170">
        <f>'6'!P49</f>
        <v>0</v>
      </c>
      <c r="Q49" s="310">
        <f>'6'!Q49</f>
        <v>0</v>
      </c>
    </row>
    <row r="50" spans="1:23" x14ac:dyDescent="0.3">
      <c r="A50" s="318" t="str">
        <f>A1</f>
        <v>TMS 4</v>
      </c>
      <c r="B50" s="319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320" t="s">
        <v>2</v>
      </c>
      <c r="Q50" s="321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46029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235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33">
        <v>2</v>
      </c>
      <c r="C55" s="21"/>
      <c r="D55" s="547" t="s">
        <v>222</v>
      </c>
      <c r="E55" s="548"/>
      <c r="F55" s="548"/>
      <c r="G55" s="548"/>
      <c r="H55" s="548"/>
      <c r="I55" s="548"/>
      <c r="J55" s="93">
        <v>53</v>
      </c>
      <c r="K55" s="391"/>
      <c r="L55" s="466" t="s">
        <v>26</v>
      </c>
      <c r="M55" s="467"/>
      <c r="N55" s="467"/>
      <c r="O55" s="392" t="s">
        <v>13</v>
      </c>
      <c r="P55" s="393">
        <f>C16</f>
        <v>1026419</v>
      </c>
      <c r="Q55" s="394">
        <f>C26</f>
        <v>1968255</v>
      </c>
      <c r="R55" s="395"/>
      <c r="S55" s="388">
        <f>DAY(A52)</f>
        <v>7</v>
      </c>
      <c r="T55" s="383">
        <f>S55-U55</f>
        <v>2</v>
      </c>
      <c r="U55" s="383">
        <f>'6'!U55</f>
        <v>5</v>
      </c>
    </row>
    <row r="56" spans="1:23" x14ac:dyDescent="0.3">
      <c r="A56" s="95" t="s">
        <v>37</v>
      </c>
      <c r="B56" s="434">
        <v>13</v>
      </c>
      <c r="C56" s="77"/>
      <c r="D56" s="463" t="s">
        <v>223</v>
      </c>
      <c r="E56" s="543"/>
      <c r="F56" s="543"/>
      <c r="G56" s="543"/>
      <c r="H56" s="543"/>
      <c r="I56" s="543"/>
      <c r="J56" s="97">
        <v>23</v>
      </c>
      <c r="K56" s="391"/>
      <c r="L56" s="502" t="s">
        <v>191</v>
      </c>
      <c r="M56" s="498"/>
      <c r="N56" s="498"/>
      <c r="O56" s="396" t="s">
        <v>13</v>
      </c>
      <c r="P56" s="397">
        <f>K17</f>
        <v>1013208</v>
      </c>
      <c r="Q56" s="398">
        <f>K27</f>
        <v>1928797</v>
      </c>
      <c r="R56" s="399"/>
    </row>
    <row r="57" spans="1:23" x14ac:dyDescent="0.3">
      <c r="A57" s="95" t="s">
        <v>39</v>
      </c>
      <c r="B57" s="434">
        <v>19</v>
      </c>
      <c r="C57" s="77"/>
      <c r="D57" s="463" t="s">
        <v>224</v>
      </c>
      <c r="E57" s="543"/>
      <c r="F57" s="543"/>
      <c r="G57" s="543"/>
      <c r="H57" s="543"/>
      <c r="I57" s="543"/>
      <c r="J57" s="97">
        <v>11</v>
      </c>
      <c r="K57" s="391"/>
      <c r="L57" s="468" t="s">
        <v>19</v>
      </c>
      <c r="M57" s="469"/>
      <c r="N57" s="469"/>
      <c r="O57" s="400" t="s">
        <v>14</v>
      </c>
      <c r="P57" s="401">
        <f>L17</f>
        <v>0.98712903794649165</v>
      </c>
      <c r="Q57" s="430">
        <f>L27</f>
        <v>0.97995280083119307</v>
      </c>
      <c r="R57" s="403">
        <v>0.98499999999999999</v>
      </c>
    </row>
    <row r="58" spans="1:23" x14ac:dyDescent="0.3">
      <c r="A58" s="95" t="s">
        <v>41</v>
      </c>
      <c r="B58" s="434">
        <v>23</v>
      </c>
      <c r="C58" s="77"/>
      <c r="D58" s="463"/>
      <c r="E58" s="543"/>
      <c r="F58" s="543"/>
      <c r="G58" s="543"/>
      <c r="H58" s="543"/>
      <c r="I58" s="54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12654</v>
      </c>
      <c r="R58" s="395"/>
    </row>
    <row r="59" spans="1:23" x14ac:dyDescent="0.3">
      <c r="A59" s="95" t="s">
        <v>43</v>
      </c>
      <c r="B59" s="434">
        <v>18</v>
      </c>
      <c r="C59" s="77"/>
      <c r="D59" s="463" t="s">
        <v>225</v>
      </c>
      <c r="E59" s="543"/>
      <c r="F59" s="543"/>
      <c r="G59" s="543"/>
      <c r="H59" s="543"/>
      <c r="I59" s="543"/>
      <c r="J59" s="97">
        <v>14</v>
      </c>
      <c r="K59" s="391"/>
      <c r="L59" s="509"/>
      <c r="M59" s="510"/>
      <c r="N59" s="510"/>
      <c r="O59" s="400" t="s">
        <v>14</v>
      </c>
      <c r="P59" s="401">
        <f>F16</f>
        <v>0</v>
      </c>
      <c r="Q59" s="430">
        <f>F26</f>
        <v>6.4290450170328538E-3</v>
      </c>
      <c r="R59" s="404">
        <v>1.5E-3</v>
      </c>
    </row>
    <row r="60" spans="1:23" x14ac:dyDescent="0.3">
      <c r="A60" s="95" t="s">
        <v>45</v>
      </c>
      <c r="B60" s="434">
        <v>24</v>
      </c>
      <c r="C60" s="77"/>
      <c r="D60" s="549"/>
      <c r="E60" s="550"/>
      <c r="F60" s="550"/>
      <c r="G60" s="550"/>
      <c r="H60" s="550"/>
      <c r="I60" s="55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</f>
        <v>10080</v>
      </c>
      <c r="R60" s="406"/>
    </row>
    <row r="61" spans="1:23" x14ac:dyDescent="0.3">
      <c r="A61" s="95" t="s">
        <v>47</v>
      </c>
      <c r="B61" s="434">
        <v>24</v>
      </c>
      <c r="C61" s="77"/>
      <c r="D61" s="463"/>
      <c r="E61" s="543"/>
      <c r="F61" s="543"/>
      <c r="G61" s="543"/>
      <c r="H61" s="543"/>
      <c r="I61" s="543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</f>
        <v>7200</v>
      </c>
      <c r="R61" s="395"/>
    </row>
    <row r="62" spans="1:23" x14ac:dyDescent="0.3">
      <c r="A62" s="95" t="s">
        <v>49</v>
      </c>
      <c r="B62" s="434">
        <v>24</v>
      </c>
      <c r="C62" s="77"/>
      <c r="D62" s="463"/>
      <c r="E62" s="543"/>
      <c r="F62" s="543"/>
      <c r="G62" s="543"/>
      <c r="H62" s="543"/>
      <c r="I62" s="543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</f>
        <v>7200</v>
      </c>
      <c r="R62" s="399"/>
    </row>
    <row r="63" spans="1:23" x14ac:dyDescent="0.3">
      <c r="A63" s="95" t="s">
        <v>51</v>
      </c>
      <c r="B63" s="434">
        <v>23</v>
      </c>
      <c r="C63" s="77"/>
      <c r="D63" s="463" t="s">
        <v>226</v>
      </c>
      <c r="E63" s="543"/>
      <c r="F63" s="543"/>
      <c r="G63" s="543"/>
      <c r="H63" s="543"/>
      <c r="I63" s="543"/>
      <c r="J63" s="97">
        <v>1</v>
      </c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</f>
        <v>0</v>
      </c>
      <c r="R63" s="399"/>
    </row>
    <row r="64" spans="1:23" x14ac:dyDescent="0.3">
      <c r="A64" s="95" t="s">
        <v>53</v>
      </c>
      <c r="B64" s="434">
        <v>25</v>
      </c>
      <c r="C64" s="77"/>
      <c r="D64" s="463"/>
      <c r="E64" s="543"/>
      <c r="F64" s="543"/>
      <c r="G64" s="543"/>
      <c r="H64" s="543"/>
      <c r="I64" s="54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34">
        <v>23</v>
      </c>
      <c r="C65" s="77"/>
      <c r="D65" s="463"/>
      <c r="E65" s="543"/>
      <c r="F65" s="543"/>
      <c r="G65" s="543"/>
      <c r="H65" s="543"/>
      <c r="I65" s="54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191</v>
      </c>
      <c r="Q65" s="100">
        <f>'1'!Q65+'2'!P65+'3'!P65+'4'!P65+'5'!P65+'6'!P65+'7'!P65</f>
        <v>271</v>
      </c>
      <c r="R65" s="395"/>
      <c r="S65" s="171" t="s">
        <v>56</v>
      </c>
      <c r="T65" s="172"/>
      <c r="U65" s="173" t="s">
        <v>151</v>
      </c>
      <c r="V65" s="174"/>
      <c r="W65" s="181">
        <f>+'6'!W65+'7'!V65</f>
        <v>2</v>
      </c>
    </row>
    <row r="66" spans="1:23" x14ac:dyDescent="0.3">
      <c r="A66" s="95" t="s">
        <v>57</v>
      </c>
      <c r="B66" s="434">
        <v>25</v>
      </c>
      <c r="C66" s="77"/>
      <c r="D66" s="494"/>
      <c r="E66" s="495"/>
      <c r="F66" s="495"/>
      <c r="G66" s="495"/>
      <c r="H66" s="495"/>
      <c r="I66" s="496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+'6'!W66+'7'!V66</f>
        <v>4</v>
      </c>
    </row>
    <row r="67" spans="1:23" x14ac:dyDescent="0.3">
      <c r="A67" s="95" t="s">
        <v>59</v>
      </c>
      <c r="B67" s="434">
        <v>23</v>
      </c>
      <c r="C67" s="77"/>
      <c r="D67" s="494" t="s">
        <v>227</v>
      </c>
      <c r="E67" s="495"/>
      <c r="F67" s="495"/>
      <c r="G67" s="495"/>
      <c r="H67" s="495"/>
      <c r="I67" s="496"/>
      <c r="J67" s="97">
        <v>3</v>
      </c>
      <c r="K67" s="391"/>
      <c r="L67" s="502" t="s">
        <v>50</v>
      </c>
      <c r="M67" s="498"/>
      <c r="N67" s="498"/>
      <c r="O67" s="408" t="s">
        <v>28</v>
      </c>
      <c r="P67" s="138">
        <v>154</v>
      </c>
      <c r="Q67" s="99">
        <f>'1'!Q67+'2'!P67+'3'!P67+'4'!P67+'5'!P67+'6'!P67+'7'!P67</f>
        <v>219</v>
      </c>
      <c r="R67" s="399"/>
      <c r="S67" s="377" t="s">
        <v>60</v>
      </c>
      <c r="T67" s="175"/>
      <c r="U67" s="176" t="s">
        <v>151</v>
      </c>
      <c r="V67" s="177"/>
      <c r="W67" s="182">
        <f>+'6'!W67+'7'!V67</f>
        <v>0</v>
      </c>
    </row>
    <row r="68" spans="1:23" x14ac:dyDescent="0.3">
      <c r="A68" s="95" t="s">
        <v>61</v>
      </c>
      <c r="B68" s="434">
        <v>10</v>
      </c>
      <c r="C68" s="77"/>
      <c r="D68" s="494" t="s">
        <v>228</v>
      </c>
      <c r="E68" s="495"/>
      <c r="F68" s="495"/>
      <c r="G68" s="495"/>
      <c r="H68" s="495"/>
      <c r="I68" s="496"/>
      <c r="J68" s="97">
        <v>32</v>
      </c>
      <c r="K68" s="391"/>
      <c r="L68" s="468" t="s">
        <v>52</v>
      </c>
      <c r="M68" s="469"/>
      <c r="N68" s="469"/>
      <c r="O68" s="85" t="s">
        <v>28</v>
      </c>
      <c r="P68" s="141">
        <v>37</v>
      </c>
      <c r="Q68" s="86">
        <f>'1'!Q68+'2'!P68+'3'!P68+'4'!P68+'5'!P68+'6'!P68+'7'!P68</f>
        <v>52</v>
      </c>
      <c r="R68" s="409"/>
      <c r="S68" s="377" t="s">
        <v>62</v>
      </c>
      <c r="T68" s="175"/>
      <c r="U68" s="176" t="s">
        <v>151</v>
      </c>
      <c r="V68" s="177"/>
      <c r="W68" s="182">
        <f>+'6'!W68+'7'!V68</f>
        <v>0</v>
      </c>
    </row>
    <row r="69" spans="1:23" x14ac:dyDescent="0.3">
      <c r="A69" s="95" t="s">
        <v>63</v>
      </c>
      <c r="B69" s="434">
        <v>20</v>
      </c>
      <c r="C69" s="77"/>
      <c r="D69" s="494" t="s">
        <v>229</v>
      </c>
      <c r="E69" s="495"/>
      <c r="F69" s="495"/>
      <c r="G69" s="495"/>
      <c r="H69" s="495"/>
      <c r="I69" s="496"/>
      <c r="J69" s="97">
        <v>9</v>
      </c>
      <c r="K69" s="391"/>
      <c r="L69" s="466" t="s">
        <v>54</v>
      </c>
      <c r="M69" s="467"/>
      <c r="N69" s="467"/>
      <c r="O69" s="106" t="s">
        <v>28</v>
      </c>
      <c r="P69" s="100">
        <f>SUM(P70:P74)</f>
        <v>42</v>
      </c>
      <c r="Q69" s="100">
        <f>'1'!Q69+'2'!P69+'3'!P69+'4'!P69+'5'!P69+'6'!P69+'7'!P69</f>
        <v>323</v>
      </c>
      <c r="R69" s="395"/>
      <c r="S69" s="376" t="s">
        <v>64</v>
      </c>
      <c r="T69" s="178"/>
      <c r="U69" s="179" t="s">
        <v>151</v>
      </c>
      <c r="V69" s="180"/>
      <c r="W69" s="183">
        <f>+'6'!W69+'7'!V69</f>
        <v>0</v>
      </c>
    </row>
    <row r="70" spans="1:23" x14ac:dyDescent="0.3">
      <c r="A70" s="95" t="s">
        <v>65</v>
      </c>
      <c r="B70" s="434">
        <v>23</v>
      </c>
      <c r="C70" s="77"/>
      <c r="D70" s="494"/>
      <c r="E70" s="495"/>
      <c r="F70" s="495"/>
      <c r="G70" s="495"/>
      <c r="H70" s="495"/>
      <c r="I70" s="496"/>
      <c r="J70" s="97"/>
      <c r="K70" s="407"/>
      <c r="L70" s="497" t="s">
        <v>56</v>
      </c>
      <c r="M70" s="498"/>
      <c r="N70" s="498"/>
      <c r="O70" s="408" t="s">
        <v>28</v>
      </c>
      <c r="P70" s="138">
        <v>12</v>
      </c>
      <c r="Q70" s="429">
        <f>'1'!Q70+'2'!P70+'3'!P70+'4'!P70+'5'!P70+'6'!P70+'7'!P70</f>
        <v>90</v>
      </c>
      <c r="R70" s="399">
        <f>T55*30</f>
        <v>60</v>
      </c>
    </row>
    <row r="71" spans="1:23" x14ac:dyDescent="0.3">
      <c r="A71" s="95" t="s">
        <v>67</v>
      </c>
      <c r="B71" s="434">
        <v>21</v>
      </c>
      <c r="C71" s="77"/>
      <c r="D71" s="544" t="s">
        <v>230</v>
      </c>
      <c r="E71" s="545"/>
      <c r="F71" s="545"/>
      <c r="G71" s="545"/>
      <c r="H71" s="545"/>
      <c r="I71" s="546"/>
      <c r="J71" s="97">
        <v>1</v>
      </c>
      <c r="K71" s="391"/>
      <c r="L71" s="497" t="s">
        <v>58</v>
      </c>
      <c r="M71" s="498"/>
      <c r="N71" s="498"/>
      <c r="O71" s="408" t="s">
        <v>28</v>
      </c>
      <c r="P71" s="138">
        <v>30</v>
      </c>
      <c r="Q71" s="429">
        <f>'1'!Q71+'2'!P71+'3'!P71+'4'!P71+'5'!P71+'6'!P71+'7'!P71</f>
        <v>214</v>
      </c>
      <c r="R71" s="399">
        <f>T55*25</f>
        <v>50</v>
      </c>
    </row>
    <row r="72" spans="1:23" x14ac:dyDescent="0.3">
      <c r="A72" s="95" t="s">
        <v>69</v>
      </c>
      <c r="B72" s="434">
        <v>22</v>
      </c>
      <c r="C72" s="77"/>
      <c r="D72" s="549" t="s">
        <v>231</v>
      </c>
      <c r="E72" s="550"/>
      <c r="F72" s="550"/>
      <c r="G72" s="550"/>
      <c r="H72" s="550"/>
      <c r="I72" s="551"/>
      <c r="J72" s="97">
        <v>4</v>
      </c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</f>
        <v>19</v>
      </c>
      <c r="R72" s="399">
        <f>T55*10</f>
        <v>20</v>
      </c>
    </row>
    <row r="73" spans="1:23" x14ac:dyDescent="0.3">
      <c r="A73" s="95" t="s">
        <v>71</v>
      </c>
      <c r="B73" s="434">
        <v>0</v>
      </c>
      <c r="C73" s="77"/>
      <c r="D73" s="549" t="s">
        <v>232</v>
      </c>
      <c r="E73" s="550"/>
      <c r="F73" s="550"/>
      <c r="G73" s="550"/>
      <c r="H73" s="550"/>
      <c r="I73" s="551"/>
      <c r="J73" s="97">
        <v>60</v>
      </c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</f>
        <v>0</v>
      </c>
      <c r="R73" s="399"/>
    </row>
    <row r="74" spans="1:23" x14ac:dyDescent="0.3">
      <c r="A74" s="95" t="s">
        <v>73</v>
      </c>
      <c r="B74" s="434">
        <v>18</v>
      </c>
      <c r="C74" s="77"/>
      <c r="D74" s="549" t="s">
        <v>233</v>
      </c>
      <c r="E74" s="550"/>
      <c r="F74" s="550"/>
      <c r="G74" s="550"/>
      <c r="H74" s="550"/>
      <c r="I74" s="551"/>
      <c r="J74" s="97">
        <v>17</v>
      </c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</f>
        <v>0</v>
      </c>
      <c r="R74" s="409"/>
    </row>
    <row r="75" spans="1:23" x14ac:dyDescent="0.3">
      <c r="A75" s="95" t="s">
        <v>75</v>
      </c>
      <c r="B75" s="434">
        <v>27</v>
      </c>
      <c r="C75" s="77"/>
      <c r="D75" s="463"/>
      <c r="E75" s="543"/>
      <c r="F75" s="543"/>
      <c r="G75" s="543"/>
      <c r="H75" s="543"/>
      <c r="I75" s="54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</f>
        <v>2880</v>
      </c>
      <c r="R75" s="406"/>
    </row>
    <row r="76" spans="1:23" x14ac:dyDescent="0.3">
      <c r="A76" s="95" t="s">
        <v>77</v>
      </c>
      <c r="B76" s="434">
        <v>27</v>
      </c>
      <c r="C76" s="77"/>
      <c r="D76" s="463"/>
      <c r="E76" s="543"/>
      <c r="F76" s="543"/>
      <c r="G76" s="543"/>
      <c r="H76" s="543"/>
      <c r="I76" s="54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233</v>
      </c>
      <c r="Q76" s="94">
        <f>'1'!Q76+'2'!P76+'3'!P76+'4'!P76+'5'!P76+'6'!P76+'7'!P76</f>
        <v>594</v>
      </c>
      <c r="R76" s="406"/>
    </row>
    <row r="77" spans="1:23" x14ac:dyDescent="0.3">
      <c r="A77" s="95" t="s">
        <v>79</v>
      </c>
      <c r="B77" s="434">
        <v>27</v>
      </c>
      <c r="C77" s="77"/>
      <c r="D77" s="494"/>
      <c r="E77" s="495"/>
      <c r="F77" s="495"/>
      <c r="G77" s="495"/>
      <c r="H77" s="495"/>
      <c r="I77" s="496"/>
      <c r="J77" s="97"/>
      <c r="K77" s="391"/>
      <c r="L77" s="486" t="s">
        <v>70</v>
      </c>
      <c r="M77" s="487"/>
      <c r="N77" s="488"/>
      <c r="O77" s="405" t="s">
        <v>28</v>
      </c>
      <c r="P77" s="142">
        <v>233</v>
      </c>
      <c r="Q77" s="94">
        <f>'1'!Q77+'2'!P77+'3'!P77+'4'!P77+'5'!P77+'6'!P77+'7'!P77</f>
        <v>594</v>
      </c>
      <c r="R77" s="406"/>
    </row>
    <row r="78" spans="1:23" x14ac:dyDescent="0.3">
      <c r="A78" s="109" t="s">
        <v>82</v>
      </c>
      <c r="B78" s="435">
        <v>24</v>
      </c>
      <c r="C78" s="111"/>
      <c r="D78" s="549" t="s">
        <v>234</v>
      </c>
      <c r="E78" s="550"/>
      <c r="F78" s="550"/>
      <c r="G78" s="550"/>
      <c r="H78" s="550"/>
      <c r="I78" s="551"/>
      <c r="J78" s="436">
        <v>5</v>
      </c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</f>
        <v>0</v>
      </c>
      <c r="R78" s="406"/>
    </row>
    <row r="79" spans="1:23" x14ac:dyDescent="0.3">
      <c r="A79" s="114"/>
      <c r="B79" s="115">
        <f>SUM(B55:B78)</f>
        <v>485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233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1207</v>
      </c>
      <c r="Q79" s="94">
        <f>'1'!Q79+'2'!P79+'3'!P79+'4'!P79+'5'!P79+'6'!P79+'7'!P79</f>
        <v>2286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0.83819444444444446</v>
      </c>
      <c r="Q80" s="431">
        <f>Q79/Q75</f>
        <v>0.79374999999999996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0.83819444444444446</v>
      </c>
      <c r="Q81" s="165">
        <f>Q79/Q60</f>
        <v>0.22678571428571428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51.023314001657006</v>
      </c>
      <c r="Q82" s="150">
        <f>(C26/1000)/(Q79/60)</f>
        <v>51.660236220472441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42.767458333333337</v>
      </c>
      <c r="Q83" s="113">
        <f>(C26/1000)/(Q75/60)</f>
        <v>41.005312500000002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32815</v>
      </c>
      <c r="Q84" s="100">
        <f>'1'!Q84+'2'!P84+'3'!P84+'4'!P84+'5'!P84+'6'!P84+'7'!P84</f>
        <v>77970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32.387229473119042</v>
      </c>
      <c r="Q85" s="124">
        <f>Q84/(K27/1000)</f>
        <v>40.424160759271196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194.76</v>
      </c>
      <c r="Q86" s="100">
        <f>'1'!Q86+'2'!P86+'3'!P86+'4'!P86+'5'!P86+'6'!P86+'7'!P86</f>
        <v>432.21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193.80319363303371</v>
      </c>
      <c r="Q87" s="124">
        <f>(Q86*1000)/(K26/1000)</f>
        <v>226.19215211986128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125</v>
      </c>
      <c r="Q88" s="100">
        <f>'1'!Q88+'2'!P88+'3'!P88+'4'!P88+'5'!P88+'6'!P88+'7'!P88</f>
        <v>398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0.12438590677823584</v>
      </c>
      <c r="Q89" s="124">
        <f>Q88/(K26/1000)</f>
        <v>0.20828874052822652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15" priority="1" operator="lessThan">
      <formula>0.0018</formula>
    </cfRule>
  </conditionalFormatting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A46" zoomScaleNormal="100" workbookViewId="0">
      <selection activeCell="R59" sqref="R59"/>
    </sheetView>
  </sheetViews>
  <sheetFormatPr defaultRowHeight="16.5" x14ac:dyDescent="0.3"/>
  <cols>
    <col min="1" max="1" width="7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'7'!A3:Q3+1</f>
        <v>46030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200</v>
      </c>
      <c r="B7" s="15">
        <v>69</v>
      </c>
      <c r="C7" s="15">
        <v>145521</v>
      </c>
      <c r="D7" s="16"/>
      <c r="E7" s="17"/>
      <c r="F7" s="18"/>
      <c r="G7" s="19" t="s">
        <v>195</v>
      </c>
      <c r="H7" s="20" t="s">
        <v>246</v>
      </c>
      <c r="I7" s="21" t="s">
        <v>202</v>
      </c>
      <c r="J7" s="22">
        <v>69</v>
      </c>
      <c r="K7" s="17">
        <v>144051</v>
      </c>
      <c r="L7" s="23">
        <f t="shared" ref="L7:L16" si="0">K7/C7</f>
        <v>0.98989836518440633</v>
      </c>
      <c r="M7" s="17"/>
      <c r="N7" s="22"/>
      <c r="O7" s="134"/>
      <c r="P7" s="134"/>
      <c r="Q7" s="134"/>
    </row>
    <row r="8" spans="1:17" x14ac:dyDescent="0.3">
      <c r="A8" s="24" t="s">
        <v>261</v>
      </c>
      <c r="B8" s="25">
        <v>192</v>
      </c>
      <c r="C8" s="25">
        <v>400704</v>
      </c>
      <c r="D8" s="26"/>
      <c r="E8" s="27"/>
      <c r="F8" s="28"/>
      <c r="G8" s="29" t="s">
        <v>195</v>
      </c>
      <c r="H8" s="30" t="s">
        <v>259</v>
      </c>
      <c r="I8" s="31" t="s">
        <v>262</v>
      </c>
      <c r="J8" s="32">
        <v>192</v>
      </c>
      <c r="K8" s="33">
        <f>392984+2054</f>
        <v>395038</v>
      </c>
      <c r="L8" s="34">
        <f t="shared" si="0"/>
        <v>0.98585988659958468</v>
      </c>
      <c r="M8" s="33"/>
      <c r="N8" s="32"/>
      <c r="O8" s="135"/>
      <c r="P8" s="135"/>
      <c r="Q8" s="135"/>
    </row>
    <row r="9" spans="1:17" x14ac:dyDescent="0.3">
      <c r="A9" s="24" t="s">
        <v>261</v>
      </c>
      <c r="B9" s="25">
        <v>144</v>
      </c>
      <c r="C9" s="25">
        <v>300528</v>
      </c>
      <c r="D9" s="26"/>
      <c r="E9" s="27"/>
      <c r="F9" s="28"/>
      <c r="G9" s="29" t="s">
        <v>195</v>
      </c>
      <c r="H9" s="30" t="s">
        <v>260</v>
      </c>
      <c r="I9" s="31" t="s">
        <v>262</v>
      </c>
      <c r="J9" s="32">
        <v>144</v>
      </c>
      <c r="K9" s="33">
        <v>295842</v>
      </c>
      <c r="L9" s="34">
        <f t="shared" si="0"/>
        <v>0.98440744290049509</v>
      </c>
      <c r="M9" s="33"/>
      <c r="N9" s="32"/>
      <c r="O9" s="135"/>
      <c r="P9" s="135"/>
      <c r="Q9" s="135"/>
    </row>
    <row r="10" spans="1:17" x14ac:dyDescent="0.3">
      <c r="A10" s="35" t="s">
        <v>236</v>
      </c>
      <c r="B10" s="36">
        <v>101</v>
      </c>
      <c r="C10" s="36">
        <v>214019</v>
      </c>
      <c r="D10" s="37"/>
      <c r="E10" s="38"/>
      <c r="F10" s="18"/>
      <c r="G10" s="39" t="s">
        <v>1</v>
      </c>
      <c r="H10" s="40">
        <v>5.5</v>
      </c>
      <c r="I10" s="31" t="s">
        <v>237</v>
      </c>
      <c r="J10" s="41">
        <v>101</v>
      </c>
      <c r="K10" s="42">
        <v>211729</v>
      </c>
      <c r="L10" s="34">
        <f t="shared" si="0"/>
        <v>0.98930001541919177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506</v>
      </c>
      <c r="C16" s="48">
        <f>SUM(C7:C15)</f>
        <v>1060772</v>
      </c>
      <c r="D16" s="49">
        <f>SUM(D7:D15)</f>
        <v>0</v>
      </c>
      <c r="E16" s="50">
        <f>SUM(E7:E15)</f>
        <v>0</v>
      </c>
      <c r="F16" s="51">
        <f>E16/C16</f>
        <v>0</v>
      </c>
      <c r="G16" s="52"/>
      <c r="H16" s="2"/>
      <c r="I16" s="2"/>
      <c r="J16" s="53">
        <f>SUM(J7:J15)</f>
        <v>506</v>
      </c>
      <c r="K16" s="53">
        <f>SUM(K7:K15)</f>
        <v>1046660</v>
      </c>
      <c r="L16" s="51">
        <f t="shared" si="0"/>
        <v>0.98669648143050537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1046660</v>
      </c>
      <c r="L17" s="51">
        <f>K17/C16</f>
        <v>0.98669648143050537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'7'!B22+B10</f>
        <v>661</v>
      </c>
      <c r="C22" s="57">
        <f>'7'!C22+C10</f>
        <v>1399835</v>
      </c>
      <c r="D22" s="57">
        <f>'7'!D22+D10</f>
        <v>1</v>
      </c>
      <c r="E22" s="57">
        <f>'7'!E22+E10</f>
        <v>2109</v>
      </c>
      <c r="F22" s="423">
        <f>E22/C22</f>
        <v>1.5066061357231389E-3</v>
      </c>
      <c r="G22" s="58" t="s">
        <v>1</v>
      </c>
      <c r="H22" s="59"/>
      <c r="I22" s="59"/>
      <c r="J22" s="57">
        <f>'7'!J22+J10</f>
        <v>655</v>
      </c>
      <c r="K22" s="57">
        <f>'7'!K22+K10</f>
        <v>1369339</v>
      </c>
      <c r="L22" s="60">
        <f>K22/C22</f>
        <v>0.9782145752892305</v>
      </c>
      <c r="M22" s="57">
        <f>'7'!M22+M10</f>
        <v>5</v>
      </c>
      <c r="N22" s="57">
        <f>'7'!N22+N10</f>
        <v>10326</v>
      </c>
      <c r="O22" s="135"/>
      <c r="P22" s="135"/>
      <c r="Q22" s="135"/>
    </row>
    <row r="23" spans="1:17" x14ac:dyDescent="0.3">
      <c r="A23" s="521"/>
      <c r="B23" s="61">
        <f>'7'!B23+B7+B8+B9</f>
        <v>776</v>
      </c>
      <c r="C23" s="61">
        <f>'7'!C23+C7+C8+C9</f>
        <v>1629192</v>
      </c>
      <c r="D23" s="61">
        <f>'7'!D23+D7+D8+D9</f>
        <v>5</v>
      </c>
      <c r="E23" s="61">
        <f>'7'!E23+E7+E8+E9</f>
        <v>10545</v>
      </c>
      <c r="F23" s="424">
        <f>E23/C23</f>
        <v>6.4725336240295805E-3</v>
      </c>
      <c r="G23" s="381" t="s">
        <v>195</v>
      </c>
      <c r="H23" s="59"/>
      <c r="I23" s="59"/>
      <c r="J23" s="61">
        <f>'7'!J23+J7+J8+J9</f>
        <v>767</v>
      </c>
      <c r="K23" s="61">
        <f>'7'!K23+K7+K8+K9</f>
        <v>1588130</v>
      </c>
      <c r="L23" s="382">
        <f t="shared" ref="L23:L24" si="1">K23/C23</f>
        <v>0.97479609524230415</v>
      </c>
      <c r="M23" s="61">
        <f>'7'!M23+M7+M8+M9</f>
        <v>4</v>
      </c>
      <c r="N23" s="61">
        <f>'7'!N23+N7+N8+N9</f>
        <v>7662</v>
      </c>
      <c r="O23" s="135"/>
      <c r="P23" s="135"/>
      <c r="Q23" s="135"/>
    </row>
    <row r="24" spans="1:17" x14ac:dyDescent="0.3">
      <c r="A24" s="521"/>
      <c r="B24" s="61">
        <f>'7'!B24</f>
        <v>0</v>
      </c>
      <c r="C24" s="61">
        <f>'7'!C24</f>
        <v>0</v>
      </c>
      <c r="D24" s="61">
        <f>'7'!D24</f>
        <v>0</v>
      </c>
      <c r="E24" s="61">
        <f>'7'!E24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'7'!J24</f>
        <v>0</v>
      </c>
      <c r="K24" s="61">
        <f>'7'!K24</f>
        <v>0</v>
      </c>
      <c r="L24" s="382" t="e">
        <f t="shared" si="1"/>
        <v>#DIV/0!</v>
      </c>
      <c r="M24" s="61">
        <f>'7'!M24</f>
        <v>0</v>
      </c>
      <c r="N24" s="61">
        <f>'7'!N24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1437</v>
      </c>
      <c r="C26" s="68">
        <f>SUM(C21:C25)</f>
        <v>3029027</v>
      </c>
      <c r="D26" s="49">
        <f>SUM(D21:D25)</f>
        <v>6</v>
      </c>
      <c r="E26" s="69">
        <f>SUM(E22:E25)</f>
        <v>12654</v>
      </c>
      <c r="F26" s="51">
        <f>E26/C26</f>
        <v>4.1775791367987146E-3</v>
      </c>
      <c r="G26" s="51"/>
      <c r="H26" s="70"/>
      <c r="I26" s="70"/>
      <c r="J26" s="71">
        <f>SUM(J22:J25)</f>
        <v>1422</v>
      </c>
      <c r="K26" s="68">
        <f>SUM(K22:K25)</f>
        <v>2957469</v>
      </c>
      <c r="L26" s="51">
        <f>K26/C26</f>
        <v>0.97637591213284003</v>
      </c>
      <c r="M26" s="71">
        <f>SUM(M22:M25)</f>
        <v>9</v>
      </c>
      <c r="N26" s="54">
        <f>SUM(N22:N25)</f>
        <v>17988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2975457</v>
      </c>
      <c r="L27" s="51">
        <f>K27/C26</f>
        <v>0.98231445279292662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'7'!A30</f>
        <v>BIC</v>
      </c>
      <c r="B30" s="307" t="str">
        <f>'7'!B30</f>
        <v>P.6</v>
      </c>
      <c r="C30" s="307" t="str">
        <f>'7'!C30</f>
        <v>BjTPG280</v>
      </c>
      <c r="D30" s="308">
        <f>'7'!D30</f>
        <v>239</v>
      </c>
      <c r="E30" s="308">
        <f>'7'!E30</f>
        <v>497038</v>
      </c>
      <c r="F30" s="79"/>
      <c r="G30" s="307" t="str">
        <f>'7'!G30</f>
        <v>WR</v>
      </c>
      <c r="H30" s="309">
        <f>'7'!H30</f>
        <v>0</v>
      </c>
      <c r="I30" s="309">
        <f>'7'!I30</f>
        <v>0</v>
      </c>
      <c r="J30" s="170">
        <f>'7'!J30</f>
        <v>0</v>
      </c>
      <c r="K30" s="310">
        <f>'7'!K30</f>
        <v>0</v>
      </c>
      <c r="L30" s="79"/>
      <c r="M30" s="307" t="str">
        <f>'7'!M30</f>
        <v>WR</v>
      </c>
      <c r="N30" s="309">
        <f>'7'!N30</f>
        <v>0</v>
      </c>
      <c r="O30" s="309">
        <f>'7'!O30</f>
        <v>0</v>
      </c>
      <c r="P30" s="170">
        <f>'7'!P30</f>
        <v>0</v>
      </c>
      <c r="Q30" s="310">
        <f>'7'!Q30</f>
        <v>0</v>
      </c>
    </row>
    <row r="31" spans="1:17" x14ac:dyDescent="0.3">
      <c r="A31" s="307" t="str">
        <f>'7'!A31</f>
        <v>WR</v>
      </c>
      <c r="B31" s="307">
        <f>'7'!B31</f>
        <v>6.5</v>
      </c>
      <c r="C31" s="307">
        <f>'7'!C31</f>
        <v>8</v>
      </c>
      <c r="D31" s="308">
        <f>'7'!D31</f>
        <v>144</v>
      </c>
      <c r="E31" s="308">
        <f>'7'!E31</f>
        <v>301505</v>
      </c>
      <c r="F31" s="135"/>
      <c r="G31" s="307" t="str">
        <f>'7'!G31</f>
        <v>WR</v>
      </c>
      <c r="H31" s="309">
        <f>'7'!H31</f>
        <v>0</v>
      </c>
      <c r="I31" s="309">
        <f>'7'!I31</f>
        <v>0</v>
      </c>
      <c r="J31" s="170">
        <f>'7'!J31</f>
        <v>0</v>
      </c>
      <c r="K31" s="310">
        <f>'7'!K31</f>
        <v>0</v>
      </c>
      <c r="L31" s="135"/>
      <c r="M31" s="307" t="str">
        <f>'7'!M31</f>
        <v>WR</v>
      </c>
      <c r="N31" s="309">
        <f>'7'!N31</f>
        <v>0</v>
      </c>
      <c r="O31" s="309">
        <f>'7'!O31</f>
        <v>0</v>
      </c>
      <c r="P31" s="170">
        <f>'7'!P31</f>
        <v>0</v>
      </c>
      <c r="Q31" s="310">
        <f>'7'!Q31</f>
        <v>0</v>
      </c>
    </row>
    <row r="32" spans="1:17" x14ac:dyDescent="0.3">
      <c r="A32" s="307" t="str">
        <f>'7'!A32</f>
        <v>WR</v>
      </c>
      <c r="B32" s="307">
        <f>'7'!B32</f>
        <v>6.5</v>
      </c>
      <c r="C32" s="307">
        <f>'7'!C32</f>
        <v>10</v>
      </c>
      <c r="D32" s="308">
        <f>'7'!D32</f>
        <v>48</v>
      </c>
      <c r="E32" s="308">
        <f>'7'!E32</f>
        <v>99149</v>
      </c>
      <c r="F32" s="135"/>
      <c r="G32" s="307" t="str">
        <f>'7'!G32</f>
        <v>WR</v>
      </c>
      <c r="H32" s="309">
        <f>'7'!H32</f>
        <v>0</v>
      </c>
      <c r="I32" s="309">
        <f>'7'!I32</f>
        <v>0</v>
      </c>
      <c r="J32" s="170">
        <f>'7'!J32</f>
        <v>0</v>
      </c>
      <c r="K32" s="310">
        <f>'7'!K32</f>
        <v>0</v>
      </c>
      <c r="L32" s="135"/>
      <c r="M32" s="307" t="str">
        <f>'7'!M32</f>
        <v>WR</v>
      </c>
      <c r="N32" s="309">
        <f>'7'!N32</f>
        <v>0</v>
      </c>
      <c r="O32" s="309">
        <f>'7'!O32</f>
        <v>0</v>
      </c>
      <c r="P32" s="170">
        <f>'7'!P32</f>
        <v>0</v>
      </c>
      <c r="Q32" s="310">
        <f>'7'!Q32</f>
        <v>0</v>
      </c>
    </row>
    <row r="33" spans="1:20" x14ac:dyDescent="0.3">
      <c r="A33" s="307" t="str">
        <f>'7'!A33</f>
        <v>WR</v>
      </c>
      <c r="B33" s="307">
        <f>'7'!B33</f>
        <v>6.5</v>
      </c>
      <c r="C33" s="307">
        <f>'7'!C33</f>
        <v>15</v>
      </c>
      <c r="D33" s="308">
        <f>'7'!D33</f>
        <v>6</v>
      </c>
      <c r="E33" s="308">
        <f>'7'!E33</f>
        <v>12304</v>
      </c>
      <c r="F33" s="135"/>
      <c r="G33" s="307" t="str">
        <f>'7'!G33</f>
        <v>WR</v>
      </c>
      <c r="H33" s="309">
        <f>'7'!H33</f>
        <v>0</v>
      </c>
      <c r="I33" s="309">
        <f>'7'!I33</f>
        <v>0</v>
      </c>
      <c r="J33" s="170">
        <f>'7'!J33</f>
        <v>0</v>
      </c>
      <c r="K33" s="310">
        <f>'7'!K33</f>
        <v>0</v>
      </c>
      <c r="L33" s="135"/>
      <c r="M33" s="307" t="str">
        <f>'7'!M33</f>
        <v>WR</v>
      </c>
      <c r="N33" s="309">
        <f>'7'!N33</f>
        <v>0</v>
      </c>
      <c r="O33" s="309">
        <f>'7'!O33</f>
        <v>0</v>
      </c>
      <c r="P33" s="170">
        <f>'7'!P33</f>
        <v>0</v>
      </c>
      <c r="Q33" s="310">
        <f>'7'!Q33</f>
        <v>0</v>
      </c>
    </row>
    <row r="34" spans="1:20" x14ac:dyDescent="0.3">
      <c r="A34" s="307" t="str">
        <f>'7'!A34</f>
        <v>WR</v>
      </c>
      <c r="B34" s="307">
        <f>'7'!B34</f>
        <v>5.5</v>
      </c>
      <c r="C34" s="307">
        <f>'7'!C34</f>
        <v>6</v>
      </c>
      <c r="D34" s="308">
        <f>'7'!D34+J10</f>
        <v>149</v>
      </c>
      <c r="E34" s="308">
        <f>'7'!E34+K10</f>
        <v>311832</v>
      </c>
      <c r="F34" s="135"/>
      <c r="G34" s="307" t="str">
        <f>'7'!G34</f>
        <v>WR</v>
      </c>
      <c r="H34" s="309">
        <f>'7'!H34</f>
        <v>0</v>
      </c>
      <c r="I34" s="309">
        <f>'7'!I34</f>
        <v>0</v>
      </c>
      <c r="J34" s="170">
        <f>'7'!J34</f>
        <v>0</v>
      </c>
      <c r="K34" s="310">
        <f>'7'!K34</f>
        <v>0</v>
      </c>
      <c r="L34" s="135"/>
      <c r="M34" s="307" t="str">
        <f>'7'!M34</f>
        <v>WR</v>
      </c>
      <c r="N34" s="309">
        <f>'7'!N34</f>
        <v>0</v>
      </c>
      <c r="O34" s="309">
        <f>'7'!O34</f>
        <v>0</v>
      </c>
      <c r="P34" s="170">
        <f>'7'!P34</f>
        <v>0</v>
      </c>
      <c r="Q34" s="310">
        <f>'7'!Q34</f>
        <v>0</v>
      </c>
    </row>
    <row r="35" spans="1:20" x14ac:dyDescent="0.3">
      <c r="A35" s="307" t="str">
        <f>'7'!A35</f>
        <v>WR</v>
      </c>
      <c r="B35" s="307">
        <f>'7'!B35</f>
        <v>5.5</v>
      </c>
      <c r="C35" s="307" t="str">
        <f>'7'!C35</f>
        <v>8.A</v>
      </c>
      <c r="D35" s="308">
        <f>'7'!D35</f>
        <v>48</v>
      </c>
      <c r="E35" s="308">
        <f>'7'!E35</f>
        <v>100840</v>
      </c>
      <c r="F35" s="135"/>
      <c r="G35" s="307" t="str">
        <f>'7'!G35</f>
        <v>WR</v>
      </c>
      <c r="H35" s="309">
        <f>'7'!H35</f>
        <v>0</v>
      </c>
      <c r="I35" s="309">
        <f>'7'!I35</f>
        <v>0</v>
      </c>
      <c r="J35" s="170">
        <f>'7'!J35</f>
        <v>0</v>
      </c>
      <c r="K35" s="310">
        <f>'7'!K35</f>
        <v>0</v>
      </c>
      <c r="L35" s="135"/>
      <c r="M35" s="307" t="str">
        <f>'7'!M35</f>
        <v>WR</v>
      </c>
      <c r="N35" s="309">
        <f>'7'!N35</f>
        <v>0</v>
      </c>
      <c r="O35" s="309">
        <f>'7'!O35</f>
        <v>0</v>
      </c>
      <c r="P35" s="170">
        <f>'7'!P35</f>
        <v>0</v>
      </c>
      <c r="Q35" s="310">
        <f>'7'!Q35</f>
        <v>0</v>
      </c>
    </row>
    <row r="36" spans="1:20" x14ac:dyDescent="0.3">
      <c r="A36" s="307" t="str">
        <f>'7'!A36</f>
        <v>WR</v>
      </c>
      <c r="B36" s="307">
        <f>'7'!B36</f>
        <v>5.5</v>
      </c>
      <c r="C36" s="307" t="str">
        <f>'7'!C36</f>
        <v>22.A</v>
      </c>
      <c r="D36" s="308">
        <f>'7'!D36</f>
        <v>140</v>
      </c>
      <c r="E36" s="308">
        <f>'7'!E36</f>
        <v>291528</v>
      </c>
      <c r="F36" s="135"/>
      <c r="G36" s="307" t="str">
        <f>'7'!G36</f>
        <v>WR</v>
      </c>
      <c r="H36" s="309">
        <f>'7'!H36</f>
        <v>0</v>
      </c>
      <c r="I36" s="309">
        <f>'7'!I36</f>
        <v>0</v>
      </c>
      <c r="J36" s="170">
        <f>'7'!J36</f>
        <v>0</v>
      </c>
      <c r="K36" s="310">
        <f>'7'!K36</f>
        <v>0</v>
      </c>
      <c r="L36" s="135"/>
      <c r="M36" s="307" t="str">
        <f>'7'!M36</f>
        <v>WR</v>
      </c>
      <c r="N36" s="309">
        <f>'7'!N36</f>
        <v>0</v>
      </c>
      <c r="O36" s="309">
        <f>'7'!O36</f>
        <v>0</v>
      </c>
      <c r="P36" s="170">
        <f>'7'!P36</f>
        <v>0</v>
      </c>
      <c r="Q36" s="310">
        <f>'7'!Q36</f>
        <v>0</v>
      </c>
    </row>
    <row r="37" spans="1:20" x14ac:dyDescent="0.3">
      <c r="A37" s="307" t="str">
        <f>'7'!A37</f>
        <v>WR</v>
      </c>
      <c r="B37" s="307">
        <f>'7'!B37</f>
        <v>5.5</v>
      </c>
      <c r="C37" s="307" t="str">
        <f>'7'!C37</f>
        <v>Y.11</v>
      </c>
      <c r="D37" s="308">
        <f>'7'!D37</f>
        <v>96</v>
      </c>
      <c r="E37" s="308">
        <f>'7'!E37</f>
        <v>201333</v>
      </c>
      <c r="F37" s="135"/>
      <c r="G37" s="307" t="str">
        <f>'7'!G37</f>
        <v>WR</v>
      </c>
      <c r="H37" s="309">
        <f>'7'!H37</f>
        <v>0</v>
      </c>
      <c r="I37" s="309">
        <f>'7'!I37</f>
        <v>0</v>
      </c>
      <c r="J37" s="170">
        <f>'7'!J37</f>
        <v>0</v>
      </c>
      <c r="K37" s="310">
        <f>'7'!K37</f>
        <v>0</v>
      </c>
      <c r="L37" s="135"/>
      <c r="M37" s="307" t="str">
        <f>'7'!M37</f>
        <v>WR</v>
      </c>
      <c r="N37" s="309">
        <f>'7'!N37</f>
        <v>0</v>
      </c>
      <c r="O37" s="309">
        <f>'7'!O37</f>
        <v>0</v>
      </c>
      <c r="P37" s="170">
        <f>'7'!P37</f>
        <v>0</v>
      </c>
      <c r="Q37" s="310">
        <f>'7'!Q37</f>
        <v>0</v>
      </c>
    </row>
    <row r="38" spans="1:20" x14ac:dyDescent="0.3">
      <c r="A38" s="307" t="str">
        <f>'7'!A38</f>
        <v>WR</v>
      </c>
      <c r="B38" s="307">
        <f>'7'!B38</f>
        <v>5.5</v>
      </c>
      <c r="C38" s="307" t="str">
        <f>'7'!C38</f>
        <v>67.A</v>
      </c>
      <c r="D38" s="308">
        <f>'7'!D38</f>
        <v>24</v>
      </c>
      <c r="E38" s="308">
        <f>'7'!E38</f>
        <v>50848</v>
      </c>
      <c r="F38" s="135"/>
      <c r="G38" s="307" t="str">
        <f>'7'!G38</f>
        <v>WR</v>
      </c>
      <c r="H38" s="309">
        <f>'7'!H38</f>
        <v>0</v>
      </c>
      <c r="I38" s="309">
        <f>'7'!I38</f>
        <v>0</v>
      </c>
      <c r="J38" s="170">
        <f>'7'!J38</f>
        <v>0</v>
      </c>
      <c r="K38" s="310">
        <f>'7'!K38</f>
        <v>0</v>
      </c>
      <c r="L38" s="135"/>
      <c r="M38" s="307" t="str">
        <f>'7'!M38</f>
        <v>WR</v>
      </c>
      <c r="N38" s="309">
        <f>'7'!N38</f>
        <v>0</v>
      </c>
      <c r="O38" s="309">
        <f>'7'!O38</f>
        <v>0</v>
      </c>
      <c r="P38" s="170">
        <f>'7'!P38</f>
        <v>0</v>
      </c>
      <c r="Q38" s="310">
        <f>'7'!Q38</f>
        <v>0</v>
      </c>
    </row>
    <row r="39" spans="1:20" x14ac:dyDescent="0.3">
      <c r="A39" s="307" t="str">
        <f>'7'!A39</f>
        <v>BIC</v>
      </c>
      <c r="B39" s="307" t="str">
        <f>'7'!B39</f>
        <v>P.8</v>
      </c>
      <c r="C39" s="307" t="str">
        <f>'7'!C39</f>
        <v>BjTPG280</v>
      </c>
      <c r="D39" s="308">
        <f>'7'!D39+J7</f>
        <v>192</v>
      </c>
      <c r="E39" s="308">
        <f>'7'!E39+K7</f>
        <v>400212</v>
      </c>
      <c r="F39" s="135"/>
      <c r="G39" s="307" t="str">
        <f>'7'!G39</f>
        <v>WR</v>
      </c>
      <c r="H39" s="309">
        <f>'7'!H39</f>
        <v>0</v>
      </c>
      <c r="I39" s="309">
        <f>'7'!I39</f>
        <v>0</v>
      </c>
      <c r="J39" s="170">
        <f>'7'!J39</f>
        <v>0</v>
      </c>
      <c r="K39" s="310">
        <f>'7'!K39</f>
        <v>0</v>
      </c>
      <c r="L39" s="135"/>
      <c r="M39" s="307" t="str">
        <f>'7'!M39</f>
        <v>WR</v>
      </c>
      <c r="N39" s="309">
        <f>'7'!N39</f>
        <v>0</v>
      </c>
      <c r="O39" s="309">
        <f>'7'!O39</f>
        <v>0</v>
      </c>
      <c r="P39" s="170">
        <f>'7'!P39</f>
        <v>0</v>
      </c>
      <c r="Q39" s="310">
        <f>'7'!Q39</f>
        <v>0</v>
      </c>
    </row>
    <row r="40" spans="1:20" x14ac:dyDescent="0.3">
      <c r="A40" s="307" t="s">
        <v>195</v>
      </c>
      <c r="B40" s="307" t="s">
        <v>259</v>
      </c>
      <c r="C40" s="307" t="s">
        <v>262</v>
      </c>
      <c r="D40" s="308">
        <f>J8</f>
        <v>192</v>
      </c>
      <c r="E40" s="308">
        <f>K8</f>
        <v>395038</v>
      </c>
      <c r="F40" s="135"/>
      <c r="G40" s="307" t="str">
        <f>'7'!G40</f>
        <v>WR</v>
      </c>
      <c r="H40" s="309">
        <f>'7'!H40</f>
        <v>0</v>
      </c>
      <c r="I40" s="309">
        <f>'7'!I40</f>
        <v>0</v>
      </c>
      <c r="J40" s="170">
        <f>'7'!J40</f>
        <v>0</v>
      </c>
      <c r="K40" s="310">
        <f>'7'!K40</f>
        <v>0</v>
      </c>
      <c r="L40" s="135"/>
      <c r="M40" s="307" t="str">
        <f>'7'!M40</f>
        <v>WR</v>
      </c>
      <c r="N40" s="309">
        <f>'7'!N40</f>
        <v>0</v>
      </c>
      <c r="O40" s="309">
        <f>'7'!O40</f>
        <v>0</v>
      </c>
      <c r="P40" s="170">
        <f>'7'!P40</f>
        <v>0</v>
      </c>
      <c r="Q40" s="310">
        <f>'7'!Q40</f>
        <v>0</v>
      </c>
    </row>
    <row r="41" spans="1:20" x14ac:dyDescent="0.3">
      <c r="A41" s="307" t="s">
        <v>195</v>
      </c>
      <c r="B41" s="307" t="s">
        <v>260</v>
      </c>
      <c r="C41" s="307" t="s">
        <v>262</v>
      </c>
      <c r="D41" s="308">
        <f>J9</f>
        <v>144</v>
      </c>
      <c r="E41" s="308">
        <f>K9</f>
        <v>295842</v>
      </c>
      <c r="F41" s="135"/>
      <c r="G41" s="307" t="str">
        <f>'7'!G41</f>
        <v>WR</v>
      </c>
      <c r="H41" s="309">
        <f>'7'!H41</f>
        <v>0</v>
      </c>
      <c r="I41" s="309">
        <f>'7'!I41</f>
        <v>0</v>
      </c>
      <c r="J41" s="170">
        <f>'7'!J41</f>
        <v>0</v>
      </c>
      <c r="K41" s="310">
        <f>'7'!K41</f>
        <v>0</v>
      </c>
      <c r="L41" s="135"/>
      <c r="M41" s="307" t="str">
        <f>'7'!M41</f>
        <v>WR</v>
      </c>
      <c r="N41" s="309">
        <f>'7'!N41</f>
        <v>0</v>
      </c>
      <c r="O41" s="309">
        <f>'7'!O41</f>
        <v>0</v>
      </c>
      <c r="P41" s="170">
        <f>'7'!P41</f>
        <v>0</v>
      </c>
      <c r="Q41" s="310">
        <f>'7'!Q41</f>
        <v>0</v>
      </c>
      <c r="S41" s="438"/>
      <c r="T41" s="438"/>
    </row>
    <row r="42" spans="1:20" x14ac:dyDescent="0.3">
      <c r="A42" s="307" t="str">
        <f>'7'!A42</f>
        <v>WR</v>
      </c>
      <c r="B42" s="307">
        <f>'7'!B42</f>
        <v>0</v>
      </c>
      <c r="C42" s="307">
        <f>'7'!C42</f>
        <v>0</v>
      </c>
      <c r="D42" s="308">
        <f>'7'!D42</f>
        <v>0</v>
      </c>
      <c r="E42" s="308">
        <f>'7'!E42</f>
        <v>0</v>
      </c>
      <c r="F42" s="135"/>
      <c r="G42" s="307" t="str">
        <f>'7'!G42</f>
        <v>WR</v>
      </c>
      <c r="H42" s="309">
        <f>'7'!H42</f>
        <v>0</v>
      </c>
      <c r="I42" s="309">
        <f>'7'!I42</f>
        <v>0</v>
      </c>
      <c r="J42" s="170">
        <f>'7'!J42</f>
        <v>0</v>
      </c>
      <c r="K42" s="310">
        <f>'7'!K42</f>
        <v>0</v>
      </c>
      <c r="L42" s="135"/>
      <c r="M42" s="307" t="str">
        <f>'7'!M42</f>
        <v>WR</v>
      </c>
      <c r="N42" s="309">
        <f>'7'!N42</f>
        <v>0</v>
      </c>
      <c r="O42" s="309">
        <f>'7'!O42</f>
        <v>0</v>
      </c>
      <c r="P42" s="170">
        <f>'7'!P42</f>
        <v>0</v>
      </c>
      <c r="Q42" s="310">
        <f>'7'!Q42</f>
        <v>0</v>
      </c>
    </row>
    <row r="43" spans="1:20" x14ac:dyDescent="0.3">
      <c r="A43" s="307" t="str">
        <f>'7'!A43</f>
        <v>WR</v>
      </c>
      <c r="B43" s="307">
        <f>'7'!B43</f>
        <v>0</v>
      </c>
      <c r="C43" s="307">
        <f>'7'!C43</f>
        <v>0</v>
      </c>
      <c r="D43" s="308">
        <f>'7'!D43</f>
        <v>0</v>
      </c>
      <c r="E43" s="308">
        <f>'7'!E43</f>
        <v>0</v>
      </c>
      <c r="F43" s="135"/>
      <c r="G43" s="307" t="str">
        <f>'7'!G43</f>
        <v>WR</v>
      </c>
      <c r="H43" s="309">
        <f>'7'!H43</f>
        <v>0</v>
      </c>
      <c r="I43" s="309">
        <f>'7'!I43</f>
        <v>0</v>
      </c>
      <c r="J43" s="170">
        <f>'7'!J43</f>
        <v>0</v>
      </c>
      <c r="K43" s="310">
        <f>'7'!K43</f>
        <v>0</v>
      </c>
      <c r="L43" s="135"/>
      <c r="M43" s="307" t="str">
        <f>'7'!M43</f>
        <v>WR</v>
      </c>
      <c r="N43" s="309">
        <f>'7'!N43</f>
        <v>0</v>
      </c>
      <c r="O43" s="309">
        <f>'7'!O43</f>
        <v>0</v>
      </c>
      <c r="P43" s="170">
        <f>'7'!P43</f>
        <v>0</v>
      </c>
      <c r="Q43" s="310">
        <f>'7'!Q43</f>
        <v>0</v>
      </c>
    </row>
    <row r="44" spans="1:20" x14ac:dyDescent="0.3">
      <c r="A44" s="307" t="str">
        <f>'7'!A44</f>
        <v>WR</v>
      </c>
      <c r="B44" s="307">
        <f>'7'!B44</f>
        <v>0</v>
      </c>
      <c r="C44" s="307">
        <f>'7'!C44</f>
        <v>0</v>
      </c>
      <c r="D44" s="308">
        <f>'7'!D44</f>
        <v>0</v>
      </c>
      <c r="E44" s="308">
        <f>'7'!E44</f>
        <v>0</v>
      </c>
      <c r="F44" s="135"/>
      <c r="G44" s="307" t="str">
        <f>'7'!G44</f>
        <v>WR</v>
      </c>
      <c r="H44" s="309">
        <f>'7'!H44</f>
        <v>0</v>
      </c>
      <c r="I44" s="309">
        <f>'7'!I44</f>
        <v>0</v>
      </c>
      <c r="J44" s="170">
        <f>'7'!J44</f>
        <v>0</v>
      </c>
      <c r="K44" s="310">
        <f>'7'!K44</f>
        <v>0</v>
      </c>
      <c r="L44" s="135"/>
      <c r="M44" s="307" t="str">
        <f>'7'!M44</f>
        <v>WR</v>
      </c>
      <c r="N44" s="309">
        <f>'7'!N44</f>
        <v>0</v>
      </c>
      <c r="O44" s="309">
        <f>'7'!O44</f>
        <v>0</v>
      </c>
      <c r="P44" s="170">
        <f>'7'!P44</f>
        <v>0</v>
      </c>
      <c r="Q44" s="310">
        <f>'7'!Q44</f>
        <v>0</v>
      </c>
    </row>
    <row r="45" spans="1:20" x14ac:dyDescent="0.3">
      <c r="A45" s="307" t="str">
        <f>'7'!A45</f>
        <v>WR</v>
      </c>
      <c r="B45" s="307">
        <f>'7'!B45</f>
        <v>0</v>
      </c>
      <c r="C45" s="307">
        <f>'7'!C45</f>
        <v>0</v>
      </c>
      <c r="D45" s="308">
        <f>'7'!D45</f>
        <v>0</v>
      </c>
      <c r="E45" s="308">
        <f>'7'!E45</f>
        <v>0</v>
      </c>
      <c r="F45" s="135"/>
      <c r="G45" s="307" t="str">
        <f>'7'!G45</f>
        <v>WR</v>
      </c>
      <c r="H45" s="309">
        <f>'7'!H45</f>
        <v>0</v>
      </c>
      <c r="I45" s="309">
        <f>'7'!I45</f>
        <v>0</v>
      </c>
      <c r="J45" s="170">
        <f>'7'!J45</f>
        <v>0</v>
      </c>
      <c r="K45" s="310">
        <f>'7'!K45</f>
        <v>0</v>
      </c>
      <c r="L45" s="135"/>
      <c r="M45" s="307" t="str">
        <f>'7'!M45</f>
        <v>WR</v>
      </c>
      <c r="N45" s="309">
        <f>'7'!N45</f>
        <v>0</v>
      </c>
      <c r="O45" s="309">
        <f>'7'!O45</f>
        <v>0</v>
      </c>
      <c r="P45" s="170">
        <f>'7'!P45</f>
        <v>0</v>
      </c>
      <c r="Q45" s="310">
        <f>'7'!Q45</f>
        <v>0</v>
      </c>
    </row>
    <row r="46" spans="1:20" x14ac:dyDescent="0.3">
      <c r="A46" s="307" t="str">
        <f>'7'!A46</f>
        <v>WR</v>
      </c>
      <c r="B46" s="307">
        <f>'7'!B46</f>
        <v>0</v>
      </c>
      <c r="C46" s="307">
        <f>'7'!C46</f>
        <v>0</v>
      </c>
      <c r="D46" s="308">
        <f>'7'!D46</f>
        <v>0</v>
      </c>
      <c r="E46" s="308">
        <f>'7'!E46</f>
        <v>0</v>
      </c>
      <c r="F46" s="135"/>
      <c r="G46" s="307" t="str">
        <f>'7'!G46</f>
        <v>WR</v>
      </c>
      <c r="H46" s="309">
        <f>'7'!H46</f>
        <v>0</v>
      </c>
      <c r="I46" s="309">
        <f>'7'!I46</f>
        <v>0</v>
      </c>
      <c r="J46" s="170">
        <f>'7'!J46</f>
        <v>0</v>
      </c>
      <c r="K46" s="310">
        <f>'7'!K46</f>
        <v>0</v>
      </c>
      <c r="L46" s="135"/>
      <c r="M46" s="307" t="str">
        <f>'7'!M46</f>
        <v>WR</v>
      </c>
      <c r="N46" s="309">
        <f>'7'!N46</f>
        <v>0</v>
      </c>
      <c r="O46" s="309">
        <f>'7'!O46</f>
        <v>0</v>
      </c>
      <c r="P46" s="170">
        <f>'7'!P46</f>
        <v>0</v>
      </c>
      <c r="Q46" s="310">
        <f>'7'!Q46</f>
        <v>0</v>
      </c>
    </row>
    <row r="47" spans="1:20" x14ac:dyDescent="0.3">
      <c r="A47" s="307" t="str">
        <f>'7'!A47</f>
        <v>WR</v>
      </c>
      <c r="B47" s="307">
        <f>'7'!B47</f>
        <v>0</v>
      </c>
      <c r="C47" s="307">
        <f>'7'!C47</f>
        <v>0</v>
      </c>
      <c r="D47" s="308">
        <f>'7'!D47</f>
        <v>0</v>
      </c>
      <c r="E47" s="308">
        <f>'7'!E47</f>
        <v>0</v>
      </c>
      <c r="F47" s="135"/>
      <c r="G47" s="307" t="str">
        <f>'7'!G47</f>
        <v>WR</v>
      </c>
      <c r="H47" s="309">
        <f>'7'!H47</f>
        <v>0</v>
      </c>
      <c r="I47" s="309">
        <f>'7'!I47</f>
        <v>0</v>
      </c>
      <c r="J47" s="170">
        <f>'7'!J47</f>
        <v>0</v>
      </c>
      <c r="K47" s="310">
        <f>'7'!K47</f>
        <v>0</v>
      </c>
      <c r="L47" s="135"/>
      <c r="M47" s="307" t="str">
        <f>'7'!M47</f>
        <v>WR</v>
      </c>
      <c r="N47" s="309">
        <f>'7'!N47</f>
        <v>0</v>
      </c>
      <c r="O47" s="309">
        <f>'7'!O47</f>
        <v>0</v>
      </c>
      <c r="P47" s="170">
        <f>'7'!P47</f>
        <v>0</v>
      </c>
      <c r="Q47" s="310">
        <f>'7'!Q47</f>
        <v>0</v>
      </c>
    </row>
    <row r="48" spans="1:20" x14ac:dyDescent="0.3">
      <c r="A48" s="307" t="str">
        <f>'7'!A48</f>
        <v>WR</v>
      </c>
      <c r="B48" s="307">
        <f>'7'!B48</f>
        <v>0</v>
      </c>
      <c r="C48" s="307">
        <f>'7'!C48</f>
        <v>0</v>
      </c>
      <c r="D48" s="308">
        <f>'7'!D48</f>
        <v>0</v>
      </c>
      <c r="E48" s="308">
        <f>'7'!E48</f>
        <v>0</v>
      </c>
      <c r="F48" s="135"/>
      <c r="G48" s="307" t="str">
        <f>'7'!G48</f>
        <v>WR</v>
      </c>
      <c r="H48" s="309">
        <f>'7'!H48</f>
        <v>0</v>
      </c>
      <c r="I48" s="309">
        <f>'7'!I48</f>
        <v>0</v>
      </c>
      <c r="J48" s="170">
        <f>'7'!J48</f>
        <v>0</v>
      </c>
      <c r="K48" s="310">
        <f>'7'!K48</f>
        <v>0</v>
      </c>
      <c r="L48" s="135"/>
      <c r="M48" s="307" t="str">
        <f>'7'!M48</f>
        <v>WR</v>
      </c>
      <c r="N48" s="309">
        <f>'7'!N48</f>
        <v>0</v>
      </c>
      <c r="O48" s="309">
        <f>'7'!O48</f>
        <v>0</v>
      </c>
      <c r="P48" s="170">
        <f>'7'!P48</f>
        <v>0</v>
      </c>
      <c r="Q48" s="310">
        <f>'7'!Q48</f>
        <v>0</v>
      </c>
    </row>
    <row r="49" spans="1:23" x14ac:dyDescent="0.3">
      <c r="A49" s="307" t="str">
        <f>'7'!A49</f>
        <v>WR</v>
      </c>
      <c r="B49" s="307">
        <f>'7'!B49</f>
        <v>0</v>
      </c>
      <c r="C49" s="307">
        <f>'7'!C49</f>
        <v>0</v>
      </c>
      <c r="D49" s="308">
        <f>'7'!D49</f>
        <v>0</v>
      </c>
      <c r="E49" s="308">
        <f>'7'!E49</f>
        <v>0</v>
      </c>
      <c r="F49" s="3"/>
      <c r="G49" s="307" t="str">
        <f>'7'!G49</f>
        <v>WR</v>
      </c>
      <c r="H49" s="309">
        <f>'7'!H49</f>
        <v>0</v>
      </c>
      <c r="I49" s="309">
        <f>'7'!I49</f>
        <v>0</v>
      </c>
      <c r="J49" s="170">
        <f>'7'!J49</f>
        <v>0</v>
      </c>
      <c r="K49" s="310">
        <f>'7'!K49</f>
        <v>0</v>
      </c>
      <c r="L49" s="3"/>
      <c r="M49" s="307" t="str">
        <f>'7'!M49</f>
        <v>WR</v>
      </c>
      <c r="N49" s="309">
        <f>'7'!N49</f>
        <v>0</v>
      </c>
      <c r="O49" s="309">
        <f>'7'!O49</f>
        <v>0</v>
      </c>
      <c r="P49" s="170">
        <f>'7'!P49</f>
        <v>0</v>
      </c>
      <c r="Q49" s="310">
        <f>'7'!Q49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46030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256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33">
        <v>27</v>
      </c>
      <c r="C55" s="21"/>
      <c r="D55" s="547"/>
      <c r="E55" s="548"/>
      <c r="F55" s="548"/>
      <c r="G55" s="548"/>
      <c r="H55" s="548"/>
      <c r="I55" s="548"/>
      <c r="J55" s="93"/>
      <c r="K55" s="391"/>
      <c r="L55" s="466" t="s">
        <v>26</v>
      </c>
      <c r="M55" s="467"/>
      <c r="N55" s="467"/>
      <c r="O55" s="392" t="s">
        <v>13</v>
      </c>
      <c r="P55" s="393">
        <f>C16</f>
        <v>1060772</v>
      </c>
      <c r="Q55" s="394">
        <f>C26</f>
        <v>3029027</v>
      </c>
      <c r="R55" s="395"/>
      <c r="S55" s="388">
        <f>DAY(A52)</f>
        <v>8</v>
      </c>
      <c r="T55" s="383">
        <f>S55-U55</f>
        <v>3</v>
      </c>
      <c r="U55" s="383">
        <f>'7'!U55</f>
        <v>5</v>
      </c>
    </row>
    <row r="56" spans="1:23" x14ac:dyDescent="0.3">
      <c r="A56" s="95" t="s">
        <v>37</v>
      </c>
      <c r="B56" s="434">
        <v>27</v>
      </c>
      <c r="C56" s="77"/>
      <c r="D56" s="544"/>
      <c r="E56" s="545"/>
      <c r="F56" s="545"/>
      <c r="G56" s="545"/>
      <c r="H56" s="545"/>
      <c r="I56" s="546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1046660</v>
      </c>
      <c r="Q56" s="398">
        <f>K27</f>
        <v>2975457</v>
      </c>
      <c r="R56" s="399"/>
    </row>
    <row r="57" spans="1:23" x14ac:dyDescent="0.3">
      <c r="A57" s="95" t="s">
        <v>39</v>
      </c>
      <c r="B57" s="434">
        <v>15</v>
      </c>
      <c r="C57" s="77"/>
      <c r="D57" s="544" t="s">
        <v>257</v>
      </c>
      <c r="E57" s="545"/>
      <c r="F57" s="545"/>
      <c r="G57" s="545"/>
      <c r="H57" s="545"/>
      <c r="I57" s="546"/>
      <c r="J57" s="97">
        <v>29</v>
      </c>
      <c r="K57" s="391"/>
      <c r="L57" s="468" t="s">
        <v>19</v>
      </c>
      <c r="M57" s="469"/>
      <c r="N57" s="469"/>
      <c r="O57" s="400" t="s">
        <v>14</v>
      </c>
      <c r="P57" s="401">
        <f>L17</f>
        <v>0.98669648143050537</v>
      </c>
      <c r="Q57" s="430">
        <f>L27</f>
        <v>0.98231445279292662</v>
      </c>
      <c r="R57" s="403">
        <v>0.98499999999999999</v>
      </c>
    </row>
    <row r="58" spans="1:23" x14ac:dyDescent="0.3">
      <c r="A58" s="95" t="s">
        <v>41</v>
      </c>
      <c r="B58" s="434">
        <v>2</v>
      </c>
      <c r="C58" s="77"/>
      <c r="D58" s="544" t="s">
        <v>258</v>
      </c>
      <c r="E58" s="545"/>
      <c r="F58" s="545"/>
      <c r="G58" s="545"/>
      <c r="H58" s="545"/>
      <c r="I58" s="546"/>
      <c r="J58" s="97">
        <v>57</v>
      </c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12654</v>
      </c>
      <c r="R58" s="395"/>
    </row>
    <row r="59" spans="1:23" x14ac:dyDescent="0.3">
      <c r="A59" s="95" t="s">
        <v>43</v>
      </c>
      <c r="B59" s="434">
        <v>18</v>
      </c>
      <c r="C59" s="77"/>
      <c r="D59" s="544" t="s">
        <v>251</v>
      </c>
      <c r="E59" s="545"/>
      <c r="F59" s="545"/>
      <c r="G59" s="545"/>
      <c r="H59" s="545"/>
      <c r="I59" s="546"/>
      <c r="J59" s="97">
        <v>5</v>
      </c>
      <c r="K59" s="391"/>
      <c r="L59" s="509"/>
      <c r="M59" s="510"/>
      <c r="N59" s="510"/>
      <c r="O59" s="400" t="s">
        <v>14</v>
      </c>
      <c r="P59" s="401">
        <f>F16</f>
        <v>0</v>
      </c>
      <c r="Q59" s="430">
        <f>F26</f>
        <v>4.1775791367987146E-3</v>
      </c>
      <c r="R59" s="404">
        <v>1.5E-3</v>
      </c>
    </row>
    <row r="60" spans="1:23" x14ac:dyDescent="0.3">
      <c r="A60" s="95" t="s">
        <v>45</v>
      </c>
      <c r="B60" s="434">
        <v>25</v>
      </c>
      <c r="C60" s="77"/>
      <c r="D60" s="463"/>
      <c r="E60" s="543"/>
      <c r="F60" s="543"/>
      <c r="G60" s="543"/>
      <c r="H60" s="543"/>
      <c r="I60" s="543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</f>
        <v>11520</v>
      </c>
      <c r="R60" s="406"/>
    </row>
    <row r="61" spans="1:23" x14ac:dyDescent="0.3">
      <c r="A61" s="95" t="s">
        <v>47</v>
      </c>
      <c r="B61" s="434">
        <v>24</v>
      </c>
      <c r="C61" s="77"/>
      <c r="D61" s="544" t="s">
        <v>251</v>
      </c>
      <c r="E61" s="545"/>
      <c r="F61" s="545"/>
      <c r="G61" s="545"/>
      <c r="H61" s="545"/>
      <c r="I61" s="546"/>
      <c r="J61" s="97">
        <v>3</v>
      </c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</f>
        <v>7200</v>
      </c>
      <c r="R61" s="395"/>
    </row>
    <row r="62" spans="1:23" x14ac:dyDescent="0.3">
      <c r="A62" s="95" t="s">
        <v>49</v>
      </c>
      <c r="B62" s="434">
        <v>26</v>
      </c>
      <c r="C62" s="77"/>
      <c r="D62" s="463"/>
      <c r="E62" s="543"/>
      <c r="F62" s="543"/>
      <c r="G62" s="543"/>
      <c r="H62" s="543"/>
      <c r="I62" s="543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</f>
        <v>7200</v>
      </c>
      <c r="R62" s="399"/>
    </row>
    <row r="63" spans="1:23" x14ac:dyDescent="0.3">
      <c r="A63" s="95" t="s">
        <v>51</v>
      </c>
      <c r="B63" s="434">
        <v>26</v>
      </c>
      <c r="C63" s="77"/>
      <c r="D63" s="463"/>
      <c r="E63" s="543"/>
      <c r="F63" s="543"/>
      <c r="G63" s="543"/>
      <c r="H63" s="543"/>
      <c r="I63" s="543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</f>
        <v>0</v>
      </c>
      <c r="R63" s="399"/>
    </row>
    <row r="64" spans="1:23" x14ac:dyDescent="0.3">
      <c r="A64" s="95" t="s">
        <v>53</v>
      </c>
      <c r="B64" s="434">
        <v>26</v>
      </c>
      <c r="C64" s="77"/>
      <c r="D64" s="463"/>
      <c r="E64" s="543"/>
      <c r="F64" s="543"/>
      <c r="G64" s="543"/>
      <c r="H64" s="543"/>
      <c r="I64" s="54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34">
        <v>27</v>
      </c>
      <c r="C65" s="77"/>
      <c r="D65" s="463"/>
      <c r="E65" s="543"/>
      <c r="F65" s="543"/>
      <c r="G65" s="543"/>
      <c r="H65" s="543"/>
      <c r="I65" s="54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214</v>
      </c>
      <c r="Q65" s="100">
        <f>'1'!Q65+'2'!P65+'3'!P65+'4'!P65+'5'!P65+'6'!P65+'7'!P65+'8'!P65</f>
        <v>485</v>
      </c>
      <c r="R65" s="395"/>
      <c r="S65" s="171" t="s">
        <v>56</v>
      </c>
      <c r="T65" s="172"/>
      <c r="U65" s="173" t="s">
        <v>151</v>
      </c>
      <c r="V65" s="174"/>
      <c r="W65" s="181">
        <f>+'7'!W65+'8'!V65</f>
        <v>2</v>
      </c>
    </row>
    <row r="66" spans="1:23" x14ac:dyDescent="0.3">
      <c r="A66" s="95" t="s">
        <v>57</v>
      </c>
      <c r="B66" s="434">
        <v>18</v>
      </c>
      <c r="C66" s="77"/>
      <c r="D66" s="463" t="s">
        <v>252</v>
      </c>
      <c r="E66" s="543"/>
      <c r="F66" s="543"/>
      <c r="G66" s="543"/>
      <c r="H66" s="543"/>
      <c r="I66" s="543"/>
      <c r="J66" s="97">
        <v>15</v>
      </c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+'7'!W66+'8'!V66</f>
        <v>4</v>
      </c>
    </row>
    <row r="67" spans="1:23" x14ac:dyDescent="0.3">
      <c r="A67" s="95" t="s">
        <v>59</v>
      </c>
      <c r="B67" s="434">
        <v>6</v>
      </c>
      <c r="C67" s="77"/>
      <c r="D67" s="463" t="s">
        <v>253</v>
      </c>
      <c r="E67" s="543"/>
      <c r="F67" s="543"/>
      <c r="G67" s="543"/>
      <c r="H67" s="543"/>
      <c r="I67" s="543"/>
      <c r="J67" s="97">
        <v>43</v>
      </c>
      <c r="K67" s="391"/>
      <c r="L67" s="502" t="s">
        <v>50</v>
      </c>
      <c r="M67" s="498"/>
      <c r="N67" s="498"/>
      <c r="O67" s="408" t="s">
        <v>28</v>
      </c>
      <c r="P67" s="138">
        <v>190</v>
      </c>
      <c r="Q67" s="99">
        <f>'1'!Q67+'2'!P67+'3'!P67+'4'!P67+'5'!P67+'6'!P67+'7'!P67+'8'!P67</f>
        <v>409</v>
      </c>
      <c r="R67" s="399"/>
      <c r="S67" s="377" t="s">
        <v>60</v>
      </c>
      <c r="T67" s="175"/>
      <c r="U67" s="176" t="s">
        <v>151</v>
      </c>
      <c r="V67" s="177"/>
      <c r="W67" s="182">
        <f>+'7'!W67+'8'!V67</f>
        <v>0</v>
      </c>
    </row>
    <row r="68" spans="1:23" x14ac:dyDescent="0.3">
      <c r="A68" s="95" t="s">
        <v>61</v>
      </c>
      <c r="B68" s="434">
        <v>24</v>
      </c>
      <c r="C68" s="77"/>
      <c r="D68" s="463"/>
      <c r="E68" s="543"/>
      <c r="F68" s="543"/>
      <c r="G68" s="543"/>
      <c r="H68" s="543"/>
      <c r="I68" s="543"/>
      <c r="J68" s="97"/>
      <c r="K68" s="391"/>
      <c r="L68" s="468" t="s">
        <v>52</v>
      </c>
      <c r="M68" s="469"/>
      <c r="N68" s="469"/>
      <c r="O68" s="85" t="s">
        <v>28</v>
      </c>
      <c r="P68" s="141">
        <v>24</v>
      </c>
      <c r="Q68" s="86">
        <f>'1'!Q68+'2'!P68+'3'!P68+'4'!P68+'5'!P68+'6'!P68+'7'!P68+'8'!P68</f>
        <v>76</v>
      </c>
      <c r="R68" s="409"/>
      <c r="S68" s="377" t="s">
        <v>62</v>
      </c>
      <c r="T68" s="175"/>
      <c r="U68" s="176" t="s">
        <v>151</v>
      </c>
      <c r="V68" s="177"/>
      <c r="W68" s="182">
        <f>+'7'!W68+'8'!V68</f>
        <v>0</v>
      </c>
    </row>
    <row r="69" spans="1:23" x14ac:dyDescent="0.3">
      <c r="A69" s="95" t="s">
        <v>63</v>
      </c>
      <c r="B69" s="434">
        <v>24</v>
      </c>
      <c r="C69" s="77"/>
      <c r="D69" s="463"/>
      <c r="E69" s="543"/>
      <c r="F69" s="543"/>
      <c r="G69" s="543"/>
      <c r="H69" s="543"/>
      <c r="I69" s="543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8</v>
      </c>
      <c r="Q69" s="100">
        <f>'1'!Q69+'2'!P69+'3'!P69+'4'!P69+'5'!P69+'6'!P69+'7'!P69+'8'!P69</f>
        <v>331</v>
      </c>
      <c r="R69" s="395"/>
      <c r="S69" s="376" t="s">
        <v>64</v>
      </c>
      <c r="T69" s="178"/>
      <c r="U69" s="179" t="s">
        <v>151</v>
      </c>
      <c r="V69" s="180"/>
      <c r="W69" s="183">
        <f>+'7'!W69+'8'!V69</f>
        <v>0</v>
      </c>
    </row>
    <row r="70" spans="1:23" x14ac:dyDescent="0.3">
      <c r="A70" s="95" t="s">
        <v>65</v>
      </c>
      <c r="B70" s="434">
        <v>24</v>
      </c>
      <c r="C70" s="77"/>
      <c r="D70" s="463"/>
      <c r="E70" s="543"/>
      <c r="F70" s="543"/>
      <c r="G70" s="543"/>
      <c r="H70" s="543"/>
      <c r="I70" s="543"/>
      <c r="J70" s="97"/>
      <c r="K70" s="407"/>
      <c r="L70" s="497" t="s">
        <v>56</v>
      </c>
      <c r="M70" s="498"/>
      <c r="N70" s="498"/>
      <c r="O70" s="408" t="s">
        <v>28</v>
      </c>
      <c r="P70" s="138">
        <v>8</v>
      </c>
      <c r="Q70" s="429">
        <f>'1'!Q70+'2'!P70+'3'!P70+'4'!P70+'5'!P70+'6'!P70+'7'!P70+'8'!P70</f>
        <v>98</v>
      </c>
      <c r="R70" s="399">
        <f>T55*30</f>
        <v>90</v>
      </c>
    </row>
    <row r="71" spans="1:23" x14ac:dyDescent="0.3">
      <c r="A71" s="95" t="s">
        <v>67</v>
      </c>
      <c r="B71" s="434">
        <v>25</v>
      </c>
      <c r="C71" s="77"/>
      <c r="D71" s="463"/>
      <c r="E71" s="543"/>
      <c r="F71" s="543"/>
      <c r="G71" s="543"/>
      <c r="H71" s="543"/>
      <c r="I71" s="54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429">
        <f>'1'!Q71+'2'!P71+'3'!P71+'4'!P71+'5'!P71+'6'!P71+'7'!P71+'8'!P71</f>
        <v>214</v>
      </c>
      <c r="R71" s="399">
        <f>T55*25</f>
        <v>75</v>
      </c>
    </row>
    <row r="72" spans="1:23" x14ac:dyDescent="0.3">
      <c r="A72" s="95" t="s">
        <v>69</v>
      </c>
      <c r="B72" s="434">
        <v>24</v>
      </c>
      <c r="C72" s="77"/>
      <c r="D72" s="463"/>
      <c r="E72" s="543"/>
      <c r="F72" s="543"/>
      <c r="G72" s="543"/>
      <c r="H72" s="543"/>
      <c r="I72" s="543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</f>
        <v>19</v>
      </c>
      <c r="R72" s="399">
        <f>T55*10</f>
        <v>30</v>
      </c>
    </row>
    <row r="73" spans="1:23" x14ac:dyDescent="0.3">
      <c r="A73" s="95" t="s">
        <v>71</v>
      </c>
      <c r="B73" s="434">
        <v>17</v>
      </c>
      <c r="C73" s="77"/>
      <c r="D73" s="494" t="s">
        <v>254</v>
      </c>
      <c r="E73" s="495"/>
      <c r="F73" s="495"/>
      <c r="G73" s="495"/>
      <c r="H73" s="495"/>
      <c r="I73" s="496"/>
      <c r="J73" s="97">
        <v>17</v>
      </c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</f>
        <v>0</v>
      </c>
      <c r="R73" s="399"/>
    </row>
    <row r="74" spans="1:23" x14ac:dyDescent="0.3">
      <c r="A74" s="95" t="s">
        <v>73</v>
      </c>
      <c r="B74" s="434">
        <v>3</v>
      </c>
      <c r="C74" s="77"/>
      <c r="D74" s="494" t="s">
        <v>255</v>
      </c>
      <c r="E74" s="495"/>
      <c r="F74" s="495"/>
      <c r="G74" s="495"/>
      <c r="H74" s="495"/>
      <c r="I74" s="496"/>
      <c r="J74" s="97">
        <v>53</v>
      </c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</f>
        <v>0</v>
      </c>
      <c r="R74" s="409"/>
    </row>
    <row r="75" spans="1:23" x14ac:dyDescent="0.3">
      <c r="A75" s="95" t="s">
        <v>75</v>
      </c>
      <c r="B75" s="434">
        <v>23</v>
      </c>
      <c r="C75" s="77"/>
      <c r="D75" s="463"/>
      <c r="E75" s="543"/>
      <c r="F75" s="543"/>
      <c r="G75" s="543"/>
      <c r="H75" s="543"/>
      <c r="I75" s="54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</f>
        <v>4320</v>
      </c>
      <c r="R75" s="406"/>
    </row>
    <row r="76" spans="1:23" x14ac:dyDescent="0.3">
      <c r="A76" s="95" t="s">
        <v>77</v>
      </c>
      <c r="B76" s="434">
        <v>25</v>
      </c>
      <c r="C76" s="77"/>
      <c r="D76" s="463"/>
      <c r="E76" s="543"/>
      <c r="F76" s="543"/>
      <c r="G76" s="543"/>
      <c r="H76" s="543"/>
      <c r="I76" s="54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222</v>
      </c>
      <c r="Q76" s="94">
        <f>'1'!Q76+'2'!P76+'3'!P76+'4'!P76+'5'!P76+'6'!P76+'7'!P76+'8'!P76</f>
        <v>816</v>
      </c>
      <c r="R76" s="406"/>
    </row>
    <row r="77" spans="1:23" x14ac:dyDescent="0.3">
      <c r="A77" s="95" t="s">
        <v>79</v>
      </c>
      <c r="B77" s="434">
        <v>25</v>
      </c>
      <c r="C77" s="77"/>
      <c r="D77" s="463"/>
      <c r="E77" s="543"/>
      <c r="F77" s="543"/>
      <c r="G77" s="543"/>
      <c r="H77" s="543"/>
      <c r="I77" s="543"/>
      <c r="J77" s="97"/>
      <c r="K77" s="391"/>
      <c r="L77" s="486" t="s">
        <v>70</v>
      </c>
      <c r="M77" s="487"/>
      <c r="N77" s="488"/>
      <c r="O77" s="405" t="s">
        <v>28</v>
      </c>
      <c r="P77" s="142">
        <v>222</v>
      </c>
      <c r="Q77" s="94">
        <f>'1'!Q77+'2'!P77+'3'!P77+'4'!P77+'5'!P77+'6'!P77+'7'!P77+'8'!P77</f>
        <v>816</v>
      </c>
      <c r="R77" s="406"/>
    </row>
    <row r="78" spans="1:23" x14ac:dyDescent="0.3">
      <c r="A78" s="109" t="s">
        <v>82</v>
      </c>
      <c r="B78" s="435">
        <v>25</v>
      </c>
      <c r="C78" s="111"/>
      <c r="D78" s="494"/>
      <c r="E78" s="495"/>
      <c r="F78" s="495"/>
      <c r="G78" s="495"/>
      <c r="H78" s="495"/>
      <c r="I78" s="496"/>
      <c r="J78" s="436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</f>
        <v>0</v>
      </c>
      <c r="R78" s="406"/>
    </row>
    <row r="79" spans="1:23" x14ac:dyDescent="0.3">
      <c r="A79" s="114"/>
      <c r="B79" s="115">
        <f>SUM(B55:B78)</f>
        <v>506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222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1218</v>
      </c>
      <c r="Q79" s="94">
        <f>'1'!Q79+'2'!P79+'3'!P79+'4'!P79+'5'!P79+'6'!P79+'7'!P79+'8'!P79</f>
        <v>3504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0.84583333333333333</v>
      </c>
      <c r="Q80" s="437">
        <f>Q79/Q75</f>
        <v>0.81111111111111112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0.84583333333333333</v>
      </c>
      <c r="Q81" s="152">
        <f>Q79/Q60</f>
        <v>0.30416666666666664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52.254778325123148</v>
      </c>
      <c r="Q82" s="150">
        <f>(C26/1000)/(Q79/60)</f>
        <v>51.866900684931508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44.198833333333333</v>
      </c>
      <c r="Q83" s="113">
        <f>(C26/1000)/(Q75/60)</f>
        <v>42.069819444444448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33298</v>
      </c>
      <c r="Q84" s="100">
        <f>'1'!Q84+'2'!P84+'3'!P84+'4'!P84+'5'!P84+'6'!P84+'7'!P84+'8'!P84</f>
        <v>111268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31.813578430435861</v>
      </c>
      <c r="Q85" s="124">
        <f>Q84/(K27/1000)</f>
        <v>37.395263988019323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188.79</v>
      </c>
      <c r="Q86" s="100">
        <f>'1'!Q86+'2'!P86+'3'!P86+'4'!P86+'5'!P86+'6'!P86+'7'!P86+'8'!P86</f>
        <v>621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180.37376034242254</v>
      </c>
      <c r="Q87" s="124">
        <f>(Q86*1000)/(K26/1000)</f>
        <v>209.97684168456203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243</v>
      </c>
      <c r="Q88" s="100">
        <f>'1'!Q88+'2'!P88+'3'!P88+'4'!P88+'5'!P88+'6'!P88+'7'!P88+'8'!P88</f>
        <v>641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0.2321670838667762</v>
      </c>
      <c r="Q89" s="124">
        <f>Q88/(K26/1000)</f>
        <v>0.21673938086925001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14" priority="1" operator="lessThan">
      <formula>0.0018</formula>
    </cfRule>
  </conditionalFormatting>
  <pageMargins left="0.95" right="0.7" top="0.25" bottom="0.25" header="0.3" footer="0.3"/>
  <pageSetup paperSize="9" scale="78" orientation="landscape" horizontalDpi="0" verticalDpi="0" r:id="rId1"/>
  <rowBreaks count="1" manualBreakCount="1">
    <brk id="49" max="1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55" zoomScaleNormal="100" workbookViewId="0">
      <selection activeCell="R59" sqref="R59"/>
    </sheetView>
  </sheetViews>
  <sheetFormatPr defaultRowHeight="16.5" x14ac:dyDescent="0.3"/>
  <cols>
    <col min="1" max="1" width="7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'8'!A3:Q3+1</f>
        <v>46031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236</v>
      </c>
      <c r="B7" s="15">
        <v>139</v>
      </c>
      <c r="C7" s="15">
        <v>294541</v>
      </c>
      <c r="D7" s="16"/>
      <c r="E7" s="17"/>
      <c r="F7" s="18"/>
      <c r="G7" s="19" t="s">
        <v>1</v>
      </c>
      <c r="H7" s="20">
        <v>5.5</v>
      </c>
      <c r="I7" s="21" t="s">
        <v>237</v>
      </c>
      <c r="J7" s="22">
        <v>139</v>
      </c>
      <c r="K7" s="17">
        <v>292249</v>
      </c>
      <c r="L7" s="23">
        <f t="shared" ref="L7:L16" si="0">K7/C7</f>
        <v>0.99221840083383972</v>
      </c>
      <c r="M7" s="17"/>
      <c r="N7" s="22"/>
      <c r="O7" s="134"/>
      <c r="P7" s="134"/>
      <c r="Q7" s="134"/>
    </row>
    <row r="8" spans="1:17" x14ac:dyDescent="0.3">
      <c r="A8" s="24" t="s">
        <v>221</v>
      </c>
      <c r="B8" s="25">
        <v>144</v>
      </c>
      <c r="C8" s="25">
        <v>305424</v>
      </c>
      <c r="D8" s="26"/>
      <c r="E8" s="27"/>
      <c r="F8" s="28"/>
      <c r="G8" s="29" t="s">
        <v>1</v>
      </c>
      <c r="H8" s="30">
        <v>5.5</v>
      </c>
      <c r="I8" s="31" t="s">
        <v>204</v>
      </c>
      <c r="J8" s="32">
        <v>144</v>
      </c>
      <c r="K8" s="33">
        <v>302399</v>
      </c>
      <c r="L8" s="34">
        <f t="shared" si="0"/>
        <v>0.99009573576405263</v>
      </c>
      <c r="M8" s="33"/>
      <c r="N8" s="32"/>
      <c r="O8" s="135"/>
      <c r="P8" s="135"/>
      <c r="Q8" s="135"/>
    </row>
    <row r="9" spans="1:17" x14ac:dyDescent="0.3">
      <c r="A9" s="24" t="s">
        <v>240</v>
      </c>
      <c r="B9" s="25">
        <v>144</v>
      </c>
      <c r="C9" s="25">
        <v>305136</v>
      </c>
      <c r="D9" s="26">
        <v>4</v>
      </c>
      <c r="E9" s="27">
        <v>8476</v>
      </c>
      <c r="F9" s="28">
        <f>E9/C9</f>
        <v>2.7777777777777776E-2</v>
      </c>
      <c r="G9" s="29" t="s">
        <v>1</v>
      </c>
      <c r="H9" s="30">
        <v>5.5</v>
      </c>
      <c r="I9" s="31" t="s">
        <v>241</v>
      </c>
      <c r="J9" s="32">
        <v>139</v>
      </c>
      <c r="K9" s="33">
        <v>290875</v>
      </c>
      <c r="L9" s="34">
        <f t="shared" si="0"/>
        <v>0.95326346284935237</v>
      </c>
      <c r="M9" s="33">
        <v>1</v>
      </c>
      <c r="N9" s="32">
        <v>2098</v>
      </c>
      <c r="O9" s="135"/>
      <c r="P9" s="135"/>
      <c r="Q9" s="135"/>
    </row>
    <row r="10" spans="1:17" x14ac:dyDescent="0.3">
      <c r="A10" s="35" t="s">
        <v>240</v>
      </c>
      <c r="B10" s="36">
        <v>73</v>
      </c>
      <c r="C10" s="36">
        <v>154687</v>
      </c>
      <c r="D10" s="37"/>
      <c r="E10" s="38"/>
      <c r="F10" s="18"/>
      <c r="G10" s="39" t="s">
        <v>1</v>
      </c>
      <c r="H10" s="40">
        <v>5.5</v>
      </c>
      <c r="I10" s="31" t="s">
        <v>263</v>
      </c>
      <c r="J10" s="41">
        <v>73</v>
      </c>
      <c r="K10" s="42">
        <v>153722</v>
      </c>
      <c r="L10" s="34">
        <f t="shared" si="0"/>
        <v>0.99376159599707792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500</v>
      </c>
      <c r="C16" s="48">
        <f>SUM(C7:C15)</f>
        <v>1059788</v>
      </c>
      <c r="D16" s="49">
        <f>SUM(D7:D15)</f>
        <v>4</v>
      </c>
      <c r="E16" s="50">
        <f>SUM(E7:E15)</f>
        <v>8476</v>
      </c>
      <c r="F16" s="51">
        <f>E16/C16</f>
        <v>7.9978259802903975E-3</v>
      </c>
      <c r="G16" s="52"/>
      <c r="H16" s="2"/>
      <c r="I16" s="2"/>
      <c r="J16" s="53">
        <f>SUM(J7:J15)</f>
        <v>495</v>
      </c>
      <c r="K16" s="53">
        <f>SUM(K7:K15)</f>
        <v>1039245</v>
      </c>
      <c r="L16" s="51">
        <f t="shared" si="0"/>
        <v>0.98061593450765627</v>
      </c>
      <c r="M16" s="50">
        <f>SUM(M7:M15)</f>
        <v>1</v>
      </c>
      <c r="N16" s="54">
        <f>SUM(N7:N15)</f>
        <v>2098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1041343</v>
      </c>
      <c r="L17" s="51">
        <f>K17/C16</f>
        <v>0.98259557571891731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'8'!B22+'9'!B16</f>
        <v>1161</v>
      </c>
      <c r="C22" s="57">
        <f>'8'!C22+'9'!C16</f>
        <v>2459623</v>
      </c>
      <c r="D22" s="57">
        <f>'8'!D22+'9'!D16</f>
        <v>5</v>
      </c>
      <c r="E22" s="57">
        <f>'8'!E22+'9'!E16</f>
        <v>10585</v>
      </c>
      <c r="F22" s="423">
        <f>E22/C22</f>
        <v>4.3035050493510588E-3</v>
      </c>
      <c r="G22" s="58" t="s">
        <v>1</v>
      </c>
      <c r="H22" s="59"/>
      <c r="I22" s="59"/>
      <c r="J22" s="57">
        <f>'8'!J22+'9'!J16</f>
        <v>1150</v>
      </c>
      <c r="K22" s="57">
        <f>'8'!K22+'9'!K16</f>
        <v>2408584</v>
      </c>
      <c r="L22" s="60">
        <f>K22/C22</f>
        <v>0.97924925893114512</v>
      </c>
      <c r="M22" s="57">
        <f>'8'!M22+'9'!M16</f>
        <v>6</v>
      </c>
      <c r="N22" s="57">
        <f>'8'!N22+'9'!N16</f>
        <v>12424</v>
      </c>
      <c r="O22" s="135"/>
      <c r="P22" s="135"/>
      <c r="Q22" s="135"/>
    </row>
    <row r="23" spans="1:17" x14ac:dyDescent="0.3">
      <c r="A23" s="521"/>
      <c r="B23" s="61">
        <f>'8'!B23</f>
        <v>776</v>
      </c>
      <c r="C23" s="61">
        <f>'8'!C23</f>
        <v>1629192</v>
      </c>
      <c r="D23" s="61">
        <f>'8'!D23</f>
        <v>5</v>
      </c>
      <c r="E23" s="61">
        <f>'8'!E23</f>
        <v>10545</v>
      </c>
      <c r="F23" s="424">
        <f>E23/C23</f>
        <v>6.4725336240295805E-3</v>
      </c>
      <c r="G23" s="381" t="s">
        <v>195</v>
      </c>
      <c r="H23" s="59"/>
      <c r="I23" s="59"/>
      <c r="J23" s="61">
        <f>'8'!J23</f>
        <v>767</v>
      </c>
      <c r="K23" s="61">
        <f>'8'!K23</f>
        <v>1588130</v>
      </c>
      <c r="L23" s="382">
        <f t="shared" ref="L23:L24" si="1">K23/C23</f>
        <v>0.97479609524230415</v>
      </c>
      <c r="M23" s="61">
        <f>'8'!M23</f>
        <v>4</v>
      </c>
      <c r="N23" s="61">
        <f>'8'!N23</f>
        <v>7662</v>
      </c>
      <c r="O23" s="135"/>
      <c r="P23" s="135"/>
      <c r="Q23" s="135"/>
    </row>
    <row r="24" spans="1:17" x14ac:dyDescent="0.3">
      <c r="A24" s="521"/>
      <c r="B24" s="61">
        <f>'8'!B24</f>
        <v>0</v>
      </c>
      <c r="C24" s="61">
        <f>'8'!C24</f>
        <v>0</v>
      </c>
      <c r="D24" s="61">
        <f>'8'!D24</f>
        <v>0</v>
      </c>
      <c r="E24" s="61">
        <f>'8'!E24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'8'!J24</f>
        <v>0</v>
      </c>
      <c r="K24" s="61">
        <f>'8'!K24</f>
        <v>0</v>
      </c>
      <c r="L24" s="382" t="e">
        <f t="shared" si="1"/>
        <v>#DIV/0!</v>
      </c>
      <c r="M24" s="61">
        <f>'8'!M24</f>
        <v>0</v>
      </c>
      <c r="N24" s="61">
        <f>'8'!N24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1937</v>
      </c>
      <c r="C26" s="68">
        <f>SUM(C21:C25)</f>
        <v>4088815</v>
      </c>
      <c r="D26" s="49">
        <f>SUM(D21:D25)</f>
        <v>10</v>
      </c>
      <c r="E26" s="69">
        <f>SUM(E22:E25)</f>
        <v>21130</v>
      </c>
      <c r="F26" s="51">
        <f>E26/C26</f>
        <v>5.1677564282071944E-3</v>
      </c>
      <c r="G26" s="51"/>
      <c r="H26" s="70"/>
      <c r="I26" s="70"/>
      <c r="J26" s="71">
        <f>SUM(J22:J25)</f>
        <v>1917</v>
      </c>
      <c r="K26" s="68">
        <f>SUM(K22:K25)</f>
        <v>3996714</v>
      </c>
      <c r="L26" s="51">
        <f>K26/C26</f>
        <v>0.97747489186964931</v>
      </c>
      <c r="M26" s="71">
        <f>SUM(M22:M25)</f>
        <v>10</v>
      </c>
      <c r="N26" s="54">
        <f>SUM(N22:N25)</f>
        <v>20086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4016800</v>
      </c>
      <c r="L27" s="51">
        <f>K27/C26</f>
        <v>0.98238731759690767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'8'!A30</f>
        <v>BIC</v>
      </c>
      <c r="B30" s="307" t="str">
        <f>'8'!B30</f>
        <v>P.6</v>
      </c>
      <c r="C30" s="307" t="str">
        <f>'8'!C30</f>
        <v>BjTPG280</v>
      </c>
      <c r="D30" s="308">
        <f>'8'!D30</f>
        <v>239</v>
      </c>
      <c r="E30" s="308">
        <f>'8'!E30</f>
        <v>497038</v>
      </c>
      <c r="F30" s="79"/>
      <c r="G30" s="307" t="str">
        <f>'8'!G30</f>
        <v>WR</v>
      </c>
      <c r="H30" s="309">
        <f>'8'!H30</f>
        <v>0</v>
      </c>
      <c r="I30" s="309">
        <f>'8'!I30</f>
        <v>0</v>
      </c>
      <c r="J30" s="170">
        <f>'8'!J30</f>
        <v>0</v>
      </c>
      <c r="K30" s="310">
        <f>'8'!K30</f>
        <v>0</v>
      </c>
      <c r="L30" s="79"/>
      <c r="M30" s="307" t="str">
        <f>'8'!M30</f>
        <v>WR</v>
      </c>
      <c r="N30" s="309">
        <f>'8'!N30</f>
        <v>0</v>
      </c>
      <c r="O30" s="309">
        <f>'8'!O30</f>
        <v>0</v>
      </c>
      <c r="P30" s="170">
        <f>'8'!P30</f>
        <v>0</v>
      </c>
      <c r="Q30" s="310">
        <f>'8'!Q30</f>
        <v>0</v>
      </c>
    </row>
    <row r="31" spans="1:17" x14ac:dyDescent="0.3">
      <c r="A31" s="307" t="str">
        <f>'8'!A31</f>
        <v>WR</v>
      </c>
      <c r="B31" s="307">
        <f>'8'!B31</f>
        <v>6.5</v>
      </c>
      <c r="C31" s="307">
        <f>'8'!C31</f>
        <v>8</v>
      </c>
      <c r="D31" s="308">
        <f>'8'!D31</f>
        <v>144</v>
      </c>
      <c r="E31" s="308">
        <f>'8'!E31</f>
        <v>301505</v>
      </c>
      <c r="F31" s="135"/>
      <c r="G31" s="307" t="str">
        <f>'8'!G31</f>
        <v>WR</v>
      </c>
      <c r="H31" s="309">
        <f>'8'!H31</f>
        <v>0</v>
      </c>
      <c r="I31" s="309">
        <f>'8'!I31</f>
        <v>0</v>
      </c>
      <c r="J31" s="170">
        <f>'8'!J31</f>
        <v>0</v>
      </c>
      <c r="K31" s="310">
        <f>'8'!K31</f>
        <v>0</v>
      </c>
      <c r="L31" s="135"/>
      <c r="M31" s="307" t="str">
        <f>'8'!M31</f>
        <v>WR</v>
      </c>
      <c r="N31" s="309">
        <f>'8'!N31</f>
        <v>0</v>
      </c>
      <c r="O31" s="309">
        <f>'8'!O31</f>
        <v>0</v>
      </c>
      <c r="P31" s="170">
        <f>'8'!P31</f>
        <v>0</v>
      </c>
      <c r="Q31" s="310">
        <f>'8'!Q31</f>
        <v>0</v>
      </c>
    </row>
    <row r="32" spans="1:17" x14ac:dyDescent="0.3">
      <c r="A32" s="307" t="str">
        <f>'8'!A32</f>
        <v>WR</v>
      </c>
      <c r="B32" s="307">
        <f>'8'!B32</f>
        <v>6.5</v>
      </c>
      <c r="C32" s="307">
        <f>'8'!C32</f>
        <v>10</v>
      </c>
      <c r="D32" s="308">
        <f>'8'!D32</f>
        <v>48</v>
      </c>
      <c r="E32" s="308">
        <f>'8'!E32</f>
        <v>99149</v>
      </c>
      <c r="F32" s="135"/>
      <c r="G32" s="307" t="str">
        <f>'8'!G32</f>
        <v>WR</v>
      </c>
      <c r="H32" s="309">
        <f>'8'!H32</f>
        <v>0</v>
      </c>
      <c r="I32" s="309">
        <f>'8'!I32</f>
        <v>0</v>
      </c>
      <c r="J32" s="170">
        <f>'8'!J32</f>
        <v>0</v>
      </c>
      <c r="K32" s="310">
        <f>'8'!K32</f>
        <v>0</v>
      </c>
      <c r="L32" s="135"/>
      <c r="M32" s="307" t="str">
        <f>'8'!M32</f>
        <v>WR</v>
      </c>
      <c r="N32" s="309">
        <f>'8'!N32</f>
        <v>0</v>
      </c>
      <c r="O32" s="309">
        <f>'8'!O32</f>
        <v>0</v>
      </c>
      <c r="P32" s="170">
        <f>'8'!P32</f>
        <v>0</v>
      </c>
      <c r="Q32" s="310">
        <f>'8'!Q32</f>
        <v>0</v>
      </c>
    </row>
    <row r="33" spans="1:17" x14ac:dyDescent="0.3">
      <c r="A33" s="307" t="str">
        <f>'8'!A33</f>
        <v>WR</v>
      </c>
      <c r="B33" s="307">
        <f>'8'!B33</f>
        <v>6.5</v>
      </c>
      <c r="C33" s="307">
        <f>'8'!C33</f>
        <v>15</v>
      </c>
      <c r="D33" s="308">
        <f>'8'!D33</f>
        <v>6</v>
      </c>
      <c r="E33" s="308">
        <f>'8'!E33</f>
        <v>12304</v>
      </c>
      <c r="F33" s="135"/>
      <c r="G33" s="307" t="str">
        <f>'8'!G33</f>
        <v>WR</v>
      </c>
      <c r="H33" s="309">
        <f>'8'!H33</f>
        <v>0</v>
      </c>
      <c r="I33" s="309">
        <f>'8'!I33</f>
        <v>0</v>
      </c>
      <c r="J33" s="170">
        <f>'8'!J33</f>
        <v>0</v>
      </c>
      <c r="K33" s="310">
        <f>'8'!K33</f>
        <v>0</v>
      </c>
      <c r="L33" s="135"/>
      <c r="M33" s="307" t="str">
        <f>'8'!M33</f>
        <v>WR</v>
      </c>
      <c r="N33" s="309">
        <f>'8'!N33</f>
        <v>0</v>
      </c>
      <c r="O33" s="309">
        <f>'8'!O33</f>
        <v>0</v>
      </c>
      <c r="P33" s="170">
        <f>'8'!P33</f>
        <v>0</v>
      </c>
      <c r="Q33" s="310">
        <f>'8'!Q33</f>
        <v>0</v>
      </c>
    </row>
    <row r="34" spans="1:17" x14ac:dyDescent="0.3">
      <c r="A34" s="307" t="str">
        <f>'8'!A34</f>
        <v>WR</v>
      </c>
      <c r="B34" s="307">
        <f>'8'!B34</f>
        <v>5.5</v>
      </c>
      <c r="C34" s="307">
        <f>'8'!C34</f>
        <v>6</v>
      </c>
      <c r="D34" s="308">
        <f>'8'!D34+J7</f>
        <v>288</v>
      </c>
      <c r="E34" s="308">
        <f>'8'!E34+K7</f>
        <v>604081</v>
      </c>
      <c r="F34" s="135"/>
      <c r="G34" s="307" t="str">
        <f>'8'!G34</f>
        <v>WR</v>
      </c>
      <c r="H34" s="309">
        <f>'8'!H34</f>
        <v>0</v>
      </c>
      <c r="I34" s="309">
        <f>'8'!I34</f>
        <v>0</v>
      </c>
      <c r="J34" s="170">
        <f>'8'!J34</f>
        <v>0</v>
      </c>
      <c r="K34" s="310">
        <f>'8'!K34</f>
        <v>0</v>
      </c>
      <c r="L34" s="135"/>
      <c r="M34" s="307" t="str">
        <f>'8'!M34</f>
        <v>WR</v>
      </c>
      <c r="N34" s="309">
        <f>'8'!N34</f>
        <v>0</v>
      </c>
      <c r="O34" s="309">
        <f>'8'!O34</f>
        <v>0</v>
      </c>
      <c r="P34" s="170">
        <f>'8'!P34</f>
        <v>0</v>
      </c>
      <c r="Q34" s="310">
        <f>'8'!Q34</f>
        <v>0</v>
      </c>
    </row>
    <row r="35" spans="1:17" x14ac:dyDescent="0.3">
      <c r="A35" s="307" t="str">
        <f>'8'!A35</f>
        <v>WR</v>
      </c>
      <c r="B35" s="307">
        <f>'8'!B35</f>
        <v>5.5</v>
      </c>
      <c r="C35" s="307" t="str">
        <f>'8'!C35</f>
        <v>8.A</v>
      </c>
      <c r="D35" s="308">
        <f>'8'!D35</f>
        <v>48</v>
      </c>
      <c r="E35" s="308">
        <f>'8'!E35</f>
        <v>100840</v>
      </c>
      <c r="F35" s="135"/>
      <c r="G35" s="307" t="str">
        <f>'8'!G35</f>
        <v>WR</v>
      </c>
      <c r="H35" s="309">
        <f>'8'!H35</f>
        <v>0</v>
      </c>
      <c r="I35" s="309">
        <f>'8'!I35</f>
        <v>0</v>
      </c>
      <c r="J35" s="170">
        <f>'8'!J35</f>
        <v>0</v>
      </c>
      <c r="K35" s="310">
        <f>'8'!K35</f>
        <v>0</v>
      </c>
      <c r="L35" s="135"/>
      <c r="M35" s="307" t="str">
        <f>'8'!M35</f>
        <v>WR</v>
      </c>
      <c r="N35" s="309">
        <f>'8'!N35</f>
        <v>0</v>
      </c>
      <c r="O35" s="309">
        <f>'8'!O35</f>
        <v>0</v>
      </c>
      <c r="P35" s="170">
        <f>'8'!P35</f>
        <v>0</v>
      </c>
      <c r="Q35" s="310">
        <f>'8'!Q35</f>
        <v>0</v>
      </c>
    </row>
    <row r="36" spans="1:17" x14ac:dyDescent="0.3">
      <c r="A36" s="307" t="str">
        <f>'8'!A36</f>
        <v>WR</v>
      </c>
      <c r="B36" s="307">
        <f>'8'!B36</f>
        <v>5.5</v>
      </c>
      <c r="C36" s="307" t="str">
        <f>'8'!C36</f>
        <v>22.A</v>
      </c>
      <c r="D36" s="308">
        <f>'8'!D36</f>
        <v>140</v>
      </c>
      <c r="E36" s="308">
        <f>'8'!E36</f>
        <v>291528</v>
      </c>
      <c r="F36" s="135"/>
      <c r="G36" s="307" t="str">
        <f>'8'!G36</f>
        <v>WR</v>
      </c>
      <c r="H36" s="309">
        <f>'8'!H36</f>
        <v>0</v>
      </c>
      <c r="I36" s="309">
        <f>'8'!I36</f>
        <v>0</v>
      </c>
      <c r="J36" s="170">
        <f>'8'!J36</f>
        <v>0</v>
      </c>
      <c r="K36" s="310">
        <f>'8'!K36</f>
        <v>0</v>
      </c>
      <c r="L36" s="135"/>
      <c r="M36" s="307" t="str">
        <f>'8'!M36</f>
        <v>WR</v>
      </c>
      <c r="N36" s="309">
        <f>'8'!N36</f>
        <v>0</v>
      </c>
      <c r="O36" s="309">
        <f>'8'!O36</f>
        <v>0</v>
      </c>
      <c r="P36" s="170">
        <f>'8'!P36</f>
        <v>0</v>
      </c>
      <c r="Q36" s="310">
        <f>'8'!Q36</f>
        <v>0</v>
      </c>
    </row>
    <row r="37" spans="1:17" x14ac:dyDescent="0.3">
      <c r="A37" s="307" t="str">
        <f>'8'!A37</f>
        <v>WR</v>
      </c>
      <c r="B37" s="307">
        <f>'8'!B37</f>
        <v>5.5</v>
      </c>
      <c r="C37" s="307" t="str">
        <f>'8'!C37</f>
        <v>Y.11</v>
      </c>
      <c r="D37" s="308">
        <f>'8'!D37+J9+J10</f>
        <v>308</v>
      </c>
      <c r="E37" s="308">
        <f>'8'!E37+K9+K10</f>
        <v>645930</v>
      </c>
      <c r="F37" s="135"/>
      <c r="G37" s="307" t="str">
        <f>'8'!G37</f>
        <v>WR</v>
      </c>
      <c r="H37" s="309">
        <f>'8'!H37</f>
        <v>0</v>
      </c>
      <c r="I37" s="309">
        <f>'8'!I37</f>
        <v>0</v>
      </c>
      <c r="J37" s="170">
        <f>'8'!J37</f>
        <v>0</v>
      </c>
      <c r="K37" s="310">
        <f>'8'!K37</f>
        <v>0</v>
      </c>
      <c r="L37" s="135"/>
      <c r="M37" s="307" t="str">
        <f>'8'!M37</f>
        <v>WR</v>
      </c>
      <c r="N37" s="309">
        <f>'8'!N37</f>
        <v>0</v>
      </c>
      <c r="O37" s="309">
        <f>'8'!O37</f>
        <v>0</v>
      </c>
      <c r="P37" s="170">
        <f>'8'!P37</f>
        <v>0</v>
      </c>
      <c r="Q37" s="310">
        <f>'8'!Q37</f>
        <v>0</v>
      </c>
    </row>
    <row r="38" spans="1:17" x14ac:dyDescent="0.3">
      <c r="A38" s="307" t="str">
        <f>'8'!A38</f>
        <v>WR</v>
      </c>
      <c r="B38" s="307">
        <f>'8'!B38</f>
        <v>5.5</v>
      </c>
      <c r="C38" s="307" t="str">
        <f>'8'!C38</f>
        <v>67.A</v>
      </c>
      <c r="D38" s="308">
        <f>'8'!D38</f>
        <v>24</v>
      </c>
      <c r="E38" s="308">
        <f>'8'!E38</f>
        <v>50848</v>
      </c>
      <c r="F38" s="135"/>
      <c r="G38" s="307" t="str">
        <f>'8'!G38</f>
        <v>WR</v>
      </c>
      <c r="H38" s="309">
        <f>'8'!H38</f>
        <v>0</v>
      </c>
      <c r="I38" s="309">
        <f>'8'!I38</f>
        <v>0</v>
      </c>
      <c r="J38" s="170">
        <f>'8'!J38</f>
        <v>0</v>
      </c>
      <c r="K38" s="310">
        <f>'8'!K38</f>
        <v>0</v>
      </c>
      <c r="L38" s="135"/>
      <c r="M38" s="307" t="str">
        <f>'8'!M38</f>
        <v>WR</v>
      </c>
      <c r="N38" s="309">
        <f>'8'!N38</f>
        <v>0</v>
      </c>
      <c r="O38" s="309">
        <f>'8'!O38</f>
        <v>0</v>
      </c>
      <c r="P38" s="170">
        <f>'8'!P38</f>
        <v>0</v>
      </c>
      <c r="Q38" s="310">
        <f>'8'!Q38</f>
        <v>0</v>
      </c>
    </row>
    <row r="39" spans="1:17" x14ac:dyDescent="0.3">
      <c r="A39" s="307" t="str">
        <f>'8'!A39</f>
        <v>BIC</v>
      </c>
      <c r="B39" s="307" t="str">
        <f>'8'!B39</f>
        <v>P.8</v>
      </c>
      <c r="C39" s="307" t="str">
        <f>'8'!C39</f>
        <v>BjTPG280</v>
      </c>
      <c r="D39" s="308">
        <f>'8'!D39</f>
        <v>192</v>
      </c>
      <c r="E39" s="308">
        <f>'8'!E39</f>
        <v>400212</v>
      </c>
      <c r="F39" s="135"/>
      <c r="G39" s="307" t="str">
        <f>'8'!G39</f>
        <v>WR</v>
      </c>
      <c r="H39" s="309">
        <f>'8'!H39</f>
        <v>0</v>
      </c>
      <c r="I39" s="309">
        <f>'8'!I39</f>
        <v>0</v>
      </c>
      <c r="J39" s="170">
        <f>'8'!J39</f>
        <v>0</v>
      </c>
      <c r="K39" s="310">
        <f>'8'!K39</f>
        <v>0</v>
      </c>
      <c r="L39" s="135"/>
      <c r="M39" s="307" t="str">
        <f>'8'!M39</f>
        <v>WR</v>
      </c>
      <c r="N39" s="309">
        <f>'8'!N39</f>
        <v>0</v>
      </c>
      <c r="O39" s="309">
        <f>'8'!O39</f>
        <v>0</v>
      </c>
      <c r="P39" s="170">
        <f>'8'!P39</f>
        <v>0</v>
      </c>
      <c r="Q39" s="310">
        <f>'8'!Q39</f>
        <v>0</v>
      </c>
    </row>
    <row r="40" spans="1:17" x14ac:dyDescent="0.3">
      <c r="A40" s="307" t="str">
        <f>'8'!A40</f>
        <v>BIC</v>
      </c>
      <c r="B40" s="307" t="str">
        <f>'8'!B40</f>
        <v>S.8</v>
      </c>
      <c r="C40" s="307" t="str">
        <f>'8'!C40</f>
        <v>BjTSG420</v>
      </c>
      <c r="D40" s="308">
        <f>'8'!D40</f>
        <v>192</v>
      </c>
      <c r="E40" s="308">
        <f>'8'!E40</f>
        <v>395038</v>
      </c>
      <c r="F40" s="135"/>
      <c r="G40" s="307" t="str">
        <f>'8'!G40</f>
        <v>WR</v>
      </c>
      <c r="H40" s="309">
        <f>'8'!H40</f>
        <v>0</v>
      </c>
      <c r="I40" s="309">
        <f>'8'!I40</f>
        <v>0</v>
      </c>
      <c r="J40" s="170">
        <f>'8'!J40</f>
        <v>0</v>
      </c>
      <c r="K40" s="310">
        <f>'8'!K40</f>
        <v>0</v>
      </c>
      <c r="L40" s="135"/>
      <c r="M40" s="307" t="str">
        <f>'8'!M40</f>
        <v>WR</v>
      </c>
      <c r="N40" s="309">
        <f>'8'!N40</f>
        <v>0</v>
      </c>
      <c r="O40" s="309">
        <f>'8'!O40</f>
        <v>0</v>
      </c>
      <c r="P40" s="170">
        <f>'8'!P40</f>
        <v>0</v>
      </c>
      <c r="Q40" s="310">
        <f>'8'!Q40</f>
        <v>0</v>
      </c>
    </row>
    <row r="41" spans="1:17" x14ac:dyDescent="0.3">
      <c r="A41" s="307" t="str">
        <f>'8'!A41</f>
        <v>BIC</v>
      </c>
      <c r="B41" s="307" t="str">
        <f>'8'!B41</f>
        <v>S.10</v>
      </c>
      <c r="C41" s="307" t="str">
        <f>'8'!C41</f>
        <v>BjTSG420</v>
      </c>
      <c r="D41" s="308">
        <f>'8'!D41</f>
        <v>144</v>
      </c>
      <c r="E41" s="308">
        <f>'8'!E41</f>
        <v>295842</v>
      </c>
      <c r="F41" s="135"/>
      <c r="G41" s="307" t="str">
        <f>'8'!G41</f>
        <v>WR</v>
      </c>
      <c r="H41" s="309">
        <f>'8'!H41</f>
        <v>0</v>
      </c>
      <c r="I41" s="309">
        <f>'8'!I41</f>
        <v>0</v>
      </c>
      <c r="J41" s="170">
        <f>'8'!J41</f>
        <v>0</v>
      </c>
      <c r="K41" s="310">
        <f>'8'!K41</f>
        <v>0</v>
      </c>
      <c r="L41" s="135"/>
      <c r="M41" s="307" t="str">
        <f>'8'!M41</f>
        <v>WR</v>
      </c>
      <c r="N41" s="309">
        <f>'8'!N41</f>
        <v>0</v>
      </c>
      <c r="O41" s="309">
        <f>'8'!O41</f>
        <v>0</v>
      </c>
      <c r="P41" s="170">
        <f>'8'!P41</f>
        <v>0</v>
      </c>
      <c r="Q41" s="310">
        <f>'8'!Q41</f>
        <v>0</v>
      </c>
    </row>
    <row r="42" spans="1:17" x14ac:dyDescent="0.3">
      <c r="A42" s="307" t="str">
        <f>'8'!A42</f>
        <v>WR</v>
      </c>
      <c r="B42" s="307">
        <v>5.5</v>
      </c>
      <c r="C42" s="307">
        <v>8</v>
      </c>
      <c r="D42" s="308">
        <f>J8</f>
        <v>144</v>
      </c>
      <c r="E42" s="308">
        <f>K8</f>
        <v>302399</v>
      </c>
      <c r="F42" s="135"/>
      <c r="G42" s="307" t="str">
        <f>'8'!G42</f>
        <v>WR</v>
      </c>
      <c r="H42" s="309">
        <f>'8'!H42</f>
        <v>0</v>
      </c>
      <c r="I42" s="309">
        <f>'8'!I42</f>
        <v>0</v>
      </c>
      <c r="J42" s="170">
        <f>'8'!J42</f>
        <v>0</v>
      </c>
      <c r="K42" s="310">
        <f>'8'!K42</f>
        <v>0</v>
      </c>
      <c r="L42" s="135"/>
      <c r="M42" s="307" t="str">
        <f>'8'!M42</f>
        <v>WR</v>
      </c>
      <c r="N42" s="309">
        <f>'8'!N42</f>
        <v>0</v>
      </c>
      <c r="O42" s="309">
        <f>'8'!O42</f>
        <v>0</v>
      </c>
      <c r="P42" s="170">
        <f>'8'!P42</f>
        <v>0</v>
      </c>
      <c r="Q42" s="310">
        <f>'8'!Q42</f>
        <v>0</v>
      </c>
    </row>
    <row r="43" spans="1:17" x14ac:dyDescent="0.3">
      <c r="A43" s="307" t="str">
        <f>'8'!A43</f>
        <v>WR</v>
      </c>
      <c r="B43" s="307">
        <f>'8'!B43</f>
        <v>0</v>
      </c>
      <c r="C43" s="307">
        <f>'8'!C43</f>
        <v>0</v>
      </c>
      <c r="D43" s="308">
        <f>'8'!D43</f>
        <v>0</v>
      </c>
      <c r="E43" s="308">
        <f>'8'!E43</f>
        <v>0</v>
      </c>
      <c r="F43" s="135"/>
      <c r="G43" s="307" t="str">
        <f>'8'!G43</f>
        <v>WR</v>
      </c>
      <c r="H43" s="309">
        <f>'8'!H43</f>
        <v>0</v>
      </c>
      <c r="I43" s="309">
        <f>'8'!I43</f>
        <v>0</v>
      </c>
      <c r="J43" s="170">
        <f>'8'!J43</f>
        <v>0</v>
      </c>
      <c r="K43" s="310">
        <f>'8'!K43</f>
        <v>0</v>
      </c>
      <c r="L43" s="135"/>
      <c r="M43" s="307" t="str">
        <f>'8'!M43</f>
        <v>WR</v>
      </c>
      <c r="N43" s="309">
        <f>'8'!N43</f>
        <v>0</v>
      </c>
      <c r="O43" s="309">
        <f>'8'!O43</f>
        <v>0</v>
      </c>
      <c r="P43" s="170">
        <f>'8'!P43</f>
        <v>0</v>
      </c>
      <c r="Q43" s="310">
        <f>'8'!Q43</f>
        <v>0</v>
      </c>
    </row>
    <row r="44" spans="1:17" x14ac:dyDescent="0.3">
      <c r="A44" s="307" t="str">
        <f>'8'!A44</f>
        <v>WR</v>
      </c>
      <c r="B44" s="307">
        <f>'8'!B44</f>
        <v>0</v>
      </c>
      <c r="C44" s="307">
        <f>'8'!C44</f>
        <v>0</v>
      </c>
      <c r="D44" s="308">
        <f>'8'!D44</f>
        <v>0</v>
      </c>
      <c r="E44" s="308">
        <f>'8'!E44</f>
        <v>0</v>
      </c>
      <c r="F44" s="135"/>
      <c r="G44" s="307" t="str">
        <f>'8'!G44</f>
        <v>WR</v>
      </c>
      <c r="H44" s="309">
        <f>'8'!H44</f>
        <v>0</v>
      </c>
      <c r="I44" s="309">
        <f>'8'!I44</f>
        <v>0</v>
      </c>
      <c r="J44" s="170">
        <f>'8'!J44</f>
        <v>0</v>
      </c>
      <c r="K44" s="310">
        <f>'8'!K44</f>
        <v>0</v>
      </c>
      <c r="L44" s="135"/>
      <c r="M44" s="307" t="str">
        <f>'8'!M44</f>
        <v>WR</v>
      </c>
      <c r="N44" s="309">
        <f>'8'!N44</f>
        <v>0</v>
      </c>
      <c r="O44" s="309">
        <f>'8'!O44</f>
        <v>0</v>
      </c>
      <c r="P44" s="170">
        <f>'8'!P44</f>
        <v>0</v>
      </c>
      <c r="Q44" s="310">
        <f>'8'!Q44</f>
        <v>0</v>
      </c>
    </row>
    <row r="45" spans="1:17" x14ac:dyDescent="0.3">
      <c r="A45" s="307" t="str">
        <f>'8'!A45</f>
        <v>WR</v>
      </c>
      <c r="B45" s="307">
        <f>'8'!B45</f>
        <v>0</v>
      </c>
      <c r="C45" s="307">
        <f>'8'!C45</f>
        <v>0</v>
      </c>
      <c r="D45" s="308">
        <f>'8'!D45</f>
        <v>0</v>
      </c>
      <c r="E45" s="308">
        <f>'8'!E45</f>
        <v>0</v>
      </c>
      <c r="F45" s="135"/>
      <c r="G45" s="307" t="str">
        <f>'8'!G45</f>
        <v>WR</v>
      </c>
      <c r="H45" s="309">
        <f>'8'!H45</f>
        <v>0</v>
      </c>
      <c r="I45" s="309">
        <f>'8'!I45</f>
        <v>0</v>
      </c>
      <c r="J45" s="170">
        <f>'8'!J45</f>
        <v>0</v>
      </c>
      <c r="K45" s="310">
        <f>'8'!K45</f>
        <v>0</v>
      </c>
      <c r="L45" s="135"/>
      <c r="M45" s="307" t="str">
        <f>'8'!M45</f>
        <v>WR</v>
      </c>
      <c r="N45" s="309">
        <f>'8'!N45</f>
        <v>0</v>
      </c>
      <c r="O45" s="309">
        <f>'8'!O45</f>
        <v>0</v>
      </c>
      <c r="P45" s="170">
        <f>'8'!P45</f>
        <v>0</v>
      </c>
      <c r="Q45" s="310">
        <f>'8'!Q45</f>
        <v>0</v>
      </c>
    </row>
    <row r="46" spans="1:17" x14ac:dyDescent="0.3">
      <c r="A46" s="307" t="str">
        <f>'8'!A46</f>
        <v>WR</v>
      </c>
      <c r="B46" s="307">
        <f>'8'!B46</f>
        <v>0</v>
      </c>
      <c r="C46" s="307">
        <f>'8'!C46</f>
        <v>0</v>
      </c>
      <c r="D46" s="308">
        <f>'8'!D46</f>
        <v>0</v>
      </c>
      <c r="E46" s="308">
        <f>'8'!E46</f>
        <v>0</v>
      </c>
      <c r="F46" s="135"/>
      <c r="G46" s="307" t="str">
        <f>'8'!G46</f>
        <v>WR</v>
      </c>
      <c r="H46" s="309">
        <f>'8'!H46</f>
        <v>0</v>
      </c>
      <c r="I46" s="309">
        <f>'8'!I46</f>
        <v>0</v>
      </c>
      <c r="J46" s="170">
        <f>'8'!J46</f>
        <v>0</v>
      </c>
      <c r="K46" s="310">
        <f>'8'!K46</f>
        <v>0</v>
      </c>
      <c r="L46" s="135"/>
      <c r="M46" s="307" t="str">
        <f>'8'!M46</f>
        <v>WR</v>
      </c>
      <c r="N46" s="309">
        <f>'8'!N46</f>
        <v>0</v>
      </c>
      <c r="O46" s="309">
        <f>'8'!O46</f>
        <v>0</v>
      </c>
      <c r="P46" s="170">
        <f>'8'!P46</f>
        <v>0</v>
      </c>
      <c r="Q46" s="310">
        <f>'8'!Q46</f>
        <v>0</v>
      </c>
    </row>
    <row r="47" spans="1:17" x14ac:dyDescent="0.3">
      <c r="A47" s="307" t="str">
        <f>'8'!A47</f>
        <v>WR</v>
      </c>
      <c r="B47" s="307">
        <f>'8'!B47</f>
        <v>0</v>
      </c>
      <c r="C47" s="307">
        <f>'8'!C47</f>
        <v>0</v>
      </c>
      <c r="D47" s="308">
        <f>'8'!D47</f>
        <v>0</v>
      </c>
      <c r="E47" s="308">
        <f>'8'!E47</f>
        <v>0</v>
      </c>
      <c r="F47" s="135"/>
      <c r="G47" s="307" t="str">
        <f>'8'!G47</f>
        <v>WR</v>
      </c>
      <c r="H47" s="309">
        <f>'8'!H47</f>
        <v>0</v>
      </c>
      <c r="I47" s="309">
        <f>'8'!I47</f>
        <v>0</v>
      </c>
      <c r="J47" s="170">
        <f>'8'!J47</f>
        <v>0</v>
      </c>
      <c r="K47" s="310">
        <f>'8'!K47</f>
        <v>0</v>
      </c>
      <c r="L47" s="135"/>
      <c r="M47" s="307" t="str">
        <f>'8'!M47</f>
        <v>WR</v>
      </c>
      <c r="N47" s="309">
        <f>'8'!N47</f>
        <v>0</v>
      </c>
      <c r="O47" s="309">
        <f>'8'!O47</f>
        <v>0</v>
      </c>
      <c r="P47" s="170">
        <f>'8'!P47</f>
        <v>0</v>
      </c>
      <c r="Q47" s="310">
        <f>'8'!Q47</f>
        <v>0</v>
      </c>
    </row>
    <row r="48" spans="1:17" x14ac:dyDescent="0.3">
      <c r="A48" s="307" t="str">
        <f>'8'!A48</f>
        <v>WR</v>
      </c>
      <c r="B48" s="307">
        <f>'8'!B48</f>
        <v>0</v>
      </c>
      <c r="C48" s="307">
        <f>'8'!C48</f>
        <v>0</v>
      </c>
      <c r="D48" s="308">
        <f>'8'!D48</f>
        <v>0</v>
      </c>
      <c r="E48" s="308">
        <f>'8'!E48</f>
        <v>0</v>
      </c>
      <c r="F48" s="135"/>
      <c r="G48" s="307" t="str">
        <f>'8'!G48</f>
        <v>WR</v>
      </c>
      <c r="H48" s="309">
        <f>'8'!H48</f>
        <v>0</v>
      </c>
      <c r="I48" s="309">
        <f>'8'!I48</f>
        <v>0</v>
      </c>
      <c r="J48" s="170">
        <f>'8'!J48</f>
        <v>0</v>
      </c>
      <c r="K48" s="310">
        <f>'8'!K48</f>
        <v>0</v>
      </c>
      <c r="L48" s="135"/>
      <c r="M48" s="307" t="str">
        <f>'8'!M48</f>
        <v>WR</v>
      </c>
      <c r="N48" s="309">
        <f>'8'!N48</f>
        <v>0</v>
      </c>
      <c r="O48" s="309">
        <f>'8'!O48</f>
        <v>0</v>
      </c>
      <c r="P48" s="170">
        <f>'8'!P48</f>
        <v>0</v>
      </c>
      <c r="Q48" s="310">
        <f>'8'!Q48</f>
        <v>0</v>
      </c>
    </row>
    <row r="49" spans="1:23" x14ac:dyDescent="0.3">
      <c r="A49" s="307" t="str">
        <f>'8'!A49</f>
        <v>WR</v>
      </c>
      <c r="B49" s="307">
        <f>'8'!B49</f>
        <v>0</v>
      </c>
      <c r="C49" s="307">
        <f>'8'!C49</f>
        <v>0</v>
      </c>
      <c r="D49" s="308">
        <f>'8'!D49</f>
        <v>0</v>
      </c>
      <c r="E49" s="308">
        <f>'8'!E49</f>
        <v>0</v>
      </c>
      <c r="F49" s="3"/>
      <c r="G49" s="307" t="str">
        <f>'8'!G49</f>
        <v>WR</v>
      </c>
      <c r="H49" s="309">
        <f>'8'!H49</f>
        <v>0</v>
      </c>
      <c r="I49" s="309">
        <f>'8'!I49</f>
        <v>0</v>
      </c>
      <c r="J49" s="170">
        <f>'8'!J49</f>
        <v>0</v>
      </c>
      <c r="K49" s="310">
        <f>'8'!K49</f>
        <v>0</v>
      </c>
      <c r="L49" s="3"/>
      <c r="M49" s="307" t="str">
        <f>'8'!M49</f>
        <v>WR</v>
      </c>
      <c r="N49" s="309">
        <f>'8'!N49</f>
        <v>0</v>
      </c>
      <c r="O49" s="309">
        <f>'8'!O49</f>
        <v>0</v>
      </c>
      <c r="P49" s="170">
        <f>'8'!P49</f>
        <v>0</v>
      </c>
      <c r="Q49" s="310">
        <f>'8'!Q49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46031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272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33">
        <v>24</v>
      </c>
      <c r="C55" s="21"/>
      <c r="D55" s="547"/>
      <c r="E55" s="548"/>
      <c r="F55" s="548"/>
      <c r="G55" s="548"/>
      <c r="H55" s="548"/>
      <c r="I55" s="548"/>
      <c r="J55" s="93"/>
      <c r="K55" s="391"/>
      <c r="L55" s="466" t="s">
        <v>26</v>
      </c>
      <c r="M55" s="467"/>
      <c r="N55" s="467"/>
      <c r="O55" s="392" t="s">
        <v>13</v>
      </c>
      <c r="P55" s="393">
        <f>C16</f>
        <v>1059788</v>
      </c>
      <c r="Q55" s="394">
        <f>C26</f>
        <v>4088815</v>
      </c>
      <c r="R55" s="395"/>
      <c r="S55" s="388">
        <f>DAY(A52)</f>
        <v>9</v>
      </c>
      <c r="T55" s="383">
        <f>S55-U55</f>
        <v>4</v>
      </c>
      <c r="U55" s="383">
        <f>'8'!U55</f>
        <v>5</v>
      </c>
    </row>
    <row r="56" spans="1:23" x14ac:dyDescent="0.3">
      <c r="A56" s="95" t="s">
        <v>37</v>
      </c>
      <c r="B56" s="434">
        <v>25</v>
      </c>
      <c r="C56" s="77"/>
      <c r="D56" s="544"/>
      <c r="E56" s="545"/>
      <c r="F56" s="545"/>
      <c r="G56" s="545"/>
      <c r="H56" s="545"/>
      <c r="I56" s="546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1041343</v>
      </c>
      <c r="Q56" s="398">
        <f>K27</f>
        <v>4016800</v>
      </c>
      <c r="R56" s="399"/>
    </row>
    <row r="57" spans="1:23" x14ac:dyDescent="0.3">
      <c r="A57" s="95" t="s">
        <v>39</v>
      </c>
      <c r="B57" s="434">
        <v>24</v>
      </c>
      <c r="C57" s="77"/>
      <c r="D57" s="544"/>
      <c r="E57" s="545"/>
      <c r="F57" s="545"/>
      <c r="G57" s="545"/>
      <c r="H57" s="545"/>
      <c r="I57" s="546"/>
      <c r="J57" s="97"/>
      <c r="K57" s="391"/>
      <c r="L57" s="468" t="s">
        <v>19</v>
      </c>
      <c r="M57" s="469"/>
      <c r="N57" s="469"/>
      <c r="O57" s="400" t="s">
        <v>14</v>
      </c>
      <c r="P57" s="401">
        <f>L17</f>
        <v>0.98259557571891731</v>
      </c>
      <c r="Q57" s="430">
        <f>L27</f>
        <v>0.98238731759690767</v>
      </c>
      <c r="R57" s="403">
        <v>0.98499999999999999</v>
      </c>
    </row>
    <row r="58" spans="1:23" x14ac:dyDescent="0.3">
      <c r="A58" s="95" t="s">
        <v>41</v>
      </c>
      <c r="B58" s="434">
        <v>25</v>
      </c>
      <c r="C58" s="77"/>
      <c r="D58" s="544"/>
      <c r="E58" s="545"/>
      <c r="F58" s="545"/>
      <c r="G58" s="545"/>
      <c r="H58" s="545"/>
      <c r="I58" s="546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8476</v>
      </c>
      <c r="Q58" s="394">
        <f>E26</f>
        <v>21130</v>
      </c>
      <c r="R58" s="395"/>
    </row>
    <row r="59" spans="1:23" x14ac:dyDescent="0.3">
      <c r="A59" s="95" t="s">
        <v>43</v>
      </c>
      <c r="B59" s="434">
        <v>24</v>
      </c>
      <c r="C59" s="77"/>
      <c r="D59" s="544"/>
      <c r="E59" s="545"/>
      <c r="F59" s="545"/>
      <c r="G59" s="545"/>
      <c r="H59" s="545"/>
      <c r="I59" s="546"/>
      <c r="J59" s="97"/>
      <c r="K59" s="391"/>
      <c r="L59" s="509"/>
      <c r="M59" s="510"/>
      <c r="N59" s="510"/>
      <c r="O59" s="400" t="s">
        <v>14</v>
      </c>
      <c r="P59" s="401">
        <f>F16</f>
        <v>7.9978259802903975E-3</v>
      </c>
      <c r="Q59" s="430">
        <f>F26</f>
        <v>5.1677564282071944E-3</v>
      </c>
      <c r="R59" s="404">
        <v>1.5E-3</v>
      </c>
    </row>
    <row r="60" spans="1:23" x14ac:dyDescent="0.3">
      <c r="A60" s="95" t="s">
        <v>45</v>
      </c>
      <c r="B60" s="434">
        <v>24</v>
      </c>
      <c r="C60" s="77"/>
      <c r="D60" s="463" t="s">
        <v>264</v>
      </c>
      <c r="E60" s="543"/>
      <c r="F60" s="543"/>
      <c r="G60" s="543"/>
      <c r="H60" s="543"/>
      <c r="I60" s="543"/>
      <c r="J60" s="97">
        <v>2</v>
      </c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</f>
        <v>12960</v>
      </c>
      <c r="R60" s="406"/>
    </row>
    <row r="61" spans="1:23" x14ac:dyDescent="0.3">
      <c r="A61" s="95" t="s">
        <v>47</v>
      </c>
      <c r="B61" s="434">
        <v>24</v>
      </c>
      <c r="C61" s="77"/>
      <c r="D61" s="463"/>
      <c r="E61" s="543"/>
      <c r="F61" s="543"/>
      <c r="G61" s="543"/>
      <c r="H61" s="543"/>
      <c r="I61" s="543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</f>
        <v>7200</v>
      </c>
      <c r="R61" s="395"/>
    </row>
    <row r="62" spans="1:23" x14ac:dyDescent="0.3">
      <c r="A62" s="95" t="s">
        <v>49</v>
      </c>
      <c r="B62" s="434">
        <v>10</v>
      </c>
      <c r="C62" s="77"/>
      <c r="D62" s="544" t="s">
        <v>265</v>
      </c>
      <c r="E62" s="545"/>
      <c r="F62" s="545"/>
      <c r="G62" s="545"/>
      <c r="H62" s="545"/>
      <c r="I62" s="546"/>
      <c r="J62" s="97">
        <v>35</v>
      </c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</f>
        <v>7200</v>
      </c>
      <c r="R62" s="399"/>
    </row>
    <row r="63" spans="1:23" x14ac:dyDescent="0.3">
      <c r="A63" s="95" t="s">
        <v>51</v>
      </c>
      <c r="B63" s="434">
        <v>25</v>
      </c>
      <c r="C63" s="77"/>
      <c r="D63" s="544"/>
      <c r="E63" s="545"/>
      <c r="F63" s="545"/>
      <c r="G63" s="545"/>
      <c r="H63" s="545"/>
      <c r="I63" s="546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</f>
        <v>0</v>
      </c>
      <c r="R63" s="399"/>
    </row>
    <row r="64" spans="1:23" x14ac:dyDescent="0.3">
      <c r="A64" s="95" t="s">
        <v>53</v>
      </c>
      <c r="B64" s="434">
        <v>25</v>
      </c>
      <c r="C64" s="77"/>
      <c r="D64" s="544"/>
      <c r="E64" s="545"/>
      <c r="F64" s="545"/>
      <c r="G64" s="545"/>
      <c r="H64" s="545"/>
      <c r="I64" s="546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34">
        <v>24</v>
      </c>
      <c r="C65" s="77"/>
      <c r="D65" s="544"/>
      <c r="E65" s="545"/>
      <c r="F65" s="545"/>
      <c r="G65" s="545"/>
      <c r="H65" s="545"/>
      <c r="I65" s="546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88</v>
      </c>
      <c r="Q65" s="100">
        <f>'1'!Q65+'2'!P65+'3'!P65+'4'!P65+'5'!P65+'6'!P65+'7'!P65+'8'!P65+'9'!P65</f>
        <v>573</v>
      </c>
      <c r="R65" s="395"/>
      <c r="S65" s="171" t="s">
        <v>56</v>
      </c>
      <c r="T65" s="172"/>
      <c r="U65" s="173" t="s">
        <v>151</v>
      </c>
      <c r="V65" s="174">
        <v>4</v>
      </c>
      <c r="W65" s="181">
        <f>+'8'!W65+'9'!V65</f>
        <v>6</v>
      </c>
    </row>
    <row r="66" spans="1:23" x14ac:dyDescent="0.3">
      <c r="A66" s="95" t="s">
        <v>57</v>
      </c>
      <c r="B66" s="434">
        <v>24</v>
      </c>
      <c r="C66" s="77"/>
      <c r="D66" s="544"/>
      <c r="E66" s="545"/>
      <c r="F66" s="545"/>
      <c r="G66" s="545"/>
      <c r="H66" s="545"/>
      <c r="I66" s="546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+'8'!W66+'9'!V66</f>
        <v>4</v>
      </c>
    </row>
    <row r="67" spans="1:23" x14ac:dyDescent="0.3">
      <c r="A67" s="95" t="s">
        <v>59</v>
      </c>
      <c r="B67" s="434">
        <v>19</v>
      </c>
      <c r="C67" s="77">
        <v>1</v>
      </c>
      <c r="D67" s="544" t="s">
        <v>266</v>
      </c>
      <c r="E67" s="545"/>
      <c r="F67" s="545"/>
      <c r="G67" s="545"/>
      <c r="H67" s="545"/>
      <c r="I67" s="546"/>
      <c r="J67" s="97">
        <v>14</v>
      </c>
      <c r="K67" s="391"/>
      <c r="L67" s="502" t="s">
        <v>50</v>
      </c>
      <c r="M67" s="498"/>
      <c r="N67" s="498"/>
      <c r="O67" s="408" t="s">
        <v>28</v>
      </c>
      <c r="P67" s="138">
        <v>78</v>
      </c>
      <c r="Q67" s="99">
        <f>'1'!Q67+'2'!P67+'3'!P67+'4'!P67+'5'!P67+'6'!P67+'7'!P67+'8'!P67+'9'!P67</f>
        <v>487</v>
      </c>
      <c r="R67" s="399"/>
      <c r="S67" s="377" t="s">
        <v>60</v>
      </c>
      <c r="T67" s="175"/>
      <c r="U67" s="176" t="s">
        <v>151</v>
      </c>
      <c r="V67" s="177"/>
      <c r="W67" s="182">
        <f>+'8'!W67+'9'!V67</f>
        <v>0</v>
      </c>
    </row>
    <row r="68" spans="1:23" x14ac:dyDescent="0.3">
      <c r="A68" s="95" t="s">
        <v>61</v>
      </c>
      <c r="B68" s="434">
        <v>5</v>
      </c>
      <c r="C68" s="77">
        <v>2</v>
      </c>
      <c r="D68" s="544" t="s">
        <v>267</v>
      </c>
      <c r="E68" s="545"/>
      <c r="F68" s="545"/>
      <c r="G68" s="545"/>
      <c r="H68" s="545"/>
      <c r="I68" s="546"/>
      <c r="J68" s="97">
        <v>47</v>
      </c>
      <c r="K68" s="391"/>
      <c r="L68" s="468" t="s">
        <v>52</v>
      </c>
      <c r="M68" s="469"/>
      <c r="N68" s="469"/>
      <c r="O68" s="85" t="s">
        <v>28</v>
      </c>
      <c r="P68" s="141">
        <v>10</v>
      </c>
      <c r="Q68" s="86">
        <f>'1'!Q68+'2'!P68+'3'!P68+'4'!P68+'5'!P68+'6'!P68+'7'!P68+'8'!P68+'9'!P68</f>
        <v>86</v>
      </c>
      <c r="R68" s="409"/>
      <c r="S68" s="377" t="s">
        <v>62</v>
      </c>
      <c r="T68" s="175"/>
      <c r="U68" s="176" t="s">
        <v>151</v>
      </c>
      <c r="V68" s="177"/>
      <c r="W68" s="182">
        <f>+'8'!W68+'9'!V68</f>
        <v>0</v>
      </c>
    </row>
    <row r="69" spans="1:23" x14ac:dyDescent="0.3">
      <c r="A69" s="95" t="s">
        <v>63</v>
      </c>
      <c r="B69" s="434">
        <v>12</v>
      </c>
      <c r="C69" s="77"/>
      <c r="D69" s="544" t="s">
        <v>267</v>
      </c>
      <c r="E69" s="545"/>
      <c r="F69" s="545"/>
      <c r="G69" s="545"/>
      <c r="H69" s="545"/>
      <c r="I69" s="546"/>
      <c r="J69" s="97">
        <v>29</v>
      </c>
      <c r="K69" s="391"/>
      <c r="L69" s="466" t="s">
        <v>54</v>
      </c>
      <c r="M69" s="467"/>
      <c r="N69" s="467"/>
      <c r="O69" s="106" t="s">
        <v>28</v>
      </c>
      <c r="P69" s="100">
        <f>SUM(P70:P74)</f>
        <v>122</v>
      </c>
      <c r="Q69" s="100">
        <f>'1'!Q69+'2'!P69+'3'!P69+'4'!P69+'5'!P69+'6'!P69+'7'!P69+'8'!P69+'9'!P69</f>
        <v>453</v>
      </c>
      <c r="R69" s="395"/>
      <c r="S69" s="376" t="s">
        <v>64</v>
      </c>
      <c r="T69" s="178"/>
      <c r="U69" s="179" t="s">
        <v>151</v>
      </c>
      <c r="V69" s="180"/>
      <c r="W69" s="183">
        <f>+'8'!W69+'9'!V69</f>
        <v>0</v>
      </c>
    </row>
    <row r="70" spans="1:23" x14ac:dyDescent="0.3">
      <c r="A70" s="95" t="s">
        <v>65</v>
      </c>
      <c r="B70" s="434">
        <v>22</v>
      </c>
      <c r="C70" s="77"/>
      <c r="D70" s="463" t="s">
        <v>268</v>
      </c>
      <c r="E70" s="543"/>
      <c r="F70" s="543"/>
      <c r="G70" s="543"/>
      <c r="H70" s="543"/>
      <c r="I70" s="543"/>
      <c r="J70" s="97">
        <v>4</v>
      </c>
      <c r="K70" s="407"/>
      <c r="L70" s="497" t="s">
        <v>56</v>
      </c>
      <c r="M70" s="498"/>
      <c r="N70" s="498"/>
      <c r="O70" s="408" t="s">
        <v>28</v>
      </c>
      <c r="P70" s="138">
        <v>115</v>
      </c>
      <c r="Q70" s="429">
        <f>'1'!Q70+'2'!P70+'3'!P70+'4'!P70+'5'!P70+'6'!P70+'7'!P70+'8'!P70+'9'!P70</f>
        <v>213</v>
      </c>
      <c r="R70" s="399">
        <f>T55*30</f>
        <v>120</v>
      </c>
    </row>
    <row r="71" spans="1:23" x14ac:dyDescent="0.3">
      <c r="A71" s="95" t="s">
        <v>67</v>
      </c>
      <c r="B71" s="434">
        <v>2</v>
      </c>
      <c r="C71" s="77">
        <v>1</v>
      </c>
      <c r="D71" s="463" t="s">
        <v>269</v>
      </c>
      <c r="E71" s="543"/>
      <c r="F71" s="543"/>
      <c r="G71" s="543"/>
      <c r="H71" s="543"/>
      <c r="I71" s="543"/>
      <c r="J71" s="97">
        <v>54</v>
      </c>
      <c r="K71" s="391"/>
      <c r="L71" s="497" t="s">
        <v>58</v>
      </c>
      <c r="M71" s="498"/>
      <c r="N71" s="498"/>
      <c r="O71" s="408" t="s">
        <v>28</v>
      </c>
      <c r="P71" s="138">
        <v>7</v>
      </c>
      <c r="Q71" s="429">
        <f>'1'!Q71+'2'!P71+'3'!P71+'4'!P71+'5'!P71+'6'!P71+'7'!P71+'8'!P71+'9'!P71</f>
        <v>221</v>
      </c>
      <c r="R71" s="399">
        <f>T55*25</f>
        <v>100</v>
      </c>
    </row>
    <row r="72" spans="1:23" x14ac:dyDescent="0.3">
      <c r="A72" s="95" t="s">
        <v>69</v>
      </c>
      <c r="B72" s="434">
        <v>15</v>
      </c>
      <c r="C72" s="77"/>
      <c r="D72" s="463" t="s">
        <v>270</v>
      </c>
      <c r="E72" s="543"/>
      <c r="F72" s="543"/>
      <c r="G72" s="543"/>
      <c r="H72" s="543"/>
      <c r="I72" s="543"/>
      <c r="J72" s="97">
        <v>22</v>
      </c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</f>
        <v>19</v>
      </c>
      <c r="R72" s="399">
        <f>T55*10</f>
        <v>40</v>
      </c>
    </row>
    <row r="73" spans="1:23" x14ac:dyDescent="0.3">
      <c r="A73" s="95" t="s">
        <v>71</v>
      </c>
      <c r="B73" s="434">
        <v>25</v>
      </c>
      <c r="C73" s="77"/>
      <c r="D73" s="463"/>
      <c r="E73" s="543"/>
      <c r="F73" s="543"/>
      <c r="G73" s="543"/>
      <c r="H73" s="543"/>
      <c r="I73" s="543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</f>
        <v>0</v>
      </c>
      <c r="R73" s="399"/>
    </row>
    <row r="74" spans="1:23" x14ac:dyDescent="0.3">
      <c r="A74" s="95" t="s">
        <v>73</v>
      </c>
      <c r="B74" s="434">
        <v>25</v>
      </c>
      <c r="C74" s="77"/>
      <c r="D74" s="463"/>
      <c r="E74" s="543"/>
      <c r="F74" s="543"/>
      <c r="G74" s="543"/>
      <c r="H74" s="543"/>
      <c r="I74" s="543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</f>
        <v>0</v>
      </c>
      <c r="R74" s="409"/>
    </row>
    <row r="75" spans="1:23" x14ac:dyDescent="0.3">
      <c r="A75" s="95" t="s">
        <v>75</v>
      </c>
      <c r="B75" s="434">
        <v>24</v>
      </c>
      <c r="C75" s="77"/>
      <c r="D75" s="494"/>
      <c r="E75" s="495"/>
      <c r="F75" s="495"/>
      <c r="G75" s="495"/>
      <c r="H75" s="495"/>
      <c r="I75" s="496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</f>
        <v>5760</v>
      </c>
      <c r="R75" s="406"/>
    </row>
    <row r="76" spans="1:23" x14ac:dyDescent="0.3">
      <c r="A76" s="95" t="s">
        <v>77</v>
      </c>
      <c r="B76" s="434">
        <v>25</v>
      </c>
      <c r="C76" s="77"/>
      <c r="D76" s="463"/>
      <c r="E76" s="543"/>
      <c r="F76" s="543"/>
      <c r="G76" s="543"/>
      <c r="H76" s="543"/>
      <c r="I76" s="54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210</v>
      </c>
      <c r="Q76" s="94">
        <f>'1'!Q76+'2'!P76+'3'!P76+'4'!P76+'5'!P76+'6'!P76+'7'!P76+'8'!P76+'9'!P76</f>
        <v>1026</v>
      </c>
      <c r="R76" s="406"/>
    </row>
    <row r="77" spans="1:23" x14ac:dyDescent="0.3">
      <c r="A77" s="95" t="s">
        <v>79</v>
      </c>
      <c r="B77" s="434">
        <v>24</v>
      </c>
      <c r="C77" s="77"/>
      <c r="D77" s="463"/>
      <c r="E77" s="543"/>
      <c r="F77" s="543"/>
      <c r="G77" s="543"/>
      <c r="H77" s="543"/>
      <c r="I77" s="543"/>
      <c r="J77" s="97"/>
      <c r="K77" s="391"/>
      <c r="L77" s="486" t="s">
        <v>70</v>
      </c>
      <c r="M77" s="487"/>
      <c r="N77" s="488"/>
      <c r="O77" s="405" t="s">
        <v>28</v>
      </c>
      <c r="P77" s="142">
        <v>210</v>
      </c>
      <c r="Q77" s="94">
        <f>'1'!Q77+'2'!P77+'3'!P77+'4'!P77+'5'!P77+'6'!P77+'7'!P77+'8'!P77+'9'!P77</f>
        <v>1026</v>
      </c>
      <c r="R77" s="406"/>
    </row>
    <row r="78" spans="1:23" x14ac:dyDescent="0.3">
      <c r="A78" s="109" t="s">
        <v>82</v>
      </c>
      <c r="B78" s="435">
        <v>24</v>
      </c>
      <c r="C78" s="111"/>
      <c r="D78" s="463" t="s">
        <v>271</v>
      </c>
      <c r="E78" s="543"/>
      <c r="F78" s="543"/>
      <c r="G78" s="543"/>
      <c r="H78" s="543"/>
      <c r="I78" s="543"/>
      <c r="J78" s="436">
        <v>3</v>
      </c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</f>
        <v>0</v>
      </c>
      <c r="R78" s="406"/>
    </row>
    <row r="79" spans="1:23" x14ac:dyDescent="0.3">
      <c r="A79" s="114"/>
      <c r="B79" s="115">
        <f>SUM(B55:B78)</f>
        <v>500</v>
      </c>
      <c r="C79" s="116">
        <f>SUM(C55:C78)</f>
        <v>4</v>
      </c>
      <c r="D79" s="470"/>
      <c r="E79" s="471"/>
      <c r="F79" s="471"/>
      <c r="G79" s="471"/>
      <c r="H79" s="471"/>
      <c r="I79" s="472"/>
      <c r="J79" s="117">
        <f>SUM(J55:J78)</f>
        <v>210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1230</v>
      </c>
      <c r="Q79" s="94">
        <f>'1'!Q79+'2'!P79+'3'!P79+'4'!P79+'5'!P79+'6'!P79+'7'!P79+'8'!P79+'9'!P79</f>
        <v>4734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0.85416666666666663</v>
      </c>
      <c r="Q80" s="431">
        <f>Q79/Q75</f>
        <v>0.82187500000000002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0.85416666666666663</v>
      </c>
      <c r="Q81" s="165">
        <f>Q79/Q60</f>
        <v>0.36527777777777776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51.696975609756095</v>
      </c>
      <c r="Q82" s="150">
        <f>(C26/1000)/(Q79/60)</f>
        <v>51.822750316856776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44.157833333333336</v>
      </c>
      <c r="Q83" s="113">
        <f>(C26/1000)/(Q75/60)</f>
        <v>42.591822916666665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33147</v>
      </c>
      <c r="Q84" s="100">
        <f>'1'!Q84+'2'!P84+'3'!P84+'4'!P84+'5'!P84+'6'!P84+'7'!P84+'8'!P84+'9'!P84</f>
        <v>144415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31.831010531592373</v>
      </c>
      <c r="Q85" s="124">
        <f>Q84/(K27/1000)</f>
        <v>35.952748456482773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199.4</v>
      </c>
      <c r="Q86" s="100">
        <f>'1'!Q86+'2'!P86+'3'!P86+'4'!P86+'5'!P86+'6'!P86+'7'!P86+'8'!P86+'9'!P86</f>
        <v>820.4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191.87005951435901</v>
      </c>
      <c r="Q87" s="124">
        <f>(Q86*1000)/(K26/1000)</f>
        <v>205.26862817804826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167</v>
      </c>
      <c r="Q88" s="100">
        <f>'1'!Q88+'2'!P88+'3'!P88+'4'!P88+'5'!P88+'6'!P88+'7'!P88+'8'!P88+'9'!P88</f>
        <v>808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0.16069358043579715</v>
      </c>
      <c r="Q89" s="124">
        <f>Q88/(K26/1000)</f>
        <v>0.20216607943425524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13" priority="1" operator="lessThan">
      <formula>0.0018</formula>
    </cfRule>
  </conditionalFormatting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52" zoomScaleNormal="100" workbookViewId="0">
      <selection activeCell="R59" sqref="R59"/>
    </sheetView>
  </sheetViews>
  <sheetFormatPr defaultRowHeight="16.5" x14ac:dyDescent="0.3"/>
  <cols>
    <col min="1" max="1" width="8.4257812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'9'!A3:Q3+1</f>
        <v>46032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240</v>
      </c>
      <c r="B7" s="15">
        <v>152</v>
      </c>
      <c r="C7" s="15">
        <v>322088</v>
      </c>
      <c r="D7" s="16">
        <v>1</v>
      </c>
      <c r="E7" s="17">
        <v>2119</v>
      </c>
      <c r="F7" s="18">
        <f>E7/C7</f>
        <v>6.5789473684210523E-3</v>
      </c>
      <c r="G7" s="19" t="s">
        <v>1</v>
      </c>
      <c r="H7" s="20">
        <v>5.5</v>
      </c>
      <c r="I7" s="21" t="s">
        <v>263</v>
      </c>
      <c r="J7" s="22">
        <v>147</v>
      </c>
      <c r="K7" s="17">
        <v>307583</v>
      </c>
      <c r="L7" s="23">
        <f t="shared" ref="L7:L16" si="0">K7/C7</f>
        <v>0.95496572365316312</v>
      </c>
      <c r="M7" s="17">
        <v>4</v>
      </c>
      <c r="N7" s="22">
        <v>8159</v>
      </c>
      <c r="O7" s="134"/>
      <c r="P7" s="134"/>
      <c r="Q7" s="134"/>
    </row>
    <row r="8" spans="1:17" x14ac:dyDescent="0.3">
      <c r="A8" s="24" t="s">
        <v>240</v>
      </c>
      <c r="B8" s="25">
        <v>71</v>
      </c>
      <c r="C8" s="25">
        <v>150449</v>
      </c>
      <c r="D8" s="26"/>
      <c r="E8" s="27"/>
      <c r="F8" s="28"/>
      <c r="G8" s="29" t="s">
        <v>1</v>
      </c>
      <c r="H8" s="30">
        <v>5.5</v>
      </c>
      <c r="I8" s="31" t="s">
        <v>241</v>
      </c>
      <c r="J8" s="32">
        <v>71</v>
      </c>
      <c r="K8" s="33">
        <v>149077</v>
      </c>
      <c r="L8" s="34">
        <f t="shared" si="0"/>
        <v>0.99088063064560084</v>
      </c>
      <c r="M8" s="33"/>
      <c r="N8" s="32"/>
      <c r="O8" s="135"/>
      <c r="P8" s="135"/>
      <c r="Q8" s="135"/>
    </row>
    <row r="9" spans="1:17" x14ac:dyDescent="0.3">
      <c r="A9" s="24" t="s">
        <v>238</v>
      </c>
      <c r="B9" s="25">
        <v>144</v>
      </c>
      <c r="C9" s="25">
        <v>304416</v>
      </c>
      <c r="D9" s="26"/>
      <c r="E9" s="27"/>
      <c r="F9" s="28"/>
      <c r="G9" s="29" t="s">
        <v>1</v>
      </c>
      <c r="H9" s="30">
        <v>5.5</v>
      </c>
      <c r="I9" s="31" t="s">
        <v>239</v>
      </c>
      <c r="J9" s="32">
        <v>144</v>
      </c>
      <c r="K9" s="33">
        <v>301817</v>
      </c>
      <c r="L9" s="34">
        <f t="shared" si="0"/>
        <v>0.991462341007043</v>
      </c>
      <c r="M9" s="33"/>
      <c r="N9" s="32"/>
      <c r="O9" s="135"/>
      <c r="P9" s="135"/>
      <c r="Q9" s="135"/>
    </row>
    <row r="10" spans="1:17" x14ac:dyDescent="0.3">
      <c r="A10" s="35" t="s">
        <v>236</v>
      </c>
      <c r="B10" s="36">
        <v>103</v>
      </c>
      <c r="C10" s="36">
        <v>218257</v>
      </c>
      <c r="D10" s="37"/>
      <c r="E10" s="38"/>
      <c r="F10" s="18"/>
      <c r="G10" s="39" t="s">
        <v>1</v>
      </c>
      <c r="H10" s="40">
        <v>5.5</v>
      </c>
      <c r="I10" s="31" t="s">
        <v>237</v>
      </c>
      <c r="J10" s="41">
        <v>103</v>
      </c>
      <c r="K10" s="42">
        <v>216475</v>
      </c>
      <c r="L10" s="34">
        <f t="shared" si="0"/>
        <v>0.99183531341491915</v>
      </c>
      <c r="M10" s="33"/>
      <c r="N10" s="32"/>
      <c r="O10" s="135"/>
      <c r="P10" s="135"/>
      <c r="Q10" s="135"/>
    </row>
    <row r="11" spans="1:17" x14ac:dyDescent="0.3">
      <c r="A11" s="35" t="s">
        <v>236</v>
      </c>
      <c r="B11" s="36">
        <v>54</v>
      </c>
      <c r="C11" s="36">
        <v>114426</v>
      </c>
      <c r="D11" s="37"/>
      <c r="E11" s="38"/>
      <c r="F11" s="18"/>
      <c r="G11" s="39" t="s">
        <v>1</v>
      </c>
      <c r="H11" s="40">
        <v>5.5</v>
      </c>
      <c r="I11" s="31" t="s">
        <v>273</v>
      </c>
      <c r="J11" s="41">
        <v>54</v>
      </c>
      <c r="K11" s="42">
        <v>113601</v>
      </c>
      <c r="L11" s="34">
        <f t="shared" si="0"/>
        <v>0.99279010015206337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524</v>
      </c>
      <c r="C16" s="48">
        <f>SUM(C7:C15)</f>
        <v>1109636</v>
      </c>
      <c r="D16" s="49">
        <f>SUM(D7:D15)</f>
        <v>1</v>
      </c>
      <c r="E16" s="50">
        <f>SUM(E7:E15)</f>
        <v>2119</v>
      </c>
      <c r="F16" s="51">
        <f>E16/C16</f>
        <v>1.9096352317336497E-3</v>
      </c>
      <c r="G16" s="52"/>
      <c r="H16" s="2"/>
      <c r="I16" s="2"/>
      <c r="J16" s="53">
        <f>SUM(J7:J15)</f>
        <v>519</v>
      </c>
      <c r="K16" s="53">
        <f>SUM(K7:K15)</f>
        <v>1088553</v>
      </c>
      <c r="L16" s="51">
        <f t="shared" si="0"/>
        <v>0.98100007570049996</v>
      </c>
      <c r="M16" s="50">
        <f>SUM(M7:M15)</f>
        <v>4</v>
      </c>
      <c r="N16" s="54">
        <f>SUM(N7:N15)</f>
        <v>8159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1096712</v>
      </c>
      <c r="L17" s="51">
        <f>K17/C16</f>
        <v>0.98835293735963869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'9'!B22+'10'!B16</f>
        <v>1685</v>
      </c>
      <c r="C22" s="57">
        <f>'9'!C22+'10'!C16</f>
        <v>3569259</v>
      </c>
      <c r="D22" s="57">
        <f>'9'!D22+'10'!D16</f>
        <v>6</v>
      </c>
      <c r="E22" s="57">
        <f>'9'!E22+'10'!E16</f>
        <v>12704</v>
      </c>
      <c r="F22" s="423">
        <f>E22/C22</f>
        <v>3.5592821927464494E-3</v>
      </c>
      <c r="G22" s="58" t="s">
        <v>1</v>
      </c>
      <c r="H22" s="59"/>
      <c r="I22" s="59"/>
      <c r="J22" s="57">
        <f>'9'!J22+'10'!J16</f>
        <v>1669</v>
      </c>
      <c r="K22" s="57">
        <f>'9'!K22+'10'!K16</f>
        <v>3497137</v>
      </c>
      <c r="L22" s="60">
        <f>K22/C22</f>
        <v>0.97979356499486303</v>
      </c>
      <c r="M22" s="57">
        <f>'9'!M22+'10'!M16</f>
        <v>10</v>
      </c>
      <c r="N22" s="57">
        <f>'9'!N22+'10'!N16</f>
        <v>20583</v>
      </c>
      <c r="O22" s="135"/>
      <c r="P22" s="135"/>
      <c r="Q22" s="135"/>
    </row>
    <row r="23" spans="1:17" x14ac:dyDescent="0.3">
      <c r="A23" s="521"/>
      <c r="B23" s="61">
        <f>'9'!B23</f>
        <v>776</v>
      </c>
      <c r="C23" s="61">
        <f>'9'!C23</f>
        <v>1629192</v>
      </c>
      <c r="D23" s="61">
        <f>'9'!D23</f>
        <v>5</v>
      </c>
      <c r="E23" s="61">
        <f>'9'!E23</f>
        <v>10545</v>
      </c>
      <c r="F23" s="424">
        <f>E23/C23</f>
        <v>6.4725336240295805E-3</v>
      </c>
      <c r="G23" s="381" t="s">
        <v>195</v>
      </c>
      <c r="H23" s="59"/>
      <c r="I23" s="59"/>
      <c r="J23" s="61">
        <f>'9'!J23</f>
        <v>767</v>
      </c>
      <c r="K23" s="61">
        <f>'9'!K23</f>
        <v>1588130</v>
      </c>
      <c r="L23" s="382">
        <f t="shared" ref="L23:L24" si="1">K23/C23</f>
        <v>0.97479609524230415</v>
      </c>
      <c r="M23" s="61">
        <f>'9'!M23</f>
        <v>4</v>
      </c>
      <c r="N23" s="61">
        <f>'9'!N23</f>
        <v>7662</v>
      </c>
      <c r="O23" s="135"/>
      <c r="P23" s="135"/>
      <c r="Q23" s="135"/>
    </row>
    <row r="24" spans="1:17" x14ac:dyDescent="0.3">
      <c r="A24" s="521"/>
      <c r="B24" s="61">
        <f>'9'!B24</f>
        <v>0</v>
      </c>
      <c r="C24" s="61">
        <f>'9'!C24</f>
        <v>0</v>
      </c>
      <c r="D24" s="61">
        <f>'9'!D24</f>
        <v>0</v>
      </c>
      <c r="E24" s="61">
        <f>'9'!E24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'9'!J24</f>
        <v>0</v>
      </c>
      <c r="K24" s="61">
        <f>'9'!K24</f>
        <v>0</v>
      </c>
      <c r="L24" s="382" t="e">
        <f t="shared" si="1"/>
        <v>#DIV/0!</v>
      </c>
      <c r="M24" s="61">
        <f>'9'!M24</f>
        <v>0</v>
      </c>
      <c r="N24" s="61">
        <f>'9'!N24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2461</v>
      </c>
      <c r="C26" s="68">
        <f>SUM(C21:C25)</f>
        <v>5198451</v>
      </c>
      <c r="D26" s="49">
        <f>SUM(D21:D25)</f>
        <v>11</v>
      </c>
      <c r="E26" s="69">
        <f>SUM(E22:E25)</f>
        <v>23249</v>
      </c>
      <c r="F26" s="51">
        <f>E26/C26</f>
        <v>4.4722937659699017E-3</v>
      </c>
      <c r="G26" s="51"/>
      <c r="H26" s="70"/>
      <c r="I26" s="70"/>
      <c r="J26" s="71">
        <f>SUM(J22:J25)</f>
        <v>2436</v>
      </c>
      <c r="K26" s="68">
        <f>SUM(K22:K25)</f>
        <v>5085267</v>
      </c>
      <c r="L26" s="51">
        <f>K26/C26</f>
        <v>0.97822736041947878</v>
      </c>
      <c r="M26" s="71">
        <f>SUM(M22:M25)</f>
        <v>14</v>
      </c>
      <c r="N26" s="54">
        <f>SUM(N22:N25)</f>
        <v>28245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5113512</v>
      </c>
      <c r="L27" s="51">
        <f>K27/C26</f>
        <v>0.98366070969987018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'9'!A30</f>
        <v>BIC</v>
      </c>
      <c r="B30" s="307" t="str">
        <f>'9'!B30</f>
        <v>P.6</v>
      </c>
      <c r="C30" s="307" t="str">
        <f>'9'!C30</f>
        <v>BjTPG280</v>
      </c>
      <c r="D30" s="308">
        <f>'9'!D30</f>
        <v>239</v>
      </c>
      <c r="E30" s="308">
        <f>'9'!E30</f>
        <v>497038</v>
      </c>
      <c r="F30" s="79"/>
      <c r="G30" s="307" t="str">
        <f>'9'!G30</f>
        <v>WR</v>
      </c>
      <c r="H30" s="309">
        <f>'9'!H30</f>
        <v>0</v>
      </c>
      <c r="I30" s="309">
        <f>'9'!I30</f>
        <v>0</v>
      </c>
      <c r="J30" s="170">
        <f>'9'!J30</f>
        <v>0</v>
      </c>
      <c r="K30" s="310">
        <f>'9'!K30</f>
        <v>0</v>
      </c>
      <c r="L30" s="79"/>
      <c r="M30" s="307" t="str">
        <f>'9'!M30</f>
        <v>WR</v>
      </c>
      <c r="N30" s="309">
        <f>'9'!N30</f>
        <v>0</v>
      </c>
      <c r="O30" s="309">
        <f>'9'!O30</f>
        <v>0</v>
      </c>
      <c r="P30" s="170">
        <f>'9'!P30</f>
        <v>0</v>
      </c>
      <c r="Q30" s="310">
        <f>'9'!Q30</f>
        <v>0</v>
      </c>
    </row>
    <row r="31" spans="1:17" x14ac:dyDescent="0.3">
      <c r="A31" s="307" t="str">
        <f>'9'!A31</f>
        <v>WR</v>
      </c>
      <c r="B31" s="307">
        <f>'9'!B31</f>
        <v>6.5</v>
      </c>
      <c r="C31" s="307">
        <f>'9'!C31</f>
        <v>8</v>
      </c>
      <c r="D31" s="308">
        <f>'9'!D31</f>
        <v>144</v>
      </c>
      <c r="E31" s="308">
        <f>'9'!E31</f>
        <v>301505</v>
      </c>
      <c r="F31" s="135"/>
      <c r="G31" s="307" t="str">
        <f>'9'!G31</f>
        <v>WR</v>
      </c>
      <c r="H31" s="309">
        <f>'9'!H31</f>
        <v>0</v>
      </c>
      <c r="I31" s="309">
        <f>'9'!I31</f>
        <v>0</v>
      </c>
      <c r="J31" s="170">
        <f>'9'!J31</f>
        <v>0</v>
      </c>
      <c r="K31" s="310">
        <f>'9'!K31</f>
        <v>0</v>
      </c>
      <c r="L31" s="135"/>
      <c r="M31" s="307" t="str">
        <f>'9'!M31</f>
        <v>WR</v>
      </c>
      <c r="N31" s="309">
        <f>'9'!N31</f>
        <v>0</v>
      </c>
      <c r="O31" s="309">
        <f>'9'!O31</f>
        <v>0</v>
      </c>
      <c r="P31" s="170">
        <f>'9'!P31</f>
        <v>0</v>
      </c>
      <c r="Q31" s="310">
        <f>'9'!Q31</f>
        <v>0</v>
      </c>
    </row>
    <row r="32" spans="1:17" x14ac:dyDescent="0.3">
      <c r="A32" s="307" t="str">
        <f>'9'!A32</f>
        <v>WR</v>
      </c>
      <c r="B32" s="307">
        <f>'9'!B32</f>
        <v>6.5</v>
      </c>
      <c r="C32" s="307">
        <f>'9'!C32</f>
        <v>10</v>
      </c>
      <c r="D32" s="308">
        <f>'9'!D32</f>
        <v>48</v>
      </c>
      <c r="E32" s="308">
        <f>'9'!E32</f>
        <v>99149</v>
      </c>
      <c r="F32" s="135"/>
      <c r="G32" s="307" t="str">
        <f>'9'!G32</f>
        <v>WR</v>
      </c>
      <c r="H32" s="309">
        <f>'9'!H32</f>
        <v>0</v>
      </c>
      <c r="I32" s="309">
        <f>'9'!I32</f>
        <v>0</v>
      </c>
      <c r="J32" s="170">
        <f>'9'!J32</f>
        <v>0</v>
      </c>
      <c r="K32" s="310">
        <f>'9'!K32</f>
        <v>0</v>
      </c>
      <c r="L32" s="135"/>
      <c r="M32" s="307" t="str">
        <f>'9'!M32</f>
        <v>WR</v>
      </c>
      <c r="N32" s="309">
        <f>'9'!N32</f>
        <v>0</v>
      </c>
      <c r="O32" s="309">
        <f>'9'!O32</f>
        <v>0</v>
      </c>
      <c r="P32" s="170">
        <f>'9'!P32</f>
        <v>0</v>
      </c>
      <c r="Q32" s="310">
        <f>'9'!Q32</f>
        <v>0</v>
      </c>
    </row>
    <row r="33" spans="1:17" x14ac:dyDescent="0.3">
      <c r="A33" s="307" t="str">
        <f>'9'!A33</f>
        <v>WR</v>
      </c>
      <c r="B33" s="307">
        <f>'9'!B33</f>
        <v>6.5</v>
      </c>
      <c r="C33" s="307">
        <f>'9'!C33</f>
        <v>15</v>
      </c>
      <c r="D33" s="308">
        <f>'9'!D33</f>
        <v>6</v>
      </c>
      <c r="E33" s="308">
        <f>'9'!E33</f>
        <v>12304</v>
      </c>
      <c r="F33" s="135"/>
      <c r="G33" s="307" t="str">
        <f>'9'!G33</f>
        <v>WR</v>
      </c>
      <c r="H33" s="309">
        <f>'9'!H33</f>
        <v>0</v>
      </c>
      <c r="I33" s="309">
        <f>'9'!I33</f>
        <v>0</v>
      </c>
      <c r="J33" s="170">
        <f>'9'!J33</f>
        <v>0</v>
      </c>
      <c r="K33" s="310">
        <f>'9'!K33</f>
        <v>0</v>
      </c>
      <c r="L33" s="135"/>
      <c r="M33" s="307" t="str">
        <f>'9'!M33</f>
        <v>WR</v>
      </c>
      <c r="N33" s="309">
        <f>'9'!N33</f>
        <v>0</v>
      </c>
      <c r="O33" s="309">
        <f>'9'!O33</f>
        <v>0</v>
      </c>
      <c r="P33" s="170">
        <f>'9'!P33</f>
        <v>0</v>
      </c>
      <c r="Q33" s="310">
        <f>'9'!Q33</f>
        <v>0</v>
      </c>
    </row>
    <row r="34" spans="1:17" x14ac:dyDescent="0.3">
      <c r="A34" s="307" t="str">
        <f>'9'!A34</f>
        <v>WR</v>
      </c>
      <c r="B34" s="307">
        <f>'9'!B34</f>
        <v>5.5</v>
      </c>
      <c r="C34" s="307">
        <f>'9'!C34</f>
        <v>6</v>
      </c>
      <c r="D34" s="308">
        <f>'9'!D34+J10+J11</f>
        <v>445</v>
      </c>
      <c r="E34" s="308">
        <f>'9'!E34+K10+K11</f>
        <v>934157</v>
      </c>
      <c r="F34" s="135"/>
      <c r="G34" s="307" t="str">
        <f>'9'!G34</f>
        <v>WR</v>
      </c>
      <c r="H34" s="309">
        <f>'9'!H34</f>
        <v>0</v>
      </c>
      <c r="I34" s="309">
        <f>'9'!I34</f>
        <v>0</v>
      </c>
      <c r="J34" s="170">
        <f>'9'!J34</f>
        <v>0</v>
      </c>
      <c r="K34" s="310">
        <f>'9'!K34</f>
        <v>0</v>
      </c>
      <c r="L34" s="135"/>
      <c r="M34" s="307" t="str">
        <f>'9'!M34</f>
        <v>WR</v>
      </c>
      <c r="N34" s="309">
        <f>'9'!N34</f>
        <v>0</v>
      </c>
      <c r="O34" s="309">
        <f>'9'!O34</f>
        <v>0</v>
      </c>
      <c r="P34" s="170">
        <f>'9'!P34</f>
        <v>0</v>
      </c>
      <c r="Q34" s="310">
        <f>'9'!Q34</f>
        <v>0</v>
      </c>
    </row>
    <row r="35" spans="1:17" x14ac:dyDescent="0.3">
      <c r="A35" s="307" t="str">
        <f>'9'!A35</f>
        <v>WR</v>
      </c>
      <c r="B35" s="307">
        <f>'9'!B35</f>
        <v>5.5</v>
      </c>
      <c r="C35" s="307" t="str">
        <f>'9'!C35</f>
        <v>8.A</v>
      </c>
      <c r="D35" s="308">
        <f>'9'!D35</f>
        <v>48</v>
      </c>
      <c r="E35" s="308">
        <f>'9'!E35</f>
        <v>100840</v>
      </c>
      <c r="F35" s="135"/>
      <c r="G35" s="307" t="str">
        <f>'9'!G35</f>
        <v>WR</v>
      </c>
      <c r="H35" s="309">
        <f>'9'!H35</f>
        <v>0</v>
      </c>
      <c r="I35" s="309">
        <f>'9'!I35</f>
        <v>0</v>
      </c>
      <c r="J35" s="170">
        <f>'9'!J35</f>
        <v>0</v>
      </c>
      <c r="K35" s="310">
        <f>'9'!K35</f>
        <v>0</v>
      </c>
      <c r="L35" s="135"/>
      <c r="M35" s="307" t="str">
        <f>'9'!M35</f>
        <v>WR</v>
      </c>
      <c r="N35" s="309">
        <f>'9'!N35</f>
        <v>0</v>
      </c>
      <c r="O35" s="309">
        <f>'9'!O35</f>
        <v>0</v>
      </c>
      <c r="P35" s="170">
        <f>'9'!P35</f>
        <v>0</v>
      </c>
      <c r="Q35" s="310">
        <f>'9'!Q35</f>
        <v>0</v>
      </c>
    </row>
    <row r="36" spans="1:17" x14ac:dyDescent="0.3">
      <c r="A36" s="307" t="str">
        <f>'9'!A36</f>
        <v>WR</v>
      </c>
      <c r="B36" s="307">
        <f>'9'!B36</f>
        <v>5.5</v>
      </c>
      <c r="C36" s="307" t="str">
        <f>'9'!C36</f>
        <v>22.A</v>
      </c>
      <c r="D36" s="308">
        <f>'9'!D36+J9</f>
        <v>284</v>
      </c>
      <c r="E36" s="308">
        <f>'9'!E36+K9</f>
        <v>593345</v>
      </c>
      <c r="F36" s="135"/>
      <c r="G36" s="307" t="str">
        <f>'9'!G36</f>
        <v>WR</v>
      </c>
      <c r="H36" s="309">
        <f>'9'!H36</f>
        <v>0</v>
      </c>
      <c r="I36" s="309">
        <f>'9'!I36</f>
        <v>0</v>
      </c>
      <c r="J36" s="170">
        <f>'9'!J36</f>
        <v>0</v>
      </c>
      <c r="K36" s="310">
        <f>'9'!K36</f>
        <v>0</v>
      </c>
      <c r="L36" s="135"/>
      <c r="M36" s="307" t="str">
        <f>'9'!M36</f>
        <v>WR</v>
      </c>
      <c r="N36" s="309">
        <f>'9'!N36</f>
        <v>0</v>
      </c>
      <c r="O36" s="309">
        <f>'9'!O36</f>
        <v>0</v>
      </c>
      <c r="P36" s="170">
        <f>'9'!P36</f>
        <v>0</v>
      </c>
      <c r="Q36" s="310">
        <f>'9'!Q36</f>
        <v>0</v>
      </c>
    </row>
    <row r="37" spans="1:17" x14ac:dyDescent="0.3">
      <c r="A37" s="307" t="str">
        <f>'9'!A37</f>
        <v>WR</v>
      </c>
      <c r="B37" s="307">
        <f>'9'!B37</f>
        <v>5.5</v>
      </c>
      <c r="C37" s="307" t="str">
        <f>'9'!C37</f>
        <v>Y.11</v>
      </c>
      <c r="D37" s="308">
        <f>'9'!D37+J7+J8</f>
        <v>526</v>
      </c>
      <c r="E37" s="308">
        <f>'9'!E37+K7+K8</f>
        <v>1102590</v>
      </c>
      <c r="F37" s="135"/>
      <c r="G37" s="307" t="str">
        <f>'9'!G37</f>
        <v>WR</v>
      </c>
      <c r="H37" s="309">
        <f>'9'!H37</f>
        <v>0</v>
      </c>
      <c r="I37" s="309">
        <f>'9'!I37</f>
        <v>0</v>
      </c>
      <c r="J37" s="170">
        <f>'9'!J37</f>
        <v>0</v>
      </c>
      <c r="K37" s="310">
        <f>'9'!K37</f>
        <v>0</v>
      </c>
      <c r="L37" s="135"/>
      <c r="M37" s="307" t="str">
        <f>'9'!M37</f>
        <v>WR</v>
      </c>
      <c r="N37" s="309">
        <f>'9'!N37</f>
        <v>0</v>
      </c>
      <c r="O37" s="309">
        <f>'9'!O37</f>
        <v>0</v>
      </c>
      <c r="P37" s="170">
        <f>'9'!P37</f>
        <v>0</v>
      </c>
      <c r="Q37" s="310">
        <f>'9'!Q37</f>
        <v>0</v>
      </c>
    </row>
    <row r="38" spans="1:17" x14ac:dyDescent="0.3">
      <c r="A38" s="307" t="str">
        <f>'9'!A38</f>
        <v>WR</v>
      </c>
      <c r="B38" s="307">
        <f>'9'!B38</f>
        <v>5.5</v>
      </c>
      <c r="C38" s="307" t="str">
        <f>'9'!C38</f>
        <v>67.A</v>
      </c>
      <c r="D38" s="308">
        <f>'9'!D38</f>
        <v>24</v>
      </c>
      <c r="E38" s="308">
        <f>'9'!E38</f>
        <v>50848</v>
      </c>
      <c r="F38" s="135"/>
      <c r="G38" s="307" t="str">
        <f>'9'!G38</f>
        <v>WR</v>
      </c>
      <c r="H38" s="309">
        <f>'9'!H38</f>
        <v>0</v>
      </c>
      <c r="I38" s="309">
        <f>'9'!I38</f>
        <v>0</v>
      </c>
      <c r="J38" s="170">
        <f>'9'!J38</f>
        <v>0</v>
      </c>
      <c r="K38" s="310">
        <f>'9'!K38</f>
        <v>0</v>
      </c>
      <c r="L38" s="135"/>
      <c r="M38" s="307" t="str">
        <f>'9'!M38</f>
        <v>WR</v>
      </c>
      <c r="N38" s="309">
        <f>'9'!N38</f>
        <v>0</v>
      </c>
      <c r="O38" s="309">
        <f>'9'!O38</f>
        <v>0</v>
      </c>
      <c r="P38" s="170">
        <f>'9'!P38</f>
        <v>0</v>
      </c>
      <c r="Q38" s="310">
        <f>'9'!Q38</f>
        <v>0</v>
      </c>
    </row>
    <row r="39" spans="1:17" x14ac:dyDescent="0.3">
      <c r="A39" s="307" t="str">
        <f>'9'!A39</f>
        <v>BIC</v>
      </c>
      <c r="B39" s="307" t="str">
        <f>'9'!B39</f>
        <v>P.8</v>
      </c>
      <c r="C39" s="307" t="str">
        <f>'9'!C39</f>
        <v>BjTPG280</v>
      </c>
      <c r="D39" s="308">
        <f>'9'!D39</f>
        <v>192</v>
      </c>
      <c r="E39" s="308">
        <f>'9'!E39</f>
        <v>400212</v>
      </c>
      <c r="F39" s="135"/>
      <c r="G39" s="307" t="str">
        <f>'9'!G39</f>
        <v>WR</v>
      </c>
      <c r="H39" s="309">
        <f>'9'!H39</f>
        <v>0</v>
      </c>
      <c r="I39" s="309">
        <f>'9'!I39</f>
        <v>0</v>
      </c>
      <c r="J39" s="170">
        <f>'9'!J39</f>
        <v>0</v>
      </c>
      <c r="K39" s="310">
        <f>'9'!K39</f>
        <v>0</v>
      </c>
      <c r="L39" s="135"/>
      <c r="M39" s="307" t="str">
        <f>'9'!M39</f>
        <v>WR</v>
      </c>
      <c r="N39" s="309">
        <f>'9'!N39</f>
        <v>0</v>
      </c>
      <c r="O39" s="309">
        <f>'9'!O39</f>
        <v>0</v>
      </c>
      <c r="P39" s="170">
        <f>'9'!P39</f>
        <v>0</v>
      </c>
      <c r="Q39" s="310">
        <f>'9'!Q39</f>
        <v>0</v>
      </c>
    </row>
    <row r="40" spans="1:17" x14ac:dyDescent="0.3">
      <c r="A40" s="307" t="str">
        <f>'9'!A40</f>
        <v>BIC</v>
      </c>
      <c r="B40" s="307" t="str">
        <f>'9'!B40</f>
        <v>S.8</v>
      </c>
      <c r="C40" s="307" t="str">
        <f>'9'!C40</f>
        <v>BjTSG420</v>
      </c>
      <c r="D40" s="308">
        <f>'9'!D40</f>
        <v>192</v>
      </c>
      <c r="E40" s="308">
        <f>'9'!E40</f>
        <v>395038</v>
      </c>
      <c r="F40" s="135"/>
      <c r="G40" s="307" t="str">
        <f>'9'!G40</f>
        <v>WR</v>
      </c>
      <c r="H40" s="309">
        <f>'9'!H40</f>
        <v>0</v>
      </c>
      <c r="I40" s="309">
        <f>'9'!I40</f>
        <v>0</v>
      </c>
      <c r="J40" s="170">
        <f>'9'!J40</f>
        <v>0</v>
      </c>
      <c r="K40" s="310">
        <f>'9'!K40</f>
        <v>0</v>
      </c>
      <c r="L40" s="135"/>
      <c r="M40" s="307" t="str">
        <f>'9'!M40</f>
        <v>WR</v>
      </c>
      <c r="N40" s="309">
        <f>'9'!N40</f>
        <v>0</v>
      </c>
      <c r="O40" s="309">
        <f>'9'!O40</f>
        <v>0</v>
      </c>
      <c r="P40" s="170">
        <f>'9'!P40</f>
        <v>0</v>
      </c>
      <c r="Q40" s="310">
        <f>'9'!Q40</f>
        <v>0</v>
      </c>
    </row>
    <row r="41" spans="1:17" x14ac:dyDescent="0.3">
      <c r="A41" s="307" t="str">
        <f>'9'!A41</f>
        <v>BIC</v>
      </c>
      <c r="B41" s="307" t="str">
        <f>'9'!B41</f>
        <v>S.10</v>
      </c>
      <c r="C41" s="307" t="str">
        <f>'9'!C41</f>
        <v>BjTSG420</v>
      </c>
      <c r="D41" s="308">
        <f>'9'!D41</f>
        <v>144</v>
      </c>
      <c r="E41" s="308">
        <f>'9'!E41</f>
        <v>295842</v>
      </c>
      <c r="F41" s="135"/>
      <c r="G41" s="307" t="str">
        <f>'9'!G41</f>
        <v>WR</v>
      </c>
      <c r="H41" s="309">
        <f>'9'!H41</f>
        <v>0</v>
      </c>
      <c r="I41" s="309">
        <f>'9'!I41</f>
        <v>0</v>
      </c>
      <c r="J41" s="170">
        <f>'9'!J41</f>
        <v>0</v>
      </c>
      <c r="K41" s="310">
        <f>'9'!K41</f>
        <v>0</v>
      </c>
      <c r="L41" s="135"/>
      <c r="M41" s="307" t="str">
        <f>'9'!M41</f>
        <v>WR</v>
      </c>
      <c r="N41" s="309">
        <f>'9'!N41</f>
        <v>0</v>
      </c>
      <c r="O41" s="309">
        <f>'9'!O41</f>
        <v>0</v>
      </c>
      <c r="P41" s="170">
        <f>'9'!P41</f>
        <v>0</v>
      </c>
      <c r="Q41" s="310">
        <f>'9'!Q41</f>
        <v>0</v>
      </c>
    </row>
    <row r="42" spans="1:17" x14ac:dyDescent="0.3">
      <c r="A42" s="307" t="str">
        <f>'9'!A42</f>
        <v>WR</v>
      </c>
      <c r="B42" s="307">
        <f>'9'!B42</f>
        <v>5.5</v>
      </c>
      <c r="C42" s="307">
        <f>'9'!C42</f>
        <v>8</v>
      </c>
      <c r="D42" s="308">
        <f>'9'!D42</f>
        <v>144</v>
      </c>
      <c r="E42" s="308">
        <f>'9'!E42</f>
        <v>302399</v>
      </c>
      <c r="F42" s="135"/>
      <c r="G42" s="307" t="str">
        <f>'9'!G42</f>
        <v>WR</v>
      </c>
      <c r="H42" s="309">
        <f>'9'!H42</f>
        <v>0</v>
      </c>
      <c r="I42" s="309">
        <f>'9'!I42</f>
        <v>0</v>
      </c>
      <c r="J42" s="170">
        <f>'9'!J42</f>
        <v>0</v>
      </c>
      <c r="K42" s="310">
        <f>'9'!K42</f>
        <v>0</v>
      </c>
      <c r="L42" s="135"/>
      <c r="M42" s="307" t="str">
        <f>'9'!M42</f>
        <v>WR</v>
      </c>
      <c r="N42" s="309">
        <f>'9'!N42</f>
        <v>0</v>
      </c>
      <c r="O42" s="309">
        <f>'9'!O42</f>
        <v>0</v>
      </c>
      <c r="P42" s="170">
        <f>'9'!P42</f>
        <v>0</v>
      </c>
      <c r="Q42" s="310">
        <f>'9'!Q42</f>
        <v>0</v>
      </c>
    </row>
    <row r="43" spans="1:17" x14ac:dyDescent="0.3">
      <c r="A43" s="307" t="str">
        <f>'9'!A43</f>
        <v>WR</v>
      </c>
      <c r="B43" s="307">
        <f>'9'!B43</f>
        <v>0</v>
      </c>
      <c r="C43" s="307">
        <f>'9'!C43</f>
        <v>0</v>
      </c>
      <c r="D43" s="308">
        <f>'9'!D43</f>
        <v>0</v>
      </c>
      <c r="E43" s="308">
        <f>'9'!E43</f>
        <v>0</v>
      </c>
      <c r="F43" s="135"/>
      <c r="G43" s="307" t="str">
        <f>'9'!G43</f>
        <v>WR</v>
      </c>
      <c r="H43" s="309">
        <f>'9'!H43</f>
        <v>0</v>
      </c>
      <c r="I43" s="309">
        <f>'9'!I43</f>
        <v>0</v>
      </c>
      <c r="J43" s="170">
        <f>'9'!J43</f>
        <v>0</v>
      </c>
      <c r="K43" s="310">
        <f>'9'!K43</f>
        <v>0</v>
      </c>
      <c r="L43" s="135"/>
      <c r="M43" s="307" t="str">
        <f>'9'!M43</f>
        <v>WR</v>
      </c>
      <c r="N43" s="309">
        <f>'9'!N43</f>
        <v>0</v>
      </c>
      <c r="O43" s="309">
        <f>'9'!O43</f>
        <v>0</v>
      </c>
      <c r="P43" s="170">
        <f>'9'!P43</f>
        <v>0</v>
      </c>
      <c r="Q43" s="310">
        <f>'9'!Q43</f>
        <v>0</v>
      </c>
    </row>
    <row r="44" spans="1:17" x14ac:dyDescent="0.3">
      <c r="A44" s="307" t="str">
        <f>'9'!A44</f>
        <v>WR</v>
      </c>
      <c r="B44" s="307">
        <f>'9'!B44</f>
        <v>0</v>
      </c>
      <c r="C44" s="307">
        <f>'9'!C44</f>
        <v>0</v>
      </c>
      <c r="D44" s="308">
        <f>'9'!D44</f>
        <v>0</v>
      </c>
      <c r="E44" s="308">
        <f>'9'!E44</f>
        <v>0</v>
      </c>
      <c r="F44" s="135"/>
      <c r="G44" s="307" t="str">
        <f>'9'!G44</f>
        <v>WR</v>
      </c>
      <c r="H44" s="309">
        <f>'9'!H44</f>
        <v>0</v>
      </c>
      <c r="I44" s="309">
        <f>'9'!I44</f>
        <v>0</v>
      </c>
      <c r="J44" s="170">
        <f>'9'!J44</f>
        <v>0</v>
      </c>
      <c r="K44" s="310">
        <f>'9'!K44</f>
        <v>0</v>
      </c>
      <c r="L44" s="135"/>
      <c r="M44" s="307" t="str">
        <f>'9'!M44</f>
        <v>WR</v>
      </c>
      <c r="N44" s="309">
        <f>'9'!N44</f>
        <v>0</v>
      </c>
      <c r="O44" s="309">
        <f>'9'!O44</f>
        <v>0</v>
      </c>
      <c r="P44" s="170">
        <f>'9'!P44</f>
        <v>0</v>
      </c>
      <c r="Q44" s="310">
        <f>'9'!Q44</f>
        <v>0</v>
      </c>
    </row>
    <row r="45" spans="1:17" x14ac:dyDescent="0.3">
      <c r="A45" s="307" t="str">
        <f>'9'!A45</f>
        <v>WR</v>
      </c>
      <c r="B45" s="307">
        <f>'9'!B45</f>
        <v>0</v>
      </c>
      <c r="C45" s="307">
        <f>'9'!C45</f>
        <v>0</v>
      </c>
      <c r="D45" s="308">
        <f>'9'!D45</f>
        <v>0</v>
      </c>
      <c r="E45" s="308">
        <f>'9'!E45</f>
        <v>0</v>
      </c>
      <c r="F45" s="135"/>
      <c r="G45" s="307" t="str">
        <f>'9'!G45</f>
        <v>WR</v>
      </c>
      <c r="H45" s="309">
        <f>'9'!H45</f>
        <v>0</v>
      </c>
      <c r="I45" s="309">
        <f>'9'!I45</f>
        <v>0</v>
      </c>
      <c r="J45" s="170">
        <f>'9'!J45</f>
        <v>0</v>
      </c>
      <c r="K45" s="310">
        <f>'9'!K45</f>
        <v>0</v>
      </c>
      <c r="L45" s="135"/>
      <c r="M45" s="307" t="str">
        <f>'9'!M45</f>
        <v>WR</v>
      </c>
      <c r="N45" s="309">
        <f>'9'!N45</f>
        <v>0</v>
      </c>
      <c r="O45" s="309">
        <f>'9'!O45</f>
        <v>0</v>
      </c>
      <c r="P45" s="170">
        <f>'9'!P45</f>
        <v>0</v>
      </c>
      <c r="Q45" s="310">
        <f>'9'!Q45</f>
        <v>0</v>
      </c>
    </row>
    <row r="46" spans="1:17" x14ac:dyDescent="0.3">
      <c r="A46" s="307" t="str">
        <f>'9'!A46</f>
        <v>WR</v>
      </c>
      <c r="B46" s="307">
        <f>'9'!B46</f>
        <v>0</v>
      </c>
      <c r="C46" s="307">
        <f>'9'!C46</f>
        <v>0</v>
      </c>
      <c r="D46" s="308">
        <f>'9'!D46</f>
        <v>0</v>
      </c>
      <c r="E46" s="308">
        <f>'9'!E46</f>
        <v>0</v>
      </c>
      <c r="F46" s="135"/>
      <c r="G46" s="307" t="str">
        <f>'9'!G46</f>
        <v>WR</v>
      </c>
      <c r="H46" s="309">
        <f>'9'!H46</f>
        <v>0</v>
      </c>
      <c r="I46" s="309">
        <f>'9'!I46</f>
        <v>0</v>
      </c>
      <c r="J46" s="170">
        <f>'9'!J46</f>
        <v>0</v>
      </c>
      <c r="K46" s="310">
        <f>'9'!K46</f>
        <v>0</v>
      </c>
      <c r="L46" s="135"/>
      <c r="M46" s="307" t="str">
        <f>'9'!M46</f>
        <v>WR</v>
      </c>
      <c r="N46" s="309">
        <f>'9'!N46</f>
        <v>0</v>
      </c>
      <c r="O46" s="309">
        <f>'9'!O46</f>
        <v>0</v>
      </c>
      <c r="P46" s="170">
        <f>'9'!P46</f>
        <v>0</v>
      </c>
      <c r="Q46" s="310">
        <f>'9'!Q46</f>
        <v>0</v>
      </c>
    </row>
    <row r="47" spans="1:17" x14ac:dyDescent="0.3">
      <c r="A47" s="307" t="str">
        <f>'9'!A47</f>
        <v>WR</v>
      </c>
      <c r="B47" s="307">
        <f>'9'!B47</f>
        <v>0</v>
      </c>
      <c r="C47" s="307">
        <f>'9'!C47</f>
        <v>0</v>
      </c>
      <c r="D47" s="308">
        <f>'9'!D47</f>
        <v>0</v>
      </c>
      <c r="E47" s="308">
        <f>'9'!E47</f>
        <v>0</v>
      </c>
      <c r="F47" s="135"/>
      <c r="G47" s="307" t="str">
        <f>'9'!G47</f>
        <v>WR</v>
      </c>
      <c r="H47" s="309">
        <f>'9'!H47</f>
        <v>0</v>
      </c>
      <c r="I47" s="309">
        <f>'9'!I47</f>
        <v>0</v>
      </c>
      <c r="J47" s="170">
        <f>'9'!J47</f>
        <v>0</v>
      </c>
      <c r="K47" s="310">
        <f>'9'!K47</f>
        <v>0</v>
      </c>
      <c r="L47" s="135"/>
      <c r="M47" s="307" t="str">
        <f>'9'!M47</f>
        <v>WR</v>
      </c>
      <c r="N47" s="309">
        <f>'9'!N47</f>
        <v>0</v>
      </c>
      <c r="O47" s="309">
        <f>'9'!O47</f>
        <v>0</v>
      </c>
      <c r="P47" s="170">
        <f>'9'!P47</f>
        <v>0</v>
      </c>
      <c r="Q47" s="310">
        <f>'9'!Q47</f>
        <v>0</v>
      </c>
    </row>
    <row r="48" spans="1:17" x14ac:dyDescent="0.3">
      <c r="A48" s="307" t="str">
        <f>'9'!A48</f>
        <v>WR</v>
      </c>
      <c r="B48" s="307">
        <f>'9'!B48</f>
        <v>0</v>
      </c>
      <c r="C48" s="307">
        <f>'9'!C48</f>
        <v>0</v>
      </c>
      <c r="D48" s="308">
        <f>'9'!D48</f>
        <v>0</v>
      </c>
      <c r="E48" s="308">
        <f>'9'!E48</f>
        <v>0</v>
      </c>
      <c r="F48" s="135"/>
      <c r="G48" s="307" t="str">
        <f>'9'!G48</f>
        <v>WR</v>
      </c>
      <c r="H48" s="309">
        <f>'9'!H48</f>
        <v>0</v>
      </c>
      <c r="I48" s="309">
        <f>'9'!I48</f>
        <v>0</v>
      </c>
      <c r="J48" s="170">
        <f>'9'!J48</f>
        <v>0</v>
      </c>
      <c r="K48" s="310">
        <f>'9'!K48</f>
        <v>0</v>
      </c>
      <c r="L48" s="135"/>
      <c r="M48" s="307" t="str">
        <f>'9'!M48</f>
        <v>WR</v>
      </c>
      <c r="N48" s="309">
        <f>'9'!N48</f>
        <v>0</v>
      </c>
      <c r="O48" s="309">
        <f>'9'!O48</f>
        <v>0</v>
      </c>
      <c r="P48" s="170">
        <f>'9'!P48</f>
        <v>0</v>
      </c>
      <c r="Q48" s="310">
        <f>'9'!Q48</f>
        <v>0</v>
      </c>
    </row>
    <row r="49" spans="1:23" x14ac:dyDescent="0.3">
      <c r="A49" s="307" t="str">
        <f>'9'!A49</f>
        <v>WR</v>
      </c>
      <c r="B49" s="307">
        <f>'9'!B49</f>
        <v>0</v>
      </c>
      <c r="C49" s="307">
        <f>'9'!C49</f>
        <v>0</v>
      </c>
      <c r="D49" s="308">
        <f>'9'!D49</f>
        <v>0</v>
      </c>
      <c r="E49" s="308">
        <f>'9'!E49</f>
        <v>0</v>
      </c>
      <c r="F49" s="3"/>
      <c r="G49" s="307" t="str">
        <f>'9'!G49</f>
        <v>WR</v>
      </c>
      <c r="H49" s="309">
        <f>'9'!H49</f>
        <v>0</v>
      </c>
      <c r="I49" s="309">
        <f>'9'!I49</f>
        <v>0</v>
      </c>
      <c r="J49" s="170">
        <f>'9'!J49</f>
        <v>0</v>
      </c>
      <c r="K49" s="310">
        <f>'9'!K49</f>
        <v>0</v>
      </c>
      <c r="L49" s="3"/>
      <c r="M49" s="307" t="str">
        <f>'9'!M49</f>
        <v>WR</v>
      </c>
      <c r="N49" s="309">
        <f>'9'!N49</f>
        <v>0</v>
      </c>
      <c r="O49" s="309">
        <f>'9'!O49</f>
        <v>0</v>
      </c>
      <c r="P49" s="170">
        <f>'9'!P49</f>
        <v>0</v>
      </c>
      <c r="Q49" s="310">
        <f>'9'!Q49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46032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299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33">
        <v>22</v>
      </c>
      <c r="C55" s="21"/>
      <c r="D55" s="547" t="s">
        <v>279</v>
      </c>
      <c r="E55" s="548"/>
      <c r="F55" s="548"/>
      <c r="G55" s="548"/>
      <c r="H55" s="548"/>
      <c r="I55" s="548"/>
      <c r="J55" s="93">
        <v>3</v>
      </c>
      <c r="K55" s="391"/>
      <c r="L55" s="466" t="s">
        <v>26</v>
      </c>
      <c r="M55" s="467"/>
      <c r="N55" s="467"/>
      <c r="O55" s="392" t="s">
        <v>13</v>
      </c>
      <c r="P55" s="393">
        <f>C16</f>
        <v>1109636</v>
      </c>
      <c r="Q55" s="394">
        <f>C26</f>
        <v>5198451</v>
      </c>
      <c r="R55" s="395"/>
      <c r="S55" s="388">
        <f>DAY(A52)</f>
        <v>10</v>
      </c>
      <c r="T55" s="383">
        <f>S55-U55</f>
        <v>5</v>
      </c>
      <c r="U55" s="383">
        <f>'9'!U55</f>
        <v>5</v>
      </c>
    </row>
    <row r="56" spans="1:23" x14ac:dyDescent="0.3">
      <c r="A56" s="95" t="s">
        <v>37</v>
      </c>
      <c r="B56" s="434">
        <v>24</v>
      </c>
      <c r="C56" s="77"/>
      <c r="D56" s="544"/>
      <c r="E56" s="545"/>
      <c r="F56" s="545"/>
      <c r="G56" s="545"/>
      <c r="H56" s="545"/>
      <c r="I56" s="546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1096712</v>
      </c>
      <c r="Q56" s="398">
        <f>K27</f>
        <v>5113512</v>
      </c>
      <c r="R56" s="399"/>
    </row>
    <row r="57" spans="1:23" x14ac:dyDescent="0.3">
      <c r="A57" s="95" t="s">
        <v>39</v>
      </c>
      <c r="B57" s="434">
        <v>1</v>
      </c>
      <c r="C57" s="77"/>
      <c r="D57" s="544" t="s">
        <v>280</v>
      </c>
      <c r="E57" s="545"/>
      <c r="F57" s="545"/>
      <c r="G57" s="545"/>
      <c r="H57" s="545"/>
      <c r="I57" s="546"/>
      <c r="J57" s="97">
        <v>55</v>
      </c>
      <c r="K57" s="391"/>
      <c r="L57" s="468" t="s">
        <v>19</v>
      </c>
      <c r="M57" s="469"/>
      <c r="N57" s="469"/>
      <c r="O57" s="400" t="s">
        <v>14</v>
      </c>
      <c r="P57" s="401">
        <f>L17</f>
        <v>0.98835293735963869</v>
      </c>
      <c r="Q57" s="430">
        <f>L27</f>
        <v>0.98366070969987018</v>
      </c>
      <c r="R57" s="403">
        <v>0.98499999999999999</v>
      </c>
    </row>
    <row r="58" spans="1:23" x14ac:dyDescent="0.3">
      <c r="A58" s="95" t="s">
        <v>41</v>
      </c>
      <c r="B58" s="434">
        <v>24</v>
      </c>
      <c r="C58" s="77"/>
      <c r="D58" s="544"/>
      <c r="E58" s="545"/>
      <c r="F58" s="545"/>
      <c r="G58" s="545"/>
      <c r="H58" s="545"/>
      <c r="I58" s="546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2119</v>
      </c>
      <c r="Q58" s="394">
        <f>E26</f>
        <v>23249</v>
      </c>
      <c r="R58" s="395"/>
    </row>
    <row r="59" spans="1:23" x14ac:dyDescent="0.3">
      <c r="A59" s="95" t="s">
        <v>43</v>
      </c>
      <c r="B59" s="434">
        <v>17</v>
      </c>
      <c r="C59" s="77">
        <v>1</v>
      </c>
      <c r="D59" s="544" t="s">
        <v>281</v>
      </c>
      <c r="E59" s="545"/>
      <c r="F59" s="545"/>
      <c r="G59" s="545"/>
      <c r="H59" s="545"/>
      <c r="I59" s="546"/>
      <c r="J59" s="97">
        <v>16</v>
      </c>
      <c r="K59" s="391"/>
      <c r="L59" s="509"/>
      <c r="M59" s="510"/>
      <c r="N59" s="510"/>
      <c r="O59" s="400" t="s">
        <v>14</v>
      </c>
      <c r="P59" s="401">
        <f>F16</f>
        <v>1.9096352317336497E-3</v>
      </c>
      <c r="Q59" s="430">
        <f>F26</f>
        <v>4.4722937659699017E-3</v>
      </c>
      <c r="R59" s="404">
        <v>1.5E-3</v>
      </c>
    </row>
    <row r="60" spans="1:23" x14ac:dyDescent="0.3">
      <c r="A60" s="95" t="s">
        <v>45</v>
      </c>
      <c r="B60" s="434">
        <v>21</v>
      </c>
      <c r="C60" s="77"/>
      <c r="D60" s="544" t="s">
        <v>281</v>
      </c>
      <c r="E60" s="545"/>
      <c r="F60" s="545"/>
      <c r="G60" s="545"/>
      <c r="H60" s="545"/>
      <c r="I60" s="546"/>
      <c r="J60" s="97">
        <v>8</v>
      </c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</f>
        <v>14400</v>
      </c>
      <c r="R60" s="406"/>
    </row>
    <row r="61" spans="1:23" x14ac:dyDescent="0.3">
      <c r="A61" s="95" t="s">
        <v>47</v>
      </c>
      <c r="B61" s="434">
        <v>25</v>
      </c>
      <c r="C61" s="77"/>
      <c r="D61" s="549"/>
      <c r="E61" s="550"/>
      <c r="F61" s="550"/>
      <c r="G61" s="550"/>
      <c r="H61" s="550"/>
      <c r="I61" s="551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</f>
        <v>7200</v>
      </c>
      <c r="R61" s="395"/>
    </row>
    <row r="62" spans="1:23" x14ac:dyDescent="0.3">
      <c r="A62" s="95" t="s">
        <v>49</v>
      </c>
      <c r="B62" s="434">
        <v>24</v>
      </c>
      <c r="C62" s="77"/>
      <c r="D62" s="549"/>
      <c r="E62" s="550"/>
      <c r="F62" s="550"/>
      <c r="G62" s="550"/>
      <c r="H62" s="550"/>
      <c r="I62" s="551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</f>
        <v>7200</v>
      </c>
      <c r="R62" s="399"/>
    </row>
    <row r="63" spans="1:23" x14ac:dyDescent="0.3">
      <c r="A63" s="95" t="s">
        <v>51</v>
      </c>
      <c r="B63" s="434">
        <v>24</v>
      </c>
      <c r="C63" s="77"/>
      <c r="D63" s="549"/>
      <c r="E63" s="550"/>
      <c r="F63" s="550"/>
      <c r="G63" s="550"/>
      <c r="H63" s="550"/>
      <c r="I63" s="55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</f>
        <v>0</v>
      </c>
      <c r="R63" s="399"/>
    </row>
    <row r="64" spans="1:23" x14ac:dyDescent="0.3">
      <c r="A64" s="95" t="s">
        <v>53</v>
      </c>
      <c r="B64" s="434">
        <v>25</v>
      </c>
      <c r="C64" s="77"/>
      <c r="D64" s="549"/>
      <c r="E64" s="550"/>
      <c r="F64" s="550"/>
      <c r="G64" s="550"/>
      <c r="H64" s="550"/>
      <c r="I64" s="551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34">
        <v>21</v>
      </c>
      <c r="C65" s="77"/>
      <c r="D65" s="549" t="s">
        <v>282</v>
      </c>
      <c r="E65" s="550"/>
      <c r="F65" s="550"/>
      <c r="G65" s="550"/>
      <c r="H65" s="550"/>
      <c r="I65" s="551"/>
      <c r="J65" s="97">
        <v>9</v>
      </c>
      <c r="K65" s="391"/>
      <c r="L65" s="466" t="s">
        <v>46</v>
      </c>
      <c r="M65" s="467"/>
      <c r="N65" s="467"/>
      <c r="O65" s="106" t="s">
        <v>28</v>
      </c>
      <c r="P65" s="126">
        <f>SUM(P66:P68)</f>
        <v>100</v>
      </c>
      <c r="Q65" s="100">
        <f>'1'!Q65+'2'!P65+'3'!P65+'4'!P65+'5'!P65+'6'!P65+'7'!P65+'8'!P65+'9'!P65+'10'!P65</f>
        <v>673</v>
      </c>
      <c r="R65" s="395"/>
      <c r="S65" s="171" t="s">
        <v>56</v>
      </c>
      <c r="T65" s="172"/>
      <c r="U65" s="173" t="s">
        <v>151</v>
      </c>
      <c r="V65" s="174"/>
      <c r="W65" s="181">
        <f>+'9'!W65+'10'!V65</f>
        <v>6</v>
      </c>
    </row>
    <row r="66" spans="1:23" x14ac:dyDescent="0.3">
      <c r="A66" s="95" t="s">
        <v>57</v>
      </c>
      <c r="B66" s="434">
        <v>25</v>
      </c>
      <c r="C66" s="77"/>
      <c r="D66" s="544"/>
      <c r="E66" s="545"/>
      <c r="F66" s="545"/>
      <c r="G66" s="545"/>
      <c r="H66" s="545"/>
      <c r="I66" s="546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+'9'!W66+'10'!V66</f>
        <v>4</v>
      </c>
    </row>
    <row r="67" spans="1:23" x14ac:dyDescent="0.3">
      <c r="A67" s="95" t="s">
        <v>59</v>
      </c>
      <c r="B67" s="434">
        <v>24</v>
      </c>
      <c r="C67" s="77"/>
      <c r="D67" s="544"/>
      <c r="E67" s="545"/>
      <c r="F67" s="545"/>
      <c r="G67" s="545"/>
      <c r="H67" s="545"/>
      <c r="I67" s="546"/>
      <c r="J67" s="97"/>
      <c r="K67" s="391"/>
      <c r="L67" s="502" t="s">
        <v>50</v>
      </c>
      <c r="M67" s="498"/>
      <c r="N67" s="498"/>
      <c r="O67" s="408" t="s">
        <v>28</v>
      </c>
      <c r="P67" s="138">
        <v>82</v>
      </c>
      <c r="Q67" s="99">
        <f>'1'!Q67+'2'!P67+'3'!P67+'4'!P67+'5'!P67+'6'!P67+'7'!P67+'8'!P67+'9'!P67+'10'!P67</f>
        <v>569</v>
      </c>
      <c r="R67" s="399"/>
      <c r="S67" s="377" t="s">
        <v>60</v>
      </c>
      <c r="T67" s="175"/>
      <c r="U67" s="176" t="s">
        <v>151</v>
      </c>
      <c r="V67" s="177"/>
      <c r="W67" s="182">
        <f>+'9'!W67+'10'!V67</f>
        <v>0</v>
      </c>
    </row>
    <row r="68" spans="1:23" x14ac:dyDescent="0.3">
      <c r="A68" s="95" t="s">
        <v>61</v>
      </c>
      <c r="B68" s="434">
        <v>25</v>
      </c>
      <c r="C68" s="77"/>
      <c r="D68" s="544"/>
      <c r="E68" s="545"/>
      <c r="F68" s="545"/>
      <c r="G68" s="545"/>
      <c r="H68" s="545"/>
      <c r="I68" s="546"/>
      <c r="J68" s="97"/>
      <c r="K68" s="391"/>
      <c r="L68" s="468" t="s">
        <v>52</v>
      </c>
      <c r="M68" s="469"/>
      <c r="N68" s="469"/>
      <c r="O68" s="85" t="s">
        <v>28</v>
      </c>
      <c r="P68" s="141">
        <v>18</v>
      </c>
      <c r="Q68" s="86">
        <f>'1'!Q68+'2'!P68+'3'!P68+'4'!P68+'5'!P68+'6'!P68+'7'!P68+'8'!P68+'9'!P68+'10'!P68</f>
        <v>104</v>
      </c>
      <c r="R68" s="409"/>
      <c r="S68" s="377" t="s">
        <v>62</v>
      </c>
      <c r="T68" s="175"/>
      <c r="U68" s="176" t="s">
        <v>151</v>
      </c>
      <c r="V68" s="177">
        <v>1</v>
      </c>
      <c r="W68" s="182">
        <f>+'9'!W68+'10'!V68</f>
        <v>1</v>
      </c>
    </row>
    <row r="69" spans="1:23" x14ac:dyDescent="0.3">
      <c r="A69" s="95" t="s">
        <v>63</v>
      </c>
      <c r="B69" s="434">
        <v>17</v>
      </c>
      <c r="C69" s="77"/>
      <c r="D69" s="544" t="s">
        <v>283</v>
      </c>
      <c r="E69" s="545"/>
      <c r="F69" s="545"/>
      <c r="G69" s="545"/>
      <c r="H69" s="545"/>
      <c r="I69" s="546"/>
      <c r="J69" s="97">
        <v>20</v>
      </c>
      <c r="K69" s="391"/>
      <c r="L69" s="466" t="s">
        <v>54</v>
      </c>
      <c r="M69" s="467"/>
      <c r="N69" s="467"/>
      <c r="O69" s="106" t="s">
        <v>28</v>
      </c>
      <c r="P69" s="100">
        <f>SUM(P70:P74)</f>
        <v>36</v>
      </c>
      <c r="Q69" s="100">
        <f>'1'!Q69+'2'!P69+'3'!P69+'4'!P69+'5'!P69+'6'!P69+'7'!P69+'8'!P69+'9'!P69+'10'!P69</f>
        <v>489</v>
      </c>
      <c r="R69" s="395"/>
      <c r="S69" s="376" t="s">
        <v>64</v>
      </c>
      <c r="T69" s="178"/>
      <c r="U69" s="179" t="s">
        <v>151</v>
      </c>
      <c r="V69" s="180"/>
      <c r="W69" s="183">
        <f>+'9'!W69+'10'!V69</f>
        <v>0</v>
      </c>
    </row>
    <row r="70" spans="1:23" x14ac:dyDescent="0.3">
      <c r="A70" s="95" t="s">
        <v>65</v>
      </c>
      <c r="B70" s="434">
        <v>14</v>
      </c>
      <c r="C70" s="77"/>
      <c r="D70" s="544" t="s">
        <v>284</v>
      </c>
      <c r="E70" s="545"/>
      <c r="F70" s="545"/>
      <c r="G70" s="545"/>
      <c r="H70" s="545"/>
      <c r="I70" s="546"/>
      <c r="J70" s="97">
        <v>21</v>
      </c>
      <c r="K70" s="407"/>
      <c r="L70" s="497" t="s">
        <v>56</v>
      </c>
      <c r="M70" s="498"/>
      <c r="N70" s="498"/>
      <c r="O70" s="408" t="s">
        <v>28</v>
      </c>
      <c r="P70" s="138">
        <v>4</v>
      </c>
      <c r="Q70" s="429">
        <f>'1'!Q70+'2'!P70+'3'!P70+'4'!P70+'5'!P70+'6'!P70+'7'!P70+'8'!P70+'9'!P70+'10'!P70</f>
        <v>217</v>
      </c>
      <c r="R70" s="399">
        <f>T55*30</f>
        <v>150</v>
      </c>
    </row>
    <row r="71" spans="1:23" x14ac:dyDescent="0.3">
      <c r="A71" s="95" t="s">
        <v>67</v>
      </c>
      <c r="B71" s="434">
        <v>25</v>
      </c>
      <c r="C71" s="77"/>
      <c r="D71" s="463"/>
      <c r="E71" s="543"/>
      <c r="F71" s="543"/>
      <c r="G71" s="543"/>
      <c r="H71" s="543"/>
      <c r="I71" s="543"/>
      <c r="J71" s="97"/>
      <c r="K71" s="391"/>
      <c r="L71" s="497" t="s">
        <v>58</v>
      </c>
      <c r="M71" s="498"/>
      <c r="N71" s="498"/>
      <c r="O71" s="408" t="s">
        <v>28</v>
      </c>
      <c r="P71" s="138">
        <v>8</v>
      </c>
      <c r="Q71" s="429">
        <f>'1'!Q71+'2'!P71+'3'!P71+'4'!P71+'5'!P71+'6'!P71+'7'!P71+'8'!P71+'9'!P71+'10'!P71</f>
        <v>229</v>
      </c>
      <c r="R71" s="399">
        <f>T55*25</f>
        <v>125</v>
      </c>
    </row>
    <row r="72" spans="1:23" x14ac:dyDescent="0.3">
      <c r="A72" s="95" t="s">
        <v>69</v>
      </c>
      <c r="B72" s="434">
        <v>24</v>
      </c>
      <c r="C72" s="77"/>
      <c r="D72" s="463"/>
      <c r="E72" s="543"/>
      <c r="F72" s="543"/>
      <c r="G72" s="543"/>
      <c r="H72" s="543"/>
      <c r="I72" s="543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</f>
        <v>19</v>
      </c>
      <c r="R72" s="399">
        <f>T55*10</f>
        <v>50</v>
      </c>
    </row>
    <row r="73" spans="1:23" x14ac:dyDescent="0.3">
      <c r="A73" s="95" t="s">
        <v>71</v>
      </c>
      <c r="B73" s="434">
        <v>24</v>
      </c>
      <c r="C73" s="77"/>
      <c r="D73" s="549"/>
      <c r="E73" s="550"/>
      <c r="F73" s="550"/>
      <c r="G73" s="550"/>
      <c r="H73" s="550"/>
      <c r="I73" s="551"/>
      <c r="J73" s="97"/>
      <c r="K73" s="391"/>
      <c r="L73" s="497" t="s">
        <v>62</v>
      </c>
      <c r="M73" s="498"/>
      <c r="N73" s="498"/>
      <c r="O73" s="408" t="s">
        <v>28</v>
      </c>
      <c r="P73" s="138">
        <v>24</v>
      </c>
      <c r="Q73" s="99">
        <f>'1'!Q73+'2'!P73+'3'!P73+'4'!P73+'5'!P73+'6'!P73+'7'!P73+'8'!P73+'9'!P73+'10'!P73</f>
        <v>24</v>
      </c>
      <c r="R73" s="399"/>
    </row>
    <row r="74" spans="1:23" x14ac:dyDescent="0.3">
      <c r="A74" s="95" t="s">
        <v>73</v>
      </c>
      <c r="B74" s="434">
        <v>25</v>
      </c>
      <c r="C74" s="77"/>
      <c r="D74" s="549"/>
      <c r="E74" s="550"/>
      <c r="F74" s="550"/>
      <c r="G74" s="550"/>
      <c r="H74" s="550"/>
      <c r="I74" s="551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</f>
        <v>0</v>
      </c>
      <c r="R74" s="409"/>
    </row>
    <row r="75" spans="1:23" x14ac:dyDescent="0.3">
      <c r="A75" s="95" t="s">
        <v>75</v>
      </c>
      <c r="B75" s="434">
        <v>24</v>
      </c>
      <c r="C75" s="77"/>
      <c r="D75" s="549"/>
      <c r="E75" s="550"/>
      <c r="F75" s="550"/>
      <c r="G75" s="550"/>
      <c r="H75" s="550"/>
      <c r="I75" s="551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</f>
        <v>7200</v>
      </c>
      <c r="R75" s="406"/>
    </row>
    <row r="76" spans="1:23" x14ac:dyDescent="0.3">
      <c r="A76" s="95" t="s">
        <v>77</v>
      </c>
      <c r="B76" s="434">
        <v>24</v>
      </c>
      <c r="C76" s="77"/>
      <c r="D76" s="549"/>
      <c r="E76" s="550"/>
      <c r="F76" s="550"/>
      <c r="G76" s="550"/>
      <c r="H76" s="550"/>
      <c r="I76" s="551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136</v>
      </c>
      <c r="Q76" s="94">
        <f>'1'!Q76+'2'!P76+'3'!P76+'4'!P76+'5'!P76+'6'!P76+'7'!P76+'8'!P76+'9'!P76+'10'!P76</f>
        <v>1162</v>
      </c>
      <c r="R76" s="406"/>
    </row>
    <row r="77" spans="1:23" x14ac:dyDescent="0.3">
      <c r="A77" s="95" t="s">
        <v>79</v>
      </c>
      <c r="B77" s="434">
        <v>21</v>
      </c>
      <c r="C77" s="77"/>
      <c r="D77" s="549" t="s">
        <v>285</v>
      </c>
      <c r="E77" s="550"/>
      <c r="F77" s="550"/>
      <c r="G77" s="550"/>
      <c r="H77" s="550"/>
      <c r="I77" s="551"/>
      <c r="J77" s="97">
        <v>4</v>
      </c>
      <c r="K77" s="391"/>
      <c r="L77" s="486" t="s">
        <v>70</v>
      </c>
      <c r="M77" s="487"/>
      <c r="N77" s="488"/>
      <c r="O77" s="405" t="s">
        <v>28</v>
      </c>
      <c r="P77" s="142">
        <v>136</v>
      </c>
      <c r="Q77" s="94">
        <f>'1'!Q77+'2'!P77+'3'!P77+'4'!P77+'5'!P77+'6'!P77+'7'!P77+'8'!P77+'9'!P77+'10'!P77</f>
        <v>1162</v>
      </c>
      <c r="R77" s="406"/>
    </row>
    <row r="78" spans="1:23" x14ac:dyDescent="0.3">
      <c r="A78" s="109" t="s">
        <v>82</v>
      </c>
      <c r="B78" s="435">
        <v>24</v>
      </c>
      <c r="C78" s="111"/>
      <c r="D78" s="549"/>
      <c r="E78" s="550"/>
      <c r="F78" s="550"/>
      <c r="G78" s="550"/>
      <c r="H78" s="550"/>
      <c r="I78" s="551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</f>
        <v>0</v>
      </c>
      <c r="R78" s="406"/>
    </row>
    <row r="79" spans="1:23" x14ac:dyDescent="0.3">
      <c r="A79" s="114"/>
      <c r="B79" s="115">
        <f>SUM(B55:B78)</f>
        <v>524</v>
      </c>
      <c r="C79" s="116">
        <f>SUM(C55:C78)</f>
        <v>1</v>
      </c>
      <c r="D79" s="470"/>
      <c r="E79" s="471"/>
      <c r="F79" s="471"/>
      <c r="G79" s="471"/>
      <c r="H79" s="471"/>
      <c r="I79" s="472"/>
      <c r="J79" s="117">
        <f>SUM(J55:J78)</f>
        <v>136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1304</v>
      </c>
      <c r="Q79" s="94">
        <f>'1'!Q79+'2'!P79+'3'!P79+'4'!P79+'5'!P79+'6'!P79+'7'!P79+'8'!P79+'9'!P79+'10'!P79</f>
        <v>6038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0.90555555555555556</v>
      </c>
      <c r="Q80" s="431">
        <f>Q79/Q75</f>
        <v>0.83861111111111108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0.90555555555555556</v>
      </c>
      <c r="Q81" s="165">
        <f>Q79/Q60</f>
        <v>0.41930555555555554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51.056871165644168</v>
      </c>
      <c r="Q82" s="150">
        <f>(C26/1000)/(Q79/60)</f>
        <v>51.65734680357734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46.234833333333334</v>
      </c>
      <c r="Q83" s="113">
        <f>(C26/1000)/(Q75/60)</f>
        <v>43.320425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35307</v>
      </c>
      <c r="Q84" s="100">
        <f>'1'!Q84+'2'!P84+'3'!P84+'4'!P84+'5'!P84+'6'!P84+'7'!P84+'8'!P84+'9'!P84+'10'!P84</f>
        <v>179722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32.193502031526961</v>
      </c>
      <c r="Q85" s="124">
        <f>Q84/(K27/1000)</f>
        <v>35.146490318200094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214.09</v>
      </c>
      <c r="Q86" s="100">
        <f>'1'!Q86+'2'!P86+'3'!P86+'4'!P86+'5'!P86+'6'!P86+'7'!P86+'8'!P86+'9'!P86+'10'!P86</f>
        <v>1034.49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196.67393319388214</v>
      </c>
      <c r="Q87" s="124">
        <f>(Q86*1000)/(K26/1000)</f>
        <v>203.42884650894439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81</v>
      </c>
      <c r="Q88" s="100">
        <f>'1'!Q88+'2'!P88+'3'!P88+'4'!P88+'5'!P88+'6'!P88+'7'!P88+'8'!P88+'9'!P88+'10'!P88</f>
        <v>889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7.4410708527742786E-2</v>
      </c>
      <c r="Q89" s="124">
        <f>Q88/(K26/1000)</f>
        <v>0.17481874599701452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12" priority="1" operator="lessThan">
      <formula>0.0018</formula>
    </cfRule>
  </conditionalFormatting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D46" zoomScaleNormal="100" workbookViewId="0">
      <selection activeCell="R59" sqref="R59"/>
    </sheetView>
  </sheetViews>
  <sheetFormatPr defaultRowHeight="16.5" x14ac:dyDescent="0.3"/>
  <cols>
    <col min="1" max="1" width="8.4257812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59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'10'!A3:Q3+1</f>
        <v>46033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236</v>
      </c>
      <c r="B7" s="15">
        <v>34</v>
      </c>
      <c r="C7" s="15">
        <v>72046</v>
      </c>
      <c r="D7" s="16"/>
      <c r="E7" s="17"/>
      <c r="F7" s="18"/>
      <c r="G7" s="19" t="s">
        <v>1</v>
      </c>
      <c r="H7" s="20">
        <v>5.5</v>
      </c>
      <c r="I7" s="21" t="s">
        <v>237</v>
      </c>
      <c r="J7" s="22">
        <v>34</v>
      </c>
      <c r="K7" s="17">
        <v>71317</v>
      </c>
      <c r="L7" s="23">
        <f t="shared" ref="L7:L16" si="0">K7/C7</f>
        <v>0.98988146461982618</v>
      </c>
      <c r="M7" s="17"/>
      <c r="N7" s="22"/>
      <c r="O7" s="134"/>
      <c r="P7" s="134"/>
      <c r="Q7" s="134"/>
    </row>
    <row r="8" spans="1:17" x14ac:dyDescent="0.3">
      <c r="A8" s="24" t="s">
        <v>236</v>
      </c>
      <c r="B8" s="25">
        <v>1</v>
      </c>
      <c r="C8" s="25">
        <v>2119</v>
      </c>
      <c r="D8" s="26"/>
      <c r="E8" s="27"/>
      <c r="F8" s="28"/>
      <c r="G8" s="29" t="s">
        <v>1</v>
      </c>
      <c r="H8" s="30">
        <v>5.5</v>
      </c>
      <c r="I8" s="31" t="s">
        <v>273</v>
      </c>
      <c r="J8" s="32">
        <v>1</v>
      </c>
      <c r="K8" s="33">
        <v>2088</v>
      </c>
      <c r="L8" s="34">
        <f t="shared" si="0"/>
        <v>0.98537045776309584</v>
      </c>
      <c r="M8" s="33"/>
      <c r="N8" s="32"/>
      <c r="O8" s="135"/>
      <c r="P8" s="135"/>
      <c r="Q8" s="135"/>
    </row>
    <row r="9" spans="1:17" x14ac:dyDescent="0.3">
      <c r="A9" s="24" t="s">
        <v>221</v>
      </c>
      <c r="B9" s="25">
        <v>144</v>
      </c>
      <c r="C9" s="25">
        <v>305424</v>
      </c>
      <c r="D9" s="26">
        <v>1</v>
      </c>
      <c r="E9" s="33">
        <v>2121</v>
      </c>
      <c r="F9" s="28">
        <f t="shared" ref="F9:F10" si="1">E9/C9</f>
        <v>6.9444444444444441E-3</v>
      </c>
      <c r="G9" s="29" t="s">
        <v>1</v>
      </c>
      <c r="H9" s="30">
        <v>5.5</v>
      </c>
      <c r="I9" s="31" t="s">
        <v>204</v>
      </c>
      <c r="J9" s="32">
        <v>143</v>
      </c>
      <c r="K9" s="33">
        <v>299522</v>
      </c>
      <c r="L9" s="34">
        <f t="shared" si="0"/>
        <v>0.98067604379485562</v>
      </c>
      <c r="M9" s="33"/>
      <c r="N9" s="32"/>
      <c r="O9" s="135"/>
      <c r="P9" s="135"/>
      <c r="Q9" s="135"/>
    </row>
    <row r="10" spans="1:17" x14ac:dyDescent="0.3">
      <c r="A10" s="35" t="s">
        <v>242</v>
      </c>
      <c r="B10" s="36">
        <v>23</v>
      </c>
      <c r="C10" s="36">
        <v>48921</v>
      </c>
      <c r="D10" s="37">
        <v>1</v>
      </c>
      <c r="E10" s="38">
        <v>2127</v>
      </c>
      <c r="F10" s="18">
        <f t="shared" si="1"/>
        <v>4.3478260869565216E-2</v>
      </c>
      <c r="G10" s="39" t="s">
        <v>1</v>
      </c>
      <c r="H10" s="40">
        <v>5.5</v>
      </c>
      <c r="I10" s="31" t="s">
        <v>243</v>
      </c>
      <c r="J10" s="41">
        <v>22</v>
      </c>
      <c r="K10" s="42">
        <v>46124</v>
      </c>
      <c r="L10" s="34">
        <f t="shared" si="0"/>
        <v>0.94282618916211847</v>
      </c>
      <c r="M10" s="33"/>
      <c r="N10" s="32"/>
      <c r="O10" s="135"/>
      <c r="P10" s="135"/>
      <c r="Q10" s="135"/>
    </row>
    <row r="11" spans="1:17" x14ac:dyDescent="0.3">
      <c r="A11" s="35" t="s">
        <v>274</v>
      </c>
      <c r="B11" s="36">
        <v>5</v>
      </c>
      <c r="C11" s="36">
        <v>10625</v>
      </c>
      <c r="D11" s="37"/>
      <c r="E11" s="38"/>
      <c r="F11" s="18"/>
      <c r="G11" s="39" t="s">
        <v>1</v>
      </c>
      <c r="H11" s="40">
        <v>5.5</v>
      </c>
      <c r="I11" s="31" t="s">
        <v>243</v>
      </c>
      <c r="J11" s="41">
        <v>5</v>
      </c>
      <c r="K11" s="42">
        <v>10450</v>
      </c>
      <c r="L11" s="34">
        <f t="shared" si="0"/>
        <v>0.98352941176470587</v>
      </c>
      <c r="M11" s="33"/>
      <c r="N11" s="32"/>
      <c r="O11" s="135"/>
      <c r="P11" s="135"/>
      <c r="Q11" s="135"/>
    </row>
    <row r="12" spans="1:17" x14ac:dyDescent="0.3">
      <c r="A12" s="35" t="s">
        <v>275</v>
      </c>
      <c r="B12" s="36">
        <v>144</v>
      </c>
      <c r="C12" s="36">
        <v>307008</v>
      </c>
      <c r="D12" s="37"/>
      <c r="E12" s="38"/>
      <c r="F12" s="18"/>
      <c r="G12" s="39" t="s">
        <v>1</v>
      </c>
      <c r="H12" s="40">
        <v>5.5</v>
      </c>
      <c r="I12" s="31" t="s">
        <v>276</v>
      </c>
      <c r="J12" s="41">
        <v>144</v>
      </c>
      <c r="K12" s="42">
        <v>304535</v>
      </c>
      <c r="L12" s="34">
        <f t="shared" si="0"/>
        <v>0.99194483531373778</v>
      </c>
      <c r="M12" s="33"/>
      <c r="N12" s="32"/>
      <c r="O12" s="135"/>
      <c r="P12" s="135"/>
      <c r="Q12" s="135"/>
    </row>
    <row r="13" spans="1:17" x14ac:dyDescent="0.3">
      <c r="A13" s="35" t="s">
        <v>244</v>
      </c>
      <c r="B13" s="36">
        <v>48</v>
      </c>
      <c r="C13" s="36">
        <v>102336</v>
      </c>
      <c r="D13" s="37"/>
      <c r="E13" s="38"/>
      <c r="F13" s="18"/>
      <c r="G13" s="39" t="s">
        <v>1</v>
      </c>
      <c r="H13" s="40">
        <v>5.5</v>
      </c>
      <c r="I13" s="31" t="s">
        <v>245</v>
      </c>
      <c r="J13" s="41">
        <v>48</v>
      </c>
      <c r="K13" s="42">
        <v>101334</v>
      </c>
      <c r="L13" s="34">
        <f t="shared" si="0"/>
        <v>0.99020872420262662</v>
      </c>
      <c r="M13" s="33"/>
      <c r="N13" s="32"/>
      <c r="O13" s="135"/>
      <c r="P13" s="135"/>
      <c r="Q13" s="135"/>
    </row>
    <row r="14" spans="1:17" x14ac:dyDescent="0.3">
      <c r="A14" s="35" t="s">
        <v>200</v>
      </c>
      <c r="B14" s="36">
        <v>48</v>
      </c>
      <c r="C14" s="36">
        <v>101232</v>
      </c>
      <c r="D14" s="37"/>
      <c r="E14" s="38"/>
      <c r="F14" s="18"/>
      <c r="G14" s="39" t="s">
        <v>195</v>
      </c>
      <c r="H14" s="40" t="s">
        <v>246</v>
      </c>
      <c r="I14" s="31" t="s">
        <v>202</v>
      </c>
      <c r="J14" s="41">
        <v>48</v>
      </c>
      <c r="K14" s="42">
        <v>99568</v>
      </c>
      <c r="L14" s="34">
        <f t="shared" si="0"/>
        <v>0.98356250987829941</v>
      </c>
      <c r="M14" s="43"/>
      <c r="N14" s="44"/>
      <c r="O14" s="135"/>
      <c r="P14" s="135"/>
      <c r="Q14" s="135"/>
    </row>
    <row r="15" spans="1:17" x14ac:dyDescent="0.3">
      <c r="A15" s="35" t="s">
        <v>200</v>
      </c>
      <c r="B15" s="36">
        <v>3</v>
      </c>
      <c r="C15" s="36">
        <v>6327</v>
      </c>
      <c r="D15" s="37"/>
      <c r="E15" s="38"/>
      <c r="F15" s="45"/>
      <c r="G15" s="39" t="s">
        <v>195</v>
      </c>
      <c r="H15" s="40" t="s">
        <v>277</v>
      </c>
      <c r="I15" s="31" t="s">
        <v>202</v>
      </c>
      <c r="J15" s="41">
        <v>3</v>
      </c>
      <c r="K15" s="42">
        <v>6180</v>
      </c>
      <c r="L15" s="34">
        <f t="shared" si="0"/>
        <v>0.97676623992413469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450</v>
      </c>
      <c r="C16" s="48">
        <f>SUM(C7:C15)</f>
        <v>956038</v>
      </c>
      <c r="D16" s="49">
        <f>SUM(D7:D15)</f>
        <v>2</v>
      </c>
      <c r="E16" s="50">
        <f>SUM(E7:E15)</f>
        <v>4248</v>
      </c>
      <c r="F16" s="51">
        <f>E16/C16</f>
        <v>4.4433380263127617E-3</v>
      </c>
      <c r="G16" s="52"/>
      <c r="H16" s="2"/>
      <c r="I16" s="2"/>
      <c r="J16" s="53">
        <f>SUM(J7:J15)</f>
        <v>448</v>
      </c>
      <c r="K16" s="53">
        <f>SUM(K7:K15)</f>
        <v>941118</v>
      </c>
      <c r="L16" s="51">
        <f t="shared" si="0"/>
        <v>0.98439392576445706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941118</v>
      </c>
      <c r="L17" s="51">
        <f>K17/C16</f>
        <v>0.98439392576445706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439">
        <f>'10'!B22+B7+B8+B9+B10+B11+B12+B13</f>
        <v>2084</v>
      </c>
      <c r="C22" s="439">
        <f>'10'!C22+C7+C8+C9+C10+C11+C12+C13</f>
        <v>4417738</v>
      </c>
      <c r="D22" s="439">
        <f>'10'!D22+D7+D8+D9+D10+D11+D12+D13</f>
        <v>8</v>
      </c>
      <c r="E22" s="439">
        <f>'10'!E22+E7+E8+E9+E10+E11+E12+E13</f>
        <v>16952</v>
      </c>
      <c r="F22" s="423">
        <f>E22/C22</f>
        <v>3.8372578908029403E-3</v>
      </c>
      <c r="G22" s="58" t="s">
        <v>1</v>
      </c>
      <c r="H22" s="59"/>
      <c r="I22" s="59"/>
      <c r="J22" s="439">
        <f>'10'!J22+J7+J8+J9+J10+J11+J12+J13</f>
        <v>2066</v>
      </c>
      <c r="K22" s="439">
        <f>'10'!K22+K7+K8+K9+K10+K11+K12+K13</f>
        <v>4332507</v>
      </c>
      <c r="L22" s="60">
        <f>K22/C22</f>
        <v>0.98070709489788666</v>
      </c>
      <c r="M22" s="439">
        <f>'10'!M22+M7+M8+M9+M10+M11+M12+M13</f>
        <v>10</v>
      </c>
      <c r="N22" s="439">
        <f>'10'!N22+N7+N8+N9+N10+N11+N12+N13</f>
        <v>20583</v>
      </c>
      <c r="O22" s="135"/>
      <c r="P22" s="135"/>
      <c r="Q22" s="135"/>
    </row>
    <row r="23" spans="1:17" x14ac:dyDescent="0.3">
      <c r="A23" s="521"/>
      <c r="B23" s="61">
        <f>'10'!B23+B14+B15</f>
        <v>827</v>
      </c>
      <c r="C23" s="61">
        <f>'10'!C23+C14+C15</f>
        <v>1736751</v>
      </c>
      <c r="D23" s="61">
        <f>'10'!D23+D14+D15</f>
        <v>5</v>
      </c>
      <c r="E23" s="61">
        <f>'10'!E23+E14+E15</f>
        <v>10545</v>
      </c>
      <c r="F23" s="424">
        <f>E23/C23</f>
        <v>6.0716821236895787E-3</v>
      </c>
      <c r="G23" s="381" t="s">
        <v>195</v>
      </c>
      <c r="H23" s="59"/>
      <c r="I23" s="59"/>
      <c r="J23" s="61">
        <f>'10'!J23+J14+J15</f>
        <v>818</v>
      </c>
      <c r="K23" s="61">
        <f>'10'!K23+K14+K15</f>
        <v>1693878</v>
      </c>
      <c r="L23" s="382">
        <f t="shared" ref="L23:L24" si="2">K23/C23</f>
        <v>0.97531425057478016</v>
      </c>
      <c r="M23" s="61">
        <f>'10'!M23+M14+M15</f>
        <v>4</v>
      </c>
      <c r="N23" s="61">
        <f>'10'!N23+N14+N15</f>
        <v>7662</v>
      </c>
      <c r="O23" s="135"/>
      <c r="P23" s="135"/>
      <c r="Q23" s="135"/>
    </row>
    <row r="24" spans="1:17" x14ac:dyDescent="0.3">
      <c r="A24" s="521"/>
      <c r="B24" s="61">
        <f>'10'!B24</f>
        <v>0</v>
      </c>
      <c r="C24" s="61">
        <f>'10'!C24</f>
        <v>0</v>
      </c>
      <c r="D24" s="61">
        <f>'10'!D24</f>
        <v>0</v>
      </c>
      <c r="E24" s="61">
        <f>'10'!E24</f>
        <v>0</v>
      </c>
      <c r="F24" s="424" t="e">
        <f t="shared" ref="F24" si="3">E24/C24</f>
        <v>#DIV/0!</v>
      </c>
      <c r="G24" s="381" t="s">
        <v>196</v>
      </c>
      <c r="H24" s="59"/>
      <c r="I24" s="59"/>
      <c r="J24" s="61">
        <f>'10'!J24</f>
        <v>0</v>
      </c>
      <c r="K24" s="61">
        <f>'10'!K24</f>
        <v>0</v>
      </c>
      <c r="L24" s="382" t="e">
        <f t="shared" si="2"/>
        <v>#DIV/0!</v>
      </c>
      <c r="M24" s="61">
        <f>'10'!M24</f>
        <v>0</v>
      </c>
      <c r="N24" s="61">
        <f>'10'!N24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2911</v>
      </c>
      <c r="C26" s="68">
        <f>SUM(C21:C25)</f>
        <v>6154489</v>
      </c>
      <c r="D26" s="49">
        <f>SUM(D21:D25)</f>
        <v>13</v>
      </c>
      <c r="E26" s="69">
        <f>SUM(E22:E25)</f>
        <v>27497</v>
      </c>
      <c r="F26" s="51">
        <f>E26/C26</f>
        <v>4.4677957828830302E-3</v>
      </c>
      <c r="G26" s="51"/>
      <c r="H26" s="70"/>
      <c r="I26" s="70"/>
      <c r="J26" s="71">
        <f>SUM(J22:J25)</f>
        <v>2884</v>
      </c>
      <c r="K26" s="68">
        <f>SUM(K22:K25)</f>
        <v>6026385</v>
      </c>
      <c r="L26" s="51">
        <f>K26/C26</f>
        <v>0.9791852743582774</v>
      </c>
      <c r="M26" s="71">
        <f>SUM(M22:M25)</f>
        <v>14</v>
      </c>
      <c r="N26" s="54">
        <f>SUM(N22:N25)</f>
        <v>28245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6054630</v>
      </c>
      <c r="L27" s="51">
        <f>K27/C26</f>
        <v>0.98377460744506973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'10'!A30</f>
        <v>BIC</v>
      </c>
      <c r="B30" s="307" t="str">
        <f>'10'!B30</f>
        <v>P.6</v>
      </c>
      <c r="C30" s="307" t="str">
        <f>'10'!C30</f>
        <v>BjTPG280</v>
      </c>
      <c r="D30" s="308">
        <f>'10'!D30</f>
        <v>239</v>
      </c>
      <c r="E30" s="308">
        <f>'10'!E30</f>
        <v>497038</v>
      </c>
      <c r="F30" s="79"/>
      <c r="G30" s="307" t="str">
        <f>'10'!G30</f>
        <v>WR</v>
      </c>
      <c r="H30" s="309">
        <f>'10'!H30</f>
        <v>0</v>
      </c>
      <c r="I30" s="309">
        <f>'10'!I30</f>
        <v>0</v>
      </c>
      <c r="J30" s="170">
        <f>'10'!J30</f>
        <v>0</v>
      </c>
      <c r="K30" s="310">
        <f>'10'!K30</f>
        <v>0</v>
      </c>
      <c r="L30" s="79"/>
      <c r="M30" s="307" t="str">
        <f>'10'!M30</f>
        <v>WR</v>
      </c>
      <c r="N30" s="309">
        <f>'10'!N30</f>
        <v>0</v>
      </c>
      <c r="O30" s="309">
        <f>'10'!O30</f>
        <v>0</v>
      </c>
      <c r="P30" s="170">
        <f>'10'!P30</f>
        <v>0</v>
      </c>
      <c r="Q30" s="310">
        <f>'10'!Q30</f>
        <v>0</v>
      </c>
    </row>
    <row r="31" spans="1:17" x14ac:dyDescent="0.3">
      <c r="A31" s="307" t="str">
        <f>'10'!A31</f>
        <v>WR</v>
      </c>
      <c r="B31" s="307">
        <f>'10'!B31</f>
        <v>6.5</v>
      </c>
      <c r="C31" s="307">
        <f>'10'!C31</f>
        <v>8</v>
      </c>
      <c r="D31" s="308">
        <f>'10'!D31</f>
        <v>144</v>
      </c>
      <c r="E31" s="308">
        <f>'10'!E31</f>
        <v>301505</v>
      </c>
      <c r="F31" s="135"/>
      <c r="G31" s="307" t="str">
        <f>'10'!G31</f>
        <v>WR</v>
      </c>
      <c r="H31" s="309">
        <f>'10'!H31</f>
        <v>0</v>
      </c>
      <c r="I31" s="309">
        <f>'10'!I31</f>
        <v>0</v>
      </c>
      <c r="J31" s="170">
        <f>'10'!J31</f>
        <v>0</v>
      </c>
      <c r="K31" s="310">
        <f>'10'!K31</f>
        <v>0</v>
      </c>
      <c r="L31" s="135"/>
      <c r="M31" s="307" t="str">
        <f>'10'!M31</f>
        <v>WR</v>
      </c>
      <c r="N31" s="309">
        <f>'10'!N31</f>
        <v>0</v>
      </c>
      <c r="O31" s="309">
        <f>'10'!O31</f>
        <v>0</v>
      </c>
      <c r="P31" s="170">
        <f>'10'!P31</f>
        <v>0</v>
      </c>
      <c r="Q31" s="310">
        <f>'10'!Q31</f>
        <v>0</v>
      </c>
    </row>
    <row r="32" spans="1:17" x14ac:dyDescent="0.3">
      <c r="A32" s="307" t="str">
        <f>'10'!A32</f>
        <v>WR</v>
      </c>
      <c r="B32" s="307">
        <f>'10'!B32</f>
        <v>6.5</v>
      </c>
      <c r="C32" s="307">
        <f>'10'!C32</f>
        <v>10</v>
      </c>
      <c r="D32" s="308">
        <f>'10'!D32</f>
        <v>48</v>
      </c>
      <c r="E32" s="308">
        <f>'10'!E32</f>
        <v>99149</v>
      </c>
      <c r="F32" s="135"/>
      <c r="G32" s="307" t="str">
        <f>'10'!G32</f>
        <v>WR</v>
      </c>
      <c r="H32" s="309">
        <f>'10'!H32</f>
        <v>0</v>
      </c>
      <c r="I32" s="309">
        <f>'10'!I32</f>
        <v>0</v>
      </c>
      <c r="J32" s="170">
        <f>'10'!J32</f>
        <v>0</v>
      </c>
      <c r="K32" s="310">
        <f>'10'!K32</f>
        <v>0</v>
      </c>
      <c r="L32" s="135"/>
      <c r="M32" s="307" t="str">
        <f>'10'!M32</f>
        <v>WR</v>
      </c>
      <c r="N32" s="309">
        <f>'10'!N32</f>
        <v>0</v>
      </c>
      <c r="O32" s="309">
        <f>'10'!O32</f>
        <v>0</v>
      </c>
      <c r="P32" s="170">
        <f>'10'!P32</f>
        <v>0</v>
      </c>
      <c r="Q32" s="310">
        <f>'10'!Q32</f>
        <v>0</v>
      </c>
    </row>
    <row r="33" spans="1:17" x14ac:dyDescent="0.3">
      <c r="A33" s="307" t="str">
        <f>'10'!A33</f>
        <v>WR</v>
      </c>
      <c r="B33" s="307">
        <f>'10'!B33</f>
        <v>6.5</v>
      </c>
      <c r="C33" s="307">
        <f>'10'!C33</f>
        <v>15</v>
      </c>
      <c r="D33" s="308">
        <f>'10'!D33</f>
        <v>6</v>
      </c>
      <c r="E33" s="308">
        <f>'10'!E33</f>
        <v>12304</v>
      </c>
      <c r="F33" s="135"/>
      <c r="G33" s="307" t="str">
        <f>'10'!G33</f>
        <v>WR</v>
      </c>
      <c r="H33" s="309">
        <f>'10'!H33</f>
        <v>0</v>
      </c>
      <c r="I33" s="309">
        <f>'10'!I33</f>
        <v>0</v>
      </c>
      <c r="J33" s="170">
        <f>'10'!J33</f>
        <v>0</v>
      </c>
      <c r="K33" s="310">
        <f>'10'!K33</f>
        <v>0</v>
      </c>
      <c r="L33" s="135"/>
      <c r="M33" s="307" t="str">
        <f>'10'!M33</f>
        <v>WR</v>
      </c>
      <c r="N33" s="309">
        <f>'10'!N33</f>
        <v>0</v>
      </c>
      <c r="O33" s="309">
        <f>'10'!O33</f>
        <v>0</v>
      </c>
      <c r="P33" s="170">
        <f>'10'!P33</f>
        <v>0</v>
      </c>
      <c r="Q33" s="310">
        <f>'10'!Q33</f>
        <v>0</v>
      </c>
    </row>
    <row r="34" spans="1:17" x14ac:dyDescent="0.3">
      <c r="A34" s="307" t="str">
        <f>'10'!A34</f>
        <v>WR</v>
      </c>
      <c r="B34" s="307">
        <f>'10'!B34</f>
        <v>5.5</v>
      </c>
      <c r="C34" s="307">
        <f>'10'!C34</f>
        <v>6</v>
      </c>
      <c r="D34" s="308">
        <f>'10'!D34+J7+J8</f>
        <v>480</v>
      </c>
      <c r="E34" s="308">
        <f>'10'!E34+K7+K8</f>
        <v>1007562</v>
      </c>
      <c r="F34" s="135"/>
      <c r="G34" s="307" t="str">
        <f>'10'!G34</f>
        <v>WR</v>
      </c>
      <c r="H34" s="309">
        <f>'10'!H34</f>
        <v>0</v>
      </c>
      <c r="I34" s="309">
        <f>'10'!I34</f>
        <v>0</v>
      </c>
      <c r="J34" s="170">
        <f>'10'!J34</f>
        <v>0</v>
      </c>
      <c r="K34" s="310">
        <f>'10'!K34</f>
        <v>0</v>
      </c>
      <c r="L34" s="135"/>
      <c r="M34" s="307" t="str">
        <f>'10'!M34</f>
        <v>WR</v>
      </c>
      <c r="N34" s="309">
        <f>'10'!N34</f>
        <v>0</v>
      </c>
      <c r="O34" s="309">
        <f>'10'!O34</f>
        <v>0</v>
      </c>
      <c r="P34" s="170">
        <f>'10'!P34</f>
        <v>0</v>
      </c>
      <c r="Q34" s="310">
        <f>'10'!Q34</f>
        <v>0</v>
      </c>
    </row>
    <row r="35" spans="1:17" x14ac:dyDescent="0.3">
      <c r="A35" s="307" t="str">
        <f>'10'!A35</f>
        <v>WR</v>
      </c>
      <c r="B35" s="307">
        <f>'10'!B35</f>
        <v>5.5</v>
      </c>
      <c r="C35" s="307" t="str">
        <f>'10'!C35</f>
        <v>8.A</v>
      </c>
      <c r="D35" s="308">
        <f>'10'!D35+J10+J11</f>
        <v>75</v>
      </c>
      <c r="E35" s="308">
        <f>'10'!E35+K10+K11</f>
        <v>157414</v>
      </c>
      <c r="F35" s="135"/>
      <c r="G35" s="307" t="str">
        <f>'10'!G35</f>
        <v>WR</v>
      </c>
      <c r="H35" s="309">
        <f>'10'!H35</f>
        <v>0</v>
      </c>
      <c r="I35" s="309">
        <f>'10'!I35</f>
        <v>0</v>
      </c>
      <c r="J35" s="170">
        <f>'10'!J35</f>
        <v>0</v>
      </c>
      <c r="K35" s="310">
        <f>'10'!K35</f>
        <v>0</v>
      </c>
      <c r="L35" s="135"/>
      <c r="M35" s="307" t="str">
        <f>'10'!M35</f>
        <v>WR</v>
      </c>
      <c r="N35" s="309">
        <f>'10'!N35</f>
        <v>0</v>
      </c>
      <c r="O35" s="309">
        <f>'10'!O35</f>
        <v>0</v>
      </c>
      <c r="P35" s="170">
        <f>'10'!P35</f>
        <v>0</v>
      </c>
      <c r="Q35" s="310">
        <f>'10'!Q35</f>
        <v>0</v>
      </c>
    </row>
    <row r="36" spans="1:17" x14ac:dyDescent="0.3">
      <c r="A36" s="307" t="str">
        <f>'10'!A36</f>
        <v>WR</v>
      </c>
      <c r="B36" s="307">
        <f>'10'!B36</f>
        <v>5.5</v>
      </c>
      <c r="C36" s="307" t="str">
        <f>'10'!C36</f>
        <v>22.A</v>
      </c>
      <c r="D36" s="308">
        <f>'10'!D36</f>
        <v>284</v>
      </c>
      <c r="E36" s="308">
        <f>'10'!E36</f>
        <v>593345</v>
      </c>
      <c r="F36" s="135"/>
      <c r="G36" s="307" t="str">
        <f>'10'!G36</f>
        <v>WR</v>
      </c>
      <c r="H36" s="309">
        <f>'10'!H36</f>
        <v>0</v>
      </c>
      <c r="I36" s="309">
        <f>'10'!I36</f>
        <v>0</v>
      </c>
      <c r="J36" s="170">
        <f>'10'!J36</f>
        <v>0</v>
      </c>
      <c r="K36" s="310">
        <f>'10'!K36</f>
        <v>0</v>
      </c>
      <c r="L36" s="135"/>
      <c r="M36" s="307" t="str">
        <f>'10'!M36</f>
        <v>WR</v>
      </c>
      <c r="N36" s="309">
        <f>'10'!N36</f>
        <v>0</v>
      </c>
      <c r="O36" s="309">
        <f>'10'!O36</f>
        <v>0</v>
      </c>
      <c r="P36" s="170">
        <f>'10'!P36</f>
        <v>0</v>
      </c>
      <c r="Q36" s="310">
        <f>'10'!Q36</f>
        <v>0</v>
      </c>
    </row>
    <row r="37" spans="1:17" x14ac:dyDescent="0.3">
      <c r="A37" s="307" t="str">
        <f>'10'!A37</f>
        <v>WR</v>
      </c>
      <c r="B37" s="307">
        <f>'10'!B37</f>
        <v>5.5</v>
      </c>
      <c r="C37" s="307" t="str">
        <f>'10'!C37</f>
        <v>Y.11</v>
      </c>
      <c r="D37" s="308">
        <f>'10'!D37</f>
        <v>526</v>
      </c>
      <c r="E37" s="308">
        <f>'10'!E37</f>
        <v>1102590</v>
      </c>
      <c r="F37" s="135"/>
      <c r="G37" s="307" t="str">
        <f>'10'!G37</f>
        <v>WR</v>
      </c>
      <c r="H37" s="309">
        <f>'10'!H37</f>
        <v>0</v>
      </c>
      <c r="I37" s="309">
        <f>'10'!I37</f>
        <v>0</v>
      </c>
      <c r="J37" s="170">
        <f>'10'!J37</f>
        <v>0</v>
      </c>
      <c r="K37" s="310">
        <f>'10'!K37</f>
        <v>0</v>
      </c>
      <c r="L37" s="135"/>
      <c r="M37" s="307" t="str">
        <f>'10'!M37</f>
        <v>WR</v>
      </c>
      <c r="N37" s="309">
        <f>'10'!N37</f>
        <v>0</v>
      </c>
      <c r="O37" s="309">
        <f>'10'!O37</f>
        <v>0</v>
      </c>
      <c r="P37" s="170">
        <f>'10'!P37</f>
        <v>0</v>
      </c>
      <c r="Q37" s="310">
        <f>'10'!Q37</f>
        <v>0</v>
      </c>
    </row>
    <row r="38" spans="1:17" x14ac:dyDescent="0.3">
      <c r="A38" s="307" t="str">
        <f>'10'!A38</f>
        <v>WR</v>
      </c>
      <c r="B38" s="307">
        <f>'10'!B38</f>
        <v>5.5</v>
      </c>
      <c r="C38" s="307" t="str">
        <f>'10'!C38</f>
        <v>67.A</v>
      </c>
      <c r="D38" s="308">
        <f>'10'!D38+J13</f>
        <v>72</v>
      </c>
      <c r="E38" s="308">
        <f>'10'!E38+K13</f>
        <v>152182</v>
      </c>
      <c r="F38" s="135"/>
      <c r="G38" s="307" t="str">
        <f>'10'!G38</f>
        <v>WR</v>
      </c>
      <c r="H38" s="309">
        <f>'10'!H38</f>
        <v>0</v>
      </c>
      <c r="I38" s="309">
        <f>'10'!I38</f>
        <v>0</v>
      </c>
      <c r="J38" s="170">
        <f>'10'!J38</f>
        <v>0</v>
      </c>
      <c r="K38" s="310">
        <f>'10'!K38</f>
        <v>0</v>
      </c>
      <c r="L38" s="135"/>
      <c r="M38" s="307" t="str">
        <f>'10'!M38</f>
        <v>WR</v>
      </c>
      <c r="N38" s="309">
        <f>'10'!N38</f>
        <v>0</v>
      </c>
      <c r="O38" s="309">
        <f>'10'!O38</f>
        <v>0</v>
      </c>
      <c r="P38" s="170">
        <f>'10'!P38</f>
        <v>0</v>
      </c>
      <c r="Q38" s="310">
        <f>'10'!Q38</f>
        <v>0</v>
      </c>
    </row>
    <row r="39" spans="1:17" x14ac:dyDescent="0.3">
      <c r="A39" s="307" t="str">
        <f>'10'!A39</f>
        <v>BIC</v>
      </c>
      <c r="B39" s="307" t="str">
        <f>'10'!B39</f>
        <v>P.8</v>
      </c>
      <c r="C39" s="307" t="str">
        <f>'10'!C39</f>
        <v>BjTPG280</v>
      </c>
      <c r="D39" s="308">
        <f>'10'!D39+J14</f>
        <v>240</v>
      </c>
      <c r="E39" s="308">
        <f>'10'!E39+K14</f>
        <v>499780</v>
      </c>
      <c r="F39" s="135"/>
      <c r="G39" s="307" t="str">
        <f>'10'!G39</f>
        <v>WR</v>
      </c>
      <c r="H39" s="309">
        <f>'10'!H39</f>
        <v>0</v>
      </c>
      <c r="I39" s="309">
        <f>'10'!I39</f>
        <v>0</v>
      </c>
      <c r="J39" s="170">
        <f>'10'!J39</f>
        <v>0</v>
      </c>
      <c r="K39" s="310">
        <f>'10'!K39</f>
        <v>0</v>
      </c>
      <c r="L39" s="135"/>
      <c r="M39" s="307" t="str">
        <f>'10'!M39</f>
        <v>WR</v>
      </c>
      <c r="N39" s="309">
        <f>'10'!N39</f>
        <v>0</v>
      </c>
      <c r="O39" s="309">
        <f>'10'!O39</f>
        <v>0</v>
      </c>
      <c r="P39" s="170">
        <f>'10'!P39</f>
        <v>0</v>
      </c>
      <c r="Q39" s="310">
        <f>'10'!Q39</f>
        <v>0</v>
      </c>
    </row>
    <row r="40" spans="1:17" x14ac:dyDescent="0.3">
      <c r="A40" s="307" t="str">
        <f>'10'!A40</f>
        <v>BIC</v>
      </c>
      <c r="B40" s="307" t="str">
        <f>'10'!B40</f>
        <v>S.8</v>
      </c>
      <c r="C40" s="307" t="str">
        <f>'10'!C40</f>
        <v>BjTSG420</v>
      </c>
      <c r="D40" s="308">
        <f>'10'!D40</f>
        <v>192</v>
      </c>
      <c r="E40" s="308">
        <f>'10'!E40</f>
        <v>395038</v>
      </c>
      <c r="F40" s="135"/>
      <c r="G40" s="307" t="str">
        <f>'10'!G40</f>
        <v>WR</v>
      </c>
      <c r="H40" s="309">
        <f>'10'!H40</f>
        <v>0</v>
      </c>
      <c r="I40" s="309">
        <f>'10'!I40</f>
        <v>0</v>
      </c>
      <c r="J40" s="170">
        <f>'10'!J40</f>
        <v>0</v>
      </c>
      <c r="K40" s="310">
        <f>'10'!K40</f>
        <v>0</v>
      </c>
      <c r="L40" s="135"/>
      <c r="M40" s="307" t="str">
        <f>'10'!M40</f>
        <v>WR</v>
      </c>
      <c r="N40" s="309">
        <f>'10'!N40</f>
        <v>0</v>
      </c>
      <c r="O40" s="309">
        <f>'10'!O40</f>
        <v>0</v>
      </c>
      <c r="P40" s="170">
        <f>'10'!P40</f>
        <v>0</v>
      </c>
      <c r="Q40" s="310">
        <f>'10'!Q40</f>
        <v>0</v>
      </c>
    </row>
    <row r="41" spans="1:17" x14ac:dyDescent="0.3">
      <c r="A41" s="307" t="str">
        <f>'10'!A41</f>
        <v>BIC</v>
      </c>
      <c r="B41" s="307" t="str">
        <f>'10'!B41</f>
        <v>S.10</v>
      </c>
      <c r="C41" s="307" t="str">
        <f>'10'!C41</f>
        <v>BjTSG420</v>
      </c>
      <c r="D41" s="308">
        <f>'10'!D41</f>
        <v>144</v>
      </c>
      <c r="E41" s="308">
        <f>'10'!E41</f>
        <v>295842</v>
      </c>
      <c r="F41" s="135"/>
      <c r="G41" s="307" t="str">
        <f>'10'!G41</f>
        <v>WR</v>
      </c>
      <c r="H41" s="309">
        <f>'10'!H41</f>
        <v>0</v>
      </c>
      <c r="I41" s="309">
        <f>'10'!I41</f>
        <v>0</v>
      </c>
      <c r="J41" s="170">
        <f>'10'!J41</f>
        <v>0</v>
      </c>
      <c r="K41" s="310">
        <f>'10'!K41</f>
        <v>0</v>
      </c>
      <c r="L41" s="135"/>
      <c r="M41" s="307" t="str">
        <f>'10'!M41</f>
        <v>WR</v>
      </c>
      <c r="N41" s="309">
        <f>'10'!N41</f>
        <v>0</v>
      </c>
      <c r="O41" s="309">
        <f>'10'!O41</f>
        <v>0</v>
      </c>
      <c r="P41" s="170">
        <f>'10'!P41</f>
        <v>0</v>
      </c>
      <c r="Q41" s="310">
        <f>'10'!Q41</f>
        <v>0</v>
      </c>
    </row>
    <row r="42" spans="1:17" x14ac:dyDescent="0.3">
      <c r="A42" s="307" t="str">
        <f>'10'!A42</f>
        <v>WR</v>
      </c>
      <c r="B42" s="307">
        <f>'10'!B42</f>
        <v>5.5</v>
      </c>
      <c r="C42" s="307">
        <f>'10'!C42</f>
        <v>8</v>
      </c>
      <c r="D42" s="308">
        <f>'10'!D42+J9</f>
        <v>287</v>
      </c>
      <c r="E42" s="308">
        <f>'10'!E42+K9</f>
        <v>601921</v>
      </c>
      <c r="F42" s="135"/>
      <c r="G42" s="307" t="str">
        <f>'10'!G42</f>
        <v>WR</v>
      </c>
      <c r="H42" s="309">
        <f>'10'!H42</f>
        <v>0</v>
      </c>
      <c r="I42" s="309">
        <f>'10'!I42</f>
        <v>0</v>
      </c>
      <c r="J42" s="170">
        <f>'10'!J42</f>
        <v>0</v>
      </c>
      <c r="K42" s="310">
        <f>'10'!K42</f>
        <v>0</v>
      </c>
      <c r="L42" s="135"/>
      <c r="M42" s="307" t="str">
        <f>'10'!M42</f>
        <v>WR</v>
      </c>
      <c r="N42" s="309">
        <f>'10'!N42</f>
        <v>0</v>
      </c>
      <c r="O42" s="309">
        <f>'10'!O42</f>
        <v>0</v>
      </c>
      <c r="P42" s="170">
        <f>'10'!P42</f>
        <v>0</v>
      </c>
      <c r="Q42" s="310">
        <f>'10'!Q42</f>
        <v>0</v>
      </c>
    </row>
    <row r="43" spans="1:17" x14ac:dyDescent="0.3">
      <c r="A43" s="307" t="str">
        <f>'10'!A43</f>
        <v>WR</v>
      </c>
      <c r="B43" s="307">
        <v>5.5</v>
      </c>
      <c r="C43" s="307" t="s">
        <v>278</v>
      </c>
      <c r="D43" s="308">
        <f>J12</f>
        <v>144</v>
      </c>
      <c r="E43" s="308">
        <f>K12</f>
        <v>304535</v>
      </c>
      <c r="F43" s="135"/>
      <c r="G43" s="307" t="str">
        <f>'10'!G43</f>
        <v>WR</v>
      </c>
      <c r="H43" s="309">
        <f>'10'!H43</f>
        <v>0</v>
      </c>
      <c r="I43" s="309">
        <f>'10'!I43</f>
        <v>0</v>
      </c>
      <c r="J43" s="170">
        <f>'10'!J43</f>
        <v>0</v>
      </c>
      <c r="K43" s="310">
        <f>'10'!K43</f>
        <v>0</v>
      </c>
      <c r="L43" s="135"/>
      <c r="M43" s="307" t="str">
        <f>'10'!M43</f>
        <v>WR</v>
      </c>
      <c r="N43" s="309">
        <f>'10'!N43</f>
        <v>0</v>
      </c>
      <c r="O43" s="309">
        <f>'10'!O43</f>
        <v>0</v>
      </c>
      <c r="P43" s="170">
        <f>'10'!P43</f>
        <v>0</v>
      </c>
      <c r="Q43" s="310">
        <f>'10'!Q43</f>
        <v>0</v>
      </c>
    </row>
    <row r="44" spans="1:17" x14ac:dyDescent="0.3">
      <c r="A44" s="307" t="s">
        <v>195</v>
      </c>
      <c r="B44" s="307" t="s">
        <v>277</v>
      </c>
      <c r="C44" s="307" t="s">
        <v>202</v>
      </c>
      <c r="D44" s="308">
        <f>J15</f>
        <v>3</v>
      </c>
      <c r="E44" s="308">
        <f>K15</f>
        <v>6180</v>
      </c>
      <c r="F44" s="135"/>
      <c r="G44" s="307" t="str">
        <f>'10'!G44</f>
        <v>WR</v>
      </c>
      <c r="H44" s="309">
        <f>'10'!H44</f>
        <v>0</v>
      </c>
      <c r="I44" s="309">
        <f>'10'!I44</f>
        <v>0</v>
      </c>
      <c r="J44" s="170">
        <f>'10'!J44</f>
        <v>0</v>
      </c>
      <c r="K44" s="310">
        <f>'10'!K44</f>
        <v>0</v>
      </c>
      <c r="L44" s="135"/>
      <c r="M44" s="307" t="str">
        <f>'10'!M44</f>
        <v>WR</v>
      </c>
      <c r="N44" s="309">
        <f>'10'!N44</f>
        <v>0</v>
      </c>
      <c r="O44" s="309">
        <f>'10'!O44</f>
        <v>0</v>
      </c>
      <c r="P44" s="170">
        <f>'10'!P44</f>
        <v>0</v>
      </c>
      <c r="Q44" s="310">
        <f>'10'!Q44</f>
        <v>0</v>
      </c>
    </row>
    <row r="45" spans="1:17" x14ac:dyDescent="0.3">
      <c r="A45" s="307" t="str">
        <f>'10'!A45</f>
        <v>WR</v>
      </c>
      <c r="B45" s="307">
        <f>'10'!B45</f>
        <v>0</v>
      </c>
      <c r="C45" s="307">
        <f>'10'!C45</f>
        <v>0</v>
      </c>
      <c r="D45" s="308">
        <f>'10'!D45</f>
        <v>0</v>
      </c>
      <c r="E45" s="308">
        <f>'10'!E45</f>
        <v>0</v>
      </c>
      <c r="F45" s="135"/>
      <c r="G45" s="307" t="str">
        <f>'10'!G45</f>
        <v>WR</v>
      </c>
      <c r="H45" s="309">
        <f>'10'!H45</f>
        <v>0</v>
      </c>
      <c r="I45" s="309">
        <f>'10'!I45</f>
        <v>0</v>
      </c>
      <c r="J45" s="170">
        <f>'10'!J45</f>
        <v>0</v>
      </c>
      <c r="K45" s="310">
        <f>'10'!K45</f>
        <v>0</v>
      </c>
      <c r="L45" s="135"/>
      <c r="M45" s="307" t="str">
        <f>'10'!M45</f>
        <v>WR</v>
      </c>
      <c r="N45" s="309">
        <f>'10'!N45</f>
        <v>0</v>
      </c>
      <c r="O45" s="309">
        <f>'10'!O45</f>
        <v>0</v>
      </c>
      <c r="P45" s="170">
        <f>'10'!P45</f>
        <v>0</v>
      </c>
      <c r="Q45" s="310">
        <f>'10'!Q45</f>
        <v>0</v>
      </c>
    </row>
    <row r="46" spans="1:17" x14ac:dyDescent="0.3">
      <c r="A46" s="307" t="str">
        <f>'10'!A46</f>
        <v>WR</v>
      </c>
      <c r="B46" s="307">
        <f>'10'!B46</f>
        <v>0</v>
      </c>
      <c r="C46" s="307">
        <f>'10'!C46</f>
        <v>0</v>
      </c>
      <c r="D46" s="308">
        <f>'10'!D46</f>
        <v>0</v>
      </c>
      <c r="E46" s="308">
        <f>'10'!E46</f>
        <v>0</v>
      </c>
      <c r="F46" s="135"/>
      <c r="G46" s="307" t="str">
        <f>'10'!G46</f>
        <v>WR</v>
      </c>
      <c r="H46" s="309">
        <f>'10'!H46</f>
        <v>0</v>
      </c>
      <c r="I46" s="309">
        <f>'10'!I46</f>
        <v>0</v>
      </c>
      <c r="J46" s="170">
        <f>'10'!J46</f>
        <v>0</v>
      </c>
      <c r="K46" s="310">
        <f>'10'!K46</f>
        <v>0</v>
      </c>
      <c r="L46" s="135"/>
      <c r="M46" s="307" t="str">
        <f>'10'!M46</f>
        <v>WR</v>
      </c>
      <c r="N46" s="309">
        <f>'10'!N46</f>
        <v>0</v>
      </c>
      <c r="O46" s="309">
        <f>'10'!O46</f>
        <v>0</v>
      </c>
      <c r="P46" s="170">
        <f>'10'!P46</f>
        <v>0</v>
      </c>
      <c r="Q46" s="310">
        <f>'10'!Q46</f>
        <v>0</v>
      </c>
    </row>
    <row r="47" spans="1:17" x14ac:dyDescent="0.3">
      <c r="A47" s="307" t="str">
        <f>'10'!A47</f>
        <v>WR</v>
      </c>
      <c r="B47" s="307">
        <f>'10'!B47</f>
        <v>0</v>
      </c>
      <c r="C47" s="307">
        <f>'10'!C47</f>
        <v>0</v>
      </c>
      <c r="D47" s="308">
        <f>'10'!D47</f>
        <v>0</v>
      </c>
      <c r="E47" s="308">
        <f>'10'!E47</f>
        <v>0</v>
      </c>
      <c r="F47" s="135"/>
      <c r="G47" s="307" t="str">
        <f>'10'!G47</f>
        <v>WR</v>
      </c>
      <c r="H47" s="309">
        <f>'10'!H47</f>
        <v>0</v>
      </c>
      <c r="I47" s="309">
        <f>'10'!I47</f>
        <v>0</v>
      </c>
      <c r="J47" s="170">
        <f>'10'!J47</f>
        <v>0</v>
      </c>
      <c r="K47" s="310">
        <f>'10'!K47</f>
        <v>0</v>
      </c>
      <c r="L47" s="135"/>
      <c r="M47" s="307" t="str">
        <f>'10'!M47</f>
        <v>WR</v>
      </c>
      <c r="N47" s="309">
        <f>'10'!N47</f>
        <v>0</v>
      </c>
      <c r="O47" s="309">
        <f>'10'!O47</f>
        <v>0</v>
      </c>
      <c r="P47" s="170">
        <f>'10'!P47</f>
        <v>0</v>
      </c>
      <c r="Q47" s="310">
        <f>'10'!Q47</f>
        <v>0</v>
      </c>
    </row>
    <row r="48" spans="1:17" x14ac:dyDescent="0.3">
      <c r="A48" s="307" t="str">
        <f>'10'!A48</f>
        <v>WR</v>
      </c>
      <c r="B48" s="307">
        <f>'10'!B48</f>
        <v>0</v>
      </c>
      <c r="C48" s="307">
        <f>'10'!C48</f>
        <v>0</v>
      </c>
      <c r="D48" s="308">
        <f>'10'!D48</f>
        <v>0</v>
      </c>
      <c r="E48" s="308">
        <f>'10'!E48</f>
        <v>0</v>
      </c>
      <c r="F48" s="135"/>
      <c r="G48" s="307" t="str">
        <f>'10'!G48</f>
        <v>WR</v>
      </c>
      <c r="H48" s="309">
        <f>'10'!H48</f>
        <v>0</v>
      </c>
      <c r="I48" s="309">
        <f>'10'!I48</f>
        <v>0</v>
      </c>
      <c r="J48" s="170">
        <f>'10'!J48</f>
        <v>0</v>
      </c>
      <c r="K48" s="310">
        <f>'10'!K48</f>
        <v>0</v>
      </c>
      <c r="L48" s="135"/>
      <c r="M48" s="307" t="str">
        <f>'10'!M48</f>
        <v>WR</v>
      </c>
      <c r="N48" s="309">
        <f>'10'!N48</f>
        <v>0</v>
      </c>
      <c r="O48" s="309">
        <f>'10'!O48</f>
        <v>0</v>
      </c>
      <c r="P48" s="170">
        <f>'10'!P48</f>
        <v>0</v>
      </c>
      <c r="Q48" s="310">
        <f>'10'!Q48</f>
        <v>0</v>
      </c>
    </row>
    <row r="49" spans="1:23" x14ac:dyDescent="0.3">
      <c r="A49" s="307" t="str">
        <f>'10'!A49</f>
        <v>WR</v>
      </c>
      <c r="B49" s="307">
        <f>'10'!B49</f>
        <v>0</v>
      </c>
      <c r="C49" s="307">
        <f>'10'!C49</f>
        <v>0</v>
      </c>
      <c r="D49" s="308">
        <f>'10'!D49</f>
        <v>0</v>
      </c>
      <c r="E49" s="308">
        <f>'10'!E49</f>
        <v>0</v>
      </c>
      <c r="F49" s="3"/>
      <c r="G49" s="307" t="str">
        <f>'10'!G49</f>
        <v>WR</v>
      </c>
      <c r="H49" s="309">
        <f>'10'!H49</f>
        <v>0</v>
      </c>
      <c r="I49" s="309">
        <f>'10'!I49</f>
        <v>0</v>
      </c>
      <c r="J49" s="170">
        <f>'10'!J49</f>
        <v>0</v>
      </c>
      <c r="K49" s="310">
        <f>'10'!K49</f>
        <v>0</v>
      </c>
      <c r="L49" s="3"/>
      <c r="M49" s="307" t="str">
        <f>'10'!M49</f>
        <v>WR</v>
      </c>
      <c r="N49" s="309">
        <f>'10'!N49</f>
        <v>0</v>
      </c>
      <c r="O49" s="309">
        <f>'10'!O49</f>
        <v>0</v>
      </c>
      <c r="P49" s="170">
        <f>'10'!P49</f>
        <v>0</v>
      </c>
      <c r="Q49" s="310">
        <f>'10'!Q49</f>
        <v>0</v>
      </c>
    </row>
    <row r="50" spans="1:23" x14ac:dyDescent="0.3">
      <c r="A50" s="159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46033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300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26">
        <v>22</v>
      </c>
      <c r="C55" s="21"/>
      <c r="D55" s="547" t="s">
        <v>286</v>
      </c>
      <c r="E55" s="548"/>
      <c r="F55" s="548"/>
      <c r="G55" s="548"/>
      <c r="H55" s="548"/>
      <c r="I55" s="548"/>
      <c r="J55" s="93">
        <v>3</v>
      </c>
      <c r="K55" s="391"/>
      <c r="L55" s="466" t="s">
        <v>26</v>
      </c>
      <c r="M55" s="467"/>
      <c r="N55" s="467"/>
      <c r="O55" s="392" t="s">
        <v>13</v>
      </c>
      <c r="P55" s="393">
        <f>C16</f>
        <v>956038</v>
      </c>
      <c r="Q55" s="394">
        <f>C26</f>
        <v>6154489</v>
      </c>
      <c r="R55" s="395"/>
      <c r="S55" s="388">
        <f>DAY(A52)</f>
        <v>11</v>
      </c>
      <c r="T55" s="383">
        <f>S55-U55</f>
        <v>6</v>
      </c>
      <c r="U55" s="383">
        <f>'10'!U55</f>
        <v>5</v>
      </c>
    </row>
    <row r="56" spans="1:23" x14ac:dyDescent="0.3">
      <c r="A56" s="95" t="s">
        <v>37</v>
      </c>
      <c r="B56" s="427">
        <v>17</v>
      </c>
      <c r="C56" s="77">
        <v>1</v>
      </c>
      <c r="D56" s="552" t="s">
        <v>287</v>
      </c>
      <c r="E56" s="553"/>
      <c r="F56" s="553"/>
      <c r="G56" s="553"/>
      <c r="H56" s="553"/>
      <c r="I56" s="553"/>
      <c r="J56" s="97">
        <v>14</v>
      </c>
      <c r="K56" s="391"/>
      <c r="L56" s="502" t="s">
        <v>191</v>
      </c>
      <c r="M56" s="498"/>
      <c r="N56" s="498"/>
      <c r="O56" s="396" t="s">
        <v>13</v>
      </c>
      <c r="P56" s="397">
        <f>K17</f>
        <v>941118</v>
      </c>
      <c r="Q56" s="398">
        <f>K27</f>
        <v>6054630</v>
      </c>
      <c r="R56" s="399"/>
    </row>
    <row r="57" spans="1:23" x14ac:dyDescent="0.3">
      <c r="A57" s="95" t="s">
        <v>39</v>
      </c>
      <c r="B57" s="427">
        <v>1</v>
      </c>
      <c r="C57" s="77"/>
      <c r="D57" s="552" t="s">
        <v>288</v>
      </c>
      <c r="E57" s="553"/>
      <c r="F57" s="553"/>
      <c r="G57" s="553"/>
      <c r="H57" s="553"/>
      <c r="I57" s="553"/>
      <c r="J57" s="97">
        <v>55</v>
      </c>
      <c r="K57" s="391"/>
      <c r="L57" s="468" t="s">
        <v>19</v>
      </c>
      <c r="M57" s="469"/>
      <c r="N57" s="469"/>
      <c r="O57" s="400" t="s">
        <v>14</v>
      </c>
      <c r="P57" s="401">
        <f>L17</f>
        <v>0.98439392576445706</v>
      </c>
      <c r="Q57" s="430">
        <f>L27</f>
        <v>0.98377460744506973</v>
      </c>
      <c r="R57" s="403">
        <v>0.98499999999999999</v>
      </c>
    </row>
    <row r="58" spans="1:23" x14ac:dyDescent="0.3">
      <c r="A58" s="95" t="s">
        <v>41</v>
      </c>
      <c r="B58" s="427">
        <v>25</v>
      </c>
      <c r="C58" s="77"/>
      <c r="D58" s="552"/>
      <c r="E58" s="553"/>
      <c r="F58" s="553"/>
      <c r="G58" s="553"/>
      <c r="H58" s="553"/>
      <c r="I58" s="55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4248</v>
      </c>
      <c r="Q58" s="394">
        <f>E26</f>
        <v>27497</v>
      </c>
      <c r="R58" s="395"/>
    </row>
    <row r="59" spans="1:23" x14ac:dyDescent="0.3">
      <c r="A59" s="95" t="s">
        <v>43</v>
      </c>
      <c r="B59" s="427">
        <v>24</v>
      </c>
      <c r="C59" s="77"/>
      <c r="D59" s="544"/>
      <c r="E59" s="545"/>
      <c r="F59" s="545"/>
      <c r="G59" s="545"/>
      <c r="H59" s="545"/>
      <c r="I59" s="546"/>
      <c r="J59" s="97"/>
      <c r="K59" s="391"/>
      <c r="L59" s="509"/>
      <c r="M59" s="510"/>
      <c r="N59" s="510"/>
      <c r="O59" s="400" t="s">
        <v>14</v>
      </c>
      <c r="P59" s="401">
        <f>F16</f>
        <v>4.4433380263127617E-3</v>
      </c>
      <c r="Q59" s="430">
        <f>F26</f>
        <v>4.4677957828830302E-3</v>
      </c>
      <c r="R59" s="404">
        <v>1.5E-3</v>
      </c>
    </row>
    <row r="60" spans="1:23" x14ac:dyDescent="0.3">
      <c r="A60" s="95" t="s">
        <v>45</v>
      </c>
      <c r="B60" s="427">
        <v>25</v>
      </c>
      <c r="C60" s="77"/>
      <c r="D60" s="544"/>
      <c r="E60" s="545"/>
      <c r="F60" s="545"/>
      <c r="G60" s="545"/>
      <c r="H60" s="545"/>
      <c r="I60" s="546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</f>
        <v>15840</v>
      </c>
      <c r="R60" s="406"/>
    </row>
    <row r="61" spans="1:23" x14ac:dyDescent="0.3">
      <c r="A61" s="95" t="s">
        <v>47</v>
      </c>
      <c r="B61" s="427">
        <v>25</v>
      </c>
      <c r="C61" s="77"/>
      <c r="D61" s="544"/>
      <c r="E61" s="545"/>
      <c r="F61" s="545"/>
      <c r="G61" s="545"/>
      <c r="H61" s="545"/>
      <c r="I61" s="546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</f>
        <v>7200</v>
      </c>
      <c r="R61" s="395"/>
    </row>
    <row r="62" spans="1:23" x14ac:dyDescent="0.3">
      <c r="A62" s="95" t="s">
        <v>49</v>
      </c>
      <c r="B62" s="427">
        <v>25</v>
      </c>
      <c r="C62" s="77"/>
      <c r="D62" s="544"/>
      <c r="E62" s="545"/>
      <c r="F62" s="545"/>
      <c r="G62" s="545"/>
      <c r="H62" s="545"/>
      <c r="I62" s="546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</f>
        <v>7200</v>
      </c>
      <c r="R62" s="399"/>
    </row>
    <row r="63" spans="1:23" x14ac:dyDescent="0.3">
      <c r="A63" s="95" t="s">
        <v>51</v>
      </c>
      <c r="B63" s="427">
        <v>19</v>
      </c>
      <c r="C63" s="77">
        <v>1</v>
      </c>
      <c r="D63" s="544" t="s">
        <v>289</v>
      </c>
      <c r="E63" s="545"/>
      <c r="F63" s="545"/>
      <c r="G63" s="545"/>
      <c r="H63" s="545"/>
      <c r="I63" s="546"/>
      <c r="J63" s="97">
        <v>10</v>
      </c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</f>
        <v>0</v>
      </c>
      <c r="R63" s="399"/>
    </row>
    <row r="64" spans="1:23" x14ac:dyDescent="0.3">
      <c r="A64" s="95" t="s">
        <v>53</v>
      </c>
      <c r="B64" s="427">
        <v>18</v>
      </c>
      <c r="C64" s="77"/>
      <c r="D64" s="544" t="s">
        <v>290</v>
      </c>
      <c r="E64" s="545"/>
      <c r="F64" s="545"/>
      <c r="G64" s="545"/>
      <c r="H64" s="545"/>
      <c r="I64" s="546"/>
      <c r="J64" s="97">
        <v>13</v>
      </c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27">
        <v>20</v>
      </c>
      <c r="C65" s="77"/>
      <c r="D65" s="544" t="s">
        <v>291</v>
      </c>
      <c r="E65" s="545"/>
      <c r="F65" s="545"/>
      <c r="G65" s="545"/>
      <c r="H65" s="545"/>
      <c r="I65" s="546"/>
      <c r="J65" s="97">
        <v>6</v>
      </c>
      <c r="K65" s="391"/>
      <c r="L65" s="466" t="s">
        <v>46</v>
      </c>
      <c r="M65" s="467"/>
      <c r="N65" s="467"/>
      <c r="O65" s="106" t="s">
        <v>28</v>
      </c>
      <c r="P65" s="126">
        <f>SUM(P66:P68)</f>
        <v>254</v>
      </c>
      <c r="Q65" s="100">
        <f>'1'!Q65+'2'!P65+'3'!P65+'4'!P65+'5'!P65+'6'!P65+'7'!P65+'8'!P65+'9'!P65+'10'!P65+'11'!P65</f>
        <v>927</v>
      </c>
      <c r="R65" s="395"/>
      <c r="S65" s="171" t="s">
        <v>56</v>
      </c>
      <c r="T65" s="172"/>
      <c r="U65" s="173" t="s">
        <v>151</v>
      </c>
      <c r="V65" s="174">
        <v>1</v>
      </c>
      <c r="W65" s="181">
        <f>+'10'!W65+'11'!V65</f>
        <v>7</v>
      </c>
    </row>
    <row r="66" spans="1:23" x14ac:dyDescent="0.3">
      <c r="A66" s="95" t="s">
        <v>57</v>
      </c>
      <c r="B66" s="427">
        <v>23</v>
      </c>
      <c r="C66" s="77"/>
      <c r="D66" s="544"/>
      <c r="E66" s="545"/>
      <c r="F66" s="545"/>
      <c r="G66" s="545"/>
      <c r="H66" s="545"/>
      <c r="I66" s="546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</f>
        <v>0</v>
      </c>
      <c r="R66" s="399"/>
      <c r="S66" s="377" t="s">
        <v>58</v>
      </c>
      <c r="T66" s="175"/>
      <c r="U66" s="176" t="s">
        <v>151</v>
      </c>
      <c r="V66" s="177">
        <v>1</v>
      </c>
      <c r="W66" s="182">
        <f>+'10'!W66+'11'!V66</f>
        <v>5</v>
      </c>
    </row>
    <row r="67" spans="1:23" x14ac:dyDescent="0.3">
      <c r="A67" s="95" t="s">
        <v>59</v>
      </c>
      <c r="B67" s="427">
        <v>23</v>
      </c>
      <c r="C67" s="77"/>
      <c r="D67" s="544"/>
      <c r="E67" s="545"/>
      <c r="F67" s="545"/>
      <c r="G67" s="545"/>
      <c r="H67" s="545"/>
      <c r="I67" s="546"/>
      <c r="J67" s="97"/>
      <c r="K67" s="391"/>
      <c r="L67" s="502" t="s">
        <v>50</v>
      </c>
      <c r="M67" s="498"/>
      <c r="N67" s="498"/>
      <c r="O67" s="408" t="s">
        <v>28</v>
      </c>
      <c r="P67" s="138">
        <v>231</v>
      </c>
      <c r="Q67" s="99">
        <f>'1'!Q67+'2'!P67+'3'!P67+'4'!P67+'5'!P67+'6'!P67+'7'!P67+'8'!P67+'9'!P67+'10'!P67+'11'!P67</f>
        <v>800</v>
      </c>
      <c r="R67" s="399"/>
      <c r="S67" s="377" t="s">
        <v>60</v>
      </c>
      <c r="T67" s="175"/>
      <c r="U67" s="176" t="s">
        <v>151</v>
      </c>
      <c r="V67" s="177"/>
      <c r="W67" s="182">
        <f>+'10'!W67+'11'!V67</f>
        <v>0</v>
      </c>
    </row>
    <row r="68" spans="1:23" x14ac:dyDescent="0.3">
      <c r="A68" s="95" t="s">
        <v>61</v>
      </c>
      <c r="B68" s="427">
        <v>20</v>
      </c>
      <c r="C68" s="77"/>
      <c r="D68" s="544" t="s">
        <v>292</v>
      </c>
      <c r="E68" s="545"/>
      <c r="F68" s="545"/>
      <c r="G68" s="545"/>
      <c r="H68" s="545"/>
      <c r="I68" s="546"/>
      <c r="J68" s="97">
        <v>8</v>
      </c>
      <c r="K68" s="391"/>
      <c r="L68" s="468" t="s">
        <v>52</v>
      </c>
      <c r="M68" s="469"/>
      <c r="N68" s="469"/>
      <c r="O68" s="85" t="s">
        <v>28</v>
      </c>
      <c r="P68" s="141">
        <v>23</v>
      </c>
      <c r="Q68" s="86">
        <f>'1'!Q68+'2'!P68+'3'!P68+'4'!P68+'5'!P68+'6'!P68+'7'!P68+'8'!P68+'9'!P68+'10'!P68+'11'!P68</f>
        <v>127</v>
      </c>
      <c r="R68" s="409"/>
      <c r="S68" s="377" t="s">
        <v>62</v>
      </c>
      <c r="T68" s="175"/>
      <c r="U68" s="176" t="s">
        <v>151</v>
      </c>
      <c r="V68" s="177"/>
      <c r="W68" s="182">
        <f>+'10'!W68+'11'!V68</f>
        <v>1</v>
      </c>
    </row>
    <row r="69" spans="1:23" x14ac:dyDescent="0.3">
      <c r="A69" s="95" t="s">
        <v>63</v>
      </c>
      <c r="B69" s="427">
        <v>9</v>
      </c>
      <c r="C69" s="77"/>
      <c r="D69" s="544" t="s">
        <v>293</v>
      </c>
      <c r="E69" s="545"/>
      <c r="F69" s="545"/>
      <c r="G69" s="545"/>
      <c r="H69" s="545"/>
      <c r="I69" s="546"/>
      <c r="J69" s="97">
        <v>34</v>
      </c>
      <c r="K69" s="391"/>
      <c r="L69" s="466" t="s">
        <v>54</v>
      </c>
      <c r="M69" s="467"/>
      <c r="N69" s="467"/>
      <c r="O69" s="106" t="s">
        <v>28</v>
      </c>
      <c r="P69" s="100">
        <f>SUM(P70:P74)</f>
        <v>40</v>
      </c>
      <c r="Q69" s="100">
        <f>'1'!Q69+'2'!P69+'3'!P69+'4'!P69+'5'!P69+'6'!P69+'7'!P69+'8'!P69+'9'!P69+'10'!P69+'11'!P69</f>
        <v>529</v>
      </c>
      <c r="R69" s="395"/>
      <c r="S69" s="376" t="s">
        <v>64</v>
      </c>
      <c r="T69" s="178"/>
      <c r="U69" s="179" t="s">
        <v>151</v>
      </c>
      <c r="V69" s="180"/>
      <c r="W69" s="183">
        <f>+'10'!W69+'11'!V69</f>
        <v>0</v>
      </c>
    </row>
    <row r="70" spans="1:23" x14ac:dyDescent="0.3">
      <c r="A70" s="95" t="s">
        <v>65</v>
      </c>
      <c r="B70" s="427">
        <v>23</v>
      </c>
      <c r="C70" s="77"/>
      <c r="D70" s="544"/>
      <c r="E70" s="545"/>
      <c r="F70" s="545"/>
      <c r="G70" s="545"/>
      <c r="H70" s="545"/>
      <c r="I70" s="546"/>
      <c r="J70" s="97"/>
      <c r="K70" s="407"/>
      <c r="L70" s="497" t="s">
        <v>56</v>
      </c>
      <c r="M70" s="498"/>
      <c r="N70" s="498"/>
      <c r="O70" s="408" t="s">
        <v>28</v>
      </c>
      <c r="P70" s="138">
        <v>18</v>
      </c>
      <c r="Q70" s="429">
        <f>'1'!Q70+'2'!P70+'3'!P70+'4'!P70+'5'!P70+'6'!P70+'7'!P70+'8'!P70+'9'!P70+'10'!P70+'11'!P70</f>
        <v>235</v>
      </c>
      <c r="R70" s="399">
        <f>T55*30</f>
        <v>180</v>
      </c>
    </row>
    <row r="71" spans="1:23" x14ac:dyDescent="0.3">
      <c r="A71" s="95" t="s">
        <v>67</v>
      </c>
      <c r="B71" s="427">
        <v>18</v>
      </c>
      <c r="C71" s="77"/>
      <c r="D71" s="544" t="s">
        <v>294</v>
      </c>
      <c r="E71" s="545"/>
      <c r="F71" s="545"/>
      <c r="G71" s="545"/>
      <c r="H71" s="545"/>
      <c r="I71" s="546"/>
      <c r="J71" s="97">
        <v>14</v>
      </c>
      <c r="K71" s="391"/>
      <c r="L71" s="497" t="s">
        <v>58</v>
      </c>
      <c r="M71" s="498"/>
      <c r="N71" s="498"/>
      <c r="O71" s="408" t="s">
        <v>28</v>
      </c>
      <c r="P71" s="138">
        <v>22</v>
      </c>
      <c r="Q71" s="429">
        <f>'1'!Q71+'2'!P71+'3'!P71+'4'!P71+'5'!P71+'6'!P71+'7'!P71+'8'!P71+'9'!P71+'10'!P71+'11'!P71</f>
        <v>251</v>
      </c>
      <c r="R71" s="399">
        <f>T55*25</f>
        <v>150</v>
      </c>
    </row>
    <row r="72" spans="1:23" x14ac:dyDescent="0.3">
      <c r="A72" s="95" t="s">
        <v>69</v>
      </c>
      <c r="B72" s="427">
        <v>23</v>
      </c>
      <c r="C72" s="77"/>
      <c r="D72" s="544" t="s">
        <v>295</v>
      </c>
      <c r="E72" s="545"/>
      <c r="F72" s="545"/>
      <c r="G72" s="545"/>
      <c r="H72" s="545"/>
      <c r="I72" s="546"/>
      <c r="J72" s="97">
        <v>1</v>
      </c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</f>
        <v>19</v>
      </c>
      <c r="R72" s="399">
        <f>T55*10</f>
        <v>60</v>
      </c>
    </row>
    <row r="73" spans="1:23" x14ac:dyDescent="0.3">
      <c r="A73" s="95" t="s">
        <v>71</v>
      </c>
      <c r="B73" s="427">
        <v>23</v>
      </c>
      <c r="C73" s="77"/>
      <c r="D73" s="544"/>
      <c r="E73" s="545"/>
      <c r="F73" s="545"/>
      <c r="G73" s="545"/>
      <c r="H73" s="545"/>
      <c r="I73" s="54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</f>
        <v>24</v>
      </c>
      <c r="R73" s="399"/>
    </row>
    <row r="74" spans="1:23" x14ac:dyDescent="0.3">
      <c r="A74" s="95" t="s">
        <v>73</v>
      </c>
      <c r="B74" s="427">
        <v>17</v>
      </c>
      <c r="C74" s="77"/>
      <c r="D74" s="544" t="s">
        <v>296</v>
      </c>
      <c r="E74" s="545"/>
      <c r="F74" s="545"/>
      <c r="G74" s="545"/>
      <c r="H74" s="545"/>
      <c r="I74" s="546"/>
      <c r="J74" s="97">
        <v>15</v>
      </c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</f>
        <v>0</v>
      </c>
      <c r="R74" s="409"/>
    </row>
    <row r="75" spans="1:23" x14ac:dyDescent="0.3">
      <c r="A75" s="95" t="s">
        <v>75</v>
      </c>
      <c r="B75" s="427">
        <v>0</v>
      </c>
      <c r="C75" s="77"/>
      <c r="D75" s="544" t="s">
        <v>232</v>
      </c>
      <c r="E75" s="545"/>
      <c r="F75" s="545"/>
      <c r="G75" s="545"/>
      <c r="H75" s="545"/>
      <c r="I75" s="546"/>
      <c r="J75" s="97">
        <v>60</v>
      </c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</f>
        <v>8640</v>
      </c>
      <c r="R75" s="406"/>
    </row>
    <row r="76" spans="1:23" x14ac:dyDescent="0.3">
      <c r="A76" s="95" t="s">
        <v>77</v>
      </c>
      <c r="B76" s="427">
        <v>21</v>
      </c>
      <c r="C76" s="77"/>
      <c r="D76" s="544" t="s">
        <v>297</v>
      </c>
      <c r="E76" s="545"/>
      <c r="F76" s="545"/>
      <c r="G76" s="545"/>
      <c r="H76" s="545"/>
      <c r="I76" s="546"/>
      <c r="J76" s="97">
        <v>8</v>
      </c>
      <c r="K76" s="391"/>
      <c r="L76" s="489" t="s">
        <v>68</v>
      </c>
      <c r="M76" s="490"/>
      <c r="N76" s="490"/>
      <c r="O76" s="405" t="s">
        <v>28</v>
      </c>
      <c r="P76" s="94">
        <f>P65+P69</f>
        <v>294</v>
      </c>
      <c r="Q76" s="94">
        <f>'1'!Q76+'2'!P76+'3'!P76+'4'!P76+'5'!P76+'6'!P76+'7'!P76+'8'!P76+'9'!P76+'10'!P76+'11'!P76</f>
        <v>1456</v>
      </c>
      <c r="R76" s="406"/>
    </row>
    <row r="77" spans="1:23" x14ac:dyDescent="0.3">
      <c r="A77" s="95" t="s">
        <v>79</v>
      </c>
      <c r="B77" s="427">
        <v>27</v>
      </c>
      <c r="C77" s="77"/>
      <c r="D77" s="544"/>
      <c r="E77" s="545"/>
      <c r="F77" s="545"/>
      <c r="G77" s="545"/>
      <c r="H77" s="545"/>
      <c r="I77" s="546"/>
      <c r="J77" s="97"/>
      <c r="K77" s="391"/>
      <c r="L77" s="486" t="s">
        <v>70</v>
      </c>
      <c r="M77" s="487"/>
      <c r="N77" s="488"/>
      <c r="O77" s="405" t="s">
        <v>28</v>
      </c>
      <c r="P77" s="142">
        <v>295</v>
      </c>
      <c r="Q77" s="94">
        <f>'1'!Q77+'2'!P77+'3'!P77+'4'!P77+'5'!P77+'6'!P77+'7'!P77+'8'!P77+'9'!P77+'10'!P77+'11'!P77</f>
        <v>1457</v>
      </c>
      <c r="R77" s="406"/>
    </row>
    <row r="78" spans="1:23" x14ac:dyDescent="0.3">
      <c r="A78" s="109" t="s">
        <v>82</v>
      </c>
      <c r="B78" s="428">
        <v>3</v>
      </c>
      <c r="C78" s="111"/>
      <c r="D78" s="544" t="s">
        <v>298</v>
      </c>
      <c r="E78" s="545"/>
      <c r="F78" s="545"/>
      <c r="G78" s="545"/>
      <c r="H78" s="545"/>
      <c r="I78" s="546"/>
      <c r="J78" s="97">
        <v>53</v>
      </c>
      <c r="K78" s="407"/>
      <c r="L78" s="486" t="s">
        <v>72</v>
      </c>
      <c r="M78" s="487"/>
      <c r="N78" s="488"/>
      <c r="O78" s="405" t="s">
        <v>28</v>
      </c>
      <c r="P78" s="94">
        <f>+P77-P76</f>
        <v>1</v>
      </c>
      <c r="Q78" s="94">
        <f>'1'!Q78+'2'!P78+'3'!P78+'4'!P78+'5'!P78+'6'!P78+'7'!P78+'8'!P78+'9'!P78+'10'!P78+'11'!P78</f>
        <v>1</v>
      </c>
      <c r="R78" s="406"/>
    </row>
    <row r="79" spans="1:23" x14ac:dyDescent="0.3">
      <c r="A79" s="114"/>
      <c r="B79" s="115">
        <f>SUM(B55:B78)</f>
        <v>451</v>
      </c>
      <c r="C79" s="116">
        <f>SUM(C55:C78)</f>
        <v>2</v>
      </c>
      <c r="D79" s="470"/>
      <c r="E79" s="471"/>
      <c r="F79" s="471"/>
      <c r="G79" s="471"/>
      <c r="H79" s="471"/>
      <c r="I79" s="472"/>
      <c r="J79" s="117">
        <f>SUM(J55:J78)</f>
        <v>294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1145</v>
      </c>
      <c r="Q79" s="94">
        <f>'1'!Q79+'2'!P79+'3'!P79+'4'!P79+'5'!P79+'6'!P79+'7'!P79+'8'!P79+'9'!P79+'10'!P79+'11'!P79</f>
        <v>7183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0.79513888888888884</v>
      </c>
      <c r="Q80" s="431">
        <f>Q79/Q75</f>
        <v>0.83136574074074077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0.79513888888888884</v>
      </c>
      <c r="Q81" s="165">
        <f>Q79/Q60</f>
        <v>0.45347222222222222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50.098061135371182</v>
      </c>
      <c r="Q82" s="150">
        <f>(C26/1000)/(Q79/60)</f>
        <v>51.40879019908116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39.834916666666665</v>
      </c>
      <c r="Q83" s="113">
        <f>(C26/1000)/(Q75/60)</f>
        <v>42.739506944444443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32304</v>
      </c>
      <c r="Q84" s="100">
        <f>'1'!Q84+'2'!P84+'3'!P84+'4'!P84+'5'!P84+'6'!P84+'7'!P84+'8'!P84+'9'!P84+'10'!P84+'11'!P84</f>
        <v>212026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34.325132448853381</v>
      </c>
      <c r="Q85" s="124">
        <f>Q84/(K27/1000)</f>
        <v>35.018820307764472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192.86</v>
      </c>
      <c r="Q86" s="100">
        <f>'1'!Q86+'2'!P86+'3'!P86+'4'!P86+'5'!P86+'6'!P86+'7'!P86+'8'!P86+'9'!P86+'10'!P86+'11'!P86</f>
        <v>1227.3499999999999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204.9264810576357</v>
      </c>
      <c r="Q87" s="124">
        <f>(Q86*1000)/(K26/1000)</f>
        <v>203.66272649357782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69</v>
      </c>
      <c r="Q88" s="100">
        <f>'1'!Q88+'2'!P88+'3'!P88+'4'!P88+'5'!P88+'6'!P88+'7'!P88+'8'!P88+'9'!P88+'10'!P88+'11'!P88</f>
        <v>958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7.3317054822030811E-2</v>
      </c>
      <c r="Q89" s="124">
        <f>Q88/(K26/1000)</f>
        <v>0.15896760661657031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11" priority="1" operator="lessThan">
      <formula>0.0018</formula>
    </cfRule>
  </conditionalFormatting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A43" zoomScaleNormal="100" workbookViewId="0">
      <selection activeCell="R59" sqref="R59"/>
    </sheetView>
  </sheetViews>
  <sheetFormatPr defaultRowHeight="16.5" x14ac:dyDescent="0.3"/>
  <cols>
    <col min="1" max="1" width="8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'11'!A3:Q3+1</f>
        <v>46034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200</v>
      </c>
      <c r="B7" s="15">
        <v>141</v>
      </c>
      <c r="C7" s="15">
        <v>297369</v>
      </c>
      <c r="D7" s="16"/>
      <c r="E7" s="17"/>
      <c r="F7" s="18"/>
      <c r="G7" s="19" t="s">
        <v>195</v>
      </c>
      <c r="H7" s="20" t="s">
        <v>277</v>
      </c>
      <c r="I7" s="21" t="s">
        <v>202</v>
      </c>
      <c r="J7" s="22">
        <v>141</v>
      </c>
      <c r="K7" s="17">
        <v>293750</v>
      </c>
      <c r="L7" s="23">
        <f t="shared" ref="L7:L16" si="0">K7/C7</f>
        <v>0.98782993519835627</v>
      </c>
      <c r="M7" s="17"/>
      <c r="N7" s="22"/>
      <c r="O7" s="134"/>
      <c r="P7" s="134"/>
      <c r="Q7" s="134"/>
    </row>
    <row r="8" spans="1:17" x14ac:dyDescent="0.3">
      <c r="A8" s="24" t="s">
        <v>261</v>
      </c>
      <c r="B8" s="25">
        <v>102</v>
      </c>
      <c r="C8" s="25">
        <v>212874</v>
      </c>
      <c r="D8" s="26"/>
      <c r="E8" s="27"/>
      <c r="F8" s="28"/>
      <c r="G8" s="29" t="s">
        <v>195</v>
      </c>
      <c r="H8" s="30" t="s">
        <v>259</v>
      </c>
      <c r="I8" s="31" t="s">
        <v>262</v>
      </c>
      <c r="J8" s="32">
        <v>102</v>
      </c>
      <c r="K8" s="33">
        <v>209377</v>
      </c>
      <c r="L8" s="34">
        <f t="shared" si="0"/>
        <v>0.98357244191399607</v>
      </c>
      <c r="M8" s="33"/>
      <c r="N8" s="32"/>
      <c r="O8" s="135"/>
      <c r="P8" s="135"/>
      <c r="Q8" s="135"/>
    </row>
    <row r="9" spans="1:17" x14ac:dyDescent="0.3">
      <c r="A9" s="24" t="s">
        <v>315</v>
      </c>
      <c r="B9" s="25">
        <v>38</v>
      </c>
      <c r="C9" s="25">
        <v>79344</v>
      </c>
      <c r="D9" s="26">
        <v>1</v>
      </c>
      <c r="E9" s="27">
        <v>2088</v>
      </c>
      <c r="F9" s="28">
        <f>E9/C9</f>
        <v>2.6315789473684209E-2</v>
      </c>
      <c r="G9" s="29" t="s">
        <v>195</v>
      </c>
      <c r="H9" s="30" t="s">
        <v>259</v>
      </c>
      <c r="I9" s="31" t="s">
        <v>262</v>
      </c>
      <c r="J9" s="32">
        <v>37</v>
      </c>
      <c r="K9" s="33">
        <v>76075</v>
      </c>
      <c r="L9" s="34">
        <f t="shared" si="0"/>
        <v>0.95879965718894944</v>
      </c>
      <c r="M9" s="33"/>
      <c r="N9" s="32"/>
      <c r="O9" s="135"/>
      <c r="P9" s="135"/>
      <c r="Q9" s="135"/>
    </row>
    <row r="10" spans="1:17" x14ac:dyDescent="0.3">
      <c r="A10" s="35" t="s">
        <v>316</v>
      </c>
      <c r="B10" s="36">
        <v>4</v>
      </c>
      <c r="C10" s="36">
        <v>8336</v>
      </c>
      <c r="D10" s="37"/>
      <c r="E10" s="38"/>
      <c r="F10" s="18"/>
      <c r="G10" s="39" t="s">
        <v>195</v>
      </c>
      <c r="H10" s="40" t="s">
        <v>259</v>
      </c>
      <c r="I10" s="31" t="s">
        <v>262</v>
      </c>
      <c r="J10" s="41">
        <v>4</v>
      </c>
      <c r="K10" s="42">
        <v>8231</v>
      </c>
      <c r="L10" s="34">
        <f t="shared" si="0"/>
        <v>0.9874040307101728</v>
      </c>
      <c r="M10" s="33"/>
      <c r="N10" s="32"/>
      <c r="O10" s="135"/>
      <c r="P10" s="135"/>
      <c r="Q10" s="135"/>
    </row>
    <row r="11" spans="1:17" x14ac:dyDescent="0.3">
      <c r="A11" s="35" t="s">
        <v>315</v>
      </c>
      <c r="B11" s="36">
        <v>21</v>
      </c>
      <c r="C11" s="36">
        <v>43848</v>
      </c>
      <c r="D11" s="37"/>
      <c r="E11" s="38"/>
      <c r="F11" s="18"/>
      <c r="G11" s="39" t="s">
        <v>195</v>
      </c>
      <c r="H11" s="40" t="s">
        <v>301</v>
      </c>
      <c r="I11" s="31" t="s">
        <v>262</v>
      </c>
      <c r="J11" s="41">
        <v>21</v>
      </c>
      <c r="K11" s="42">
        <v>42920</v>
      </c>
      <c r="L11" s="34">
        <f t="shared" si="0"/>
        <v>0.97883597883597884</v>
      </c>
      <c r="M11" s="33"/>
      <c r="N11" s="32"/>
      <c r="O11" s="135"/>
      <c r="P11" s="135"/>
      <c r="Q11" s="135"/>
    </row>
    <row r="12" spans="1:17" x14ac:dyDescent="0.3">
      <c r="A12" s="35" t="s">
        <v>261</v>
      </c>
      <c r="B12" s="36">
        <v>27</v>
      </c>
      <c r="C12" s="36">
        <v>56349</v>
      </c>
      <c r="D12" s="37"/>
      <c r="E12" s="38"/>
      <c r="F12" s="18"/>
      <c r="G12" s="39" t="s">
        <v>195</v>
      </c>
      <c r="H12" s="40" t="s">
        <v>301</v>
      </c>
      <c r="I12" s="31" t="s">
        <v>262</v>
      </c>
      <c r="J12" s="41">
        <v>27</v>
      </c>
      <c r="K12" s="42">
        <v>55484</v>
      </c>
      <c r="L12" s="34">
        <f t="shared" si="0"/>
        <v>0.98464923956059558</v>
      </c>
      <c r="M12" s="33"/>
      <c r="N12" s="32"/>
      <c r="O12" s="135"/>
      <c r="P12" s="135"/>
      <c r="Q12" s="135"/>
    </row>
    <row r="13" spans="1:17" x14ac:dyDescent="0.3">
      <c r="A13" s="35" t="s">
        <v>221</v>
      </c>
      <c r="B13" s="36">
        <v>96</v>
      </c>
      <c r="C13" s="36">
        <v>203616</v>
      </c>
      <c r="D13" s="37"/>
      <c r="E13" s="38"/>
      <c r="F13" s="18"/>
      <c r="G13" s="39" t="s">
        <v>1</v>
      </c>
      <c r="H13" s="40">
        <v>17</v>
      </c>
      <c r="I13" s="31" t="s">
        <v>204</v>
      </c>
      <c r="J13" s="41">
        <v>91</v>
      </c>
      <c r="K13" s="42">
        <v>188048</v>
      </c>
      <c r="L13" s="34">
        <f t="shared" si="0"/>
        <v>0.92354235423542352</v>
      </c>
      <c r="M13" s="33">
        <v>5</v>
      </c>
      <c r="N13" s="32">
        <v>10230</v>
      </c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429</v>
      </c>
      <c r="C16" s="48">
        <f>SUM(C7:C15)</f>
        <v>901736</v>
      </c>
      <c r="D16" s="49">
        <f>SUM(D7:D15)</f>
        <v>1</v>
      </c>
      <c r="E16" s="50">
        <f>SUM(E7:E15)</f>
        <v>2088</v>
      </c>
      <c r="F16" s="51">
        <f>E16/C16</f>
        <v>2.3155335929806505E-3</v>
      </c>
      <c r="G16" s="52"/>
      <c r="H16" s="2"/>
      <c r="I16" s="2"/>
      <c r="J16" s="53">
        <f>SUM(J7:J15)</f>
        <v>423</v>
      </c>
      <c r="K16" s="53">
        <f>SUM(K7:K15)</f>
        <v>873885</v>
      </c>
      <c r="L16" s="51">
        <f t="shared" si="0"/>
        <v>0.96911402006795777</v>
      </c>
      <c r="M16" s="50">
        <f>SUM(M7:M15)</f>
        <v>5</v>
      </c>
      <c r="N16" s="54">
        <f>SUM(N7:N15)</f>
        <v>10230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884115</v>
      </c>
      <c r="L17" s="51">
        <f>K17/C16</f>
        <v>0.98045880390713025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'11'!B22+B13</f>
        <v>2180</v>
      </c>
      <c r="C22" s="57">
        <f>'11'!C22+C13</f>
        <v>4621354</v>
      </c>
      <c r="D22" s="57">
        <f>'11'!D22+D13</f>
        <v>8</v>
      </c>
      <c r="E22" s="57">
        <f>'11'!E22+E13</f>
        <v>16952</v>
      </c>
      <c r="F22" s="423">
        <f>E22/C22</f>
        <v>3.6681890199279257E-3</v>
      </c>
      <c r="G22" s="58" t="s">
        <v>1</v>
      </c>
      <c r="H22" s="59"/>
      <c r="I22" s="59"/>
      <c r="J22" s="57">
        <f>'11'!J22+J13</f>
        <v>2157</v>
      </c>
      <c r="K22" s="57">
        <f>'11'!K22+K13</f>
        <v>4520555</v>
      </c>
      <c r="L22" s="60">
        <f>K22/C22</f>
        <v>0.97818842702809605</v>
      </c>
      <c r="M22" s="57">
        <f>'11'!M22+M13</f>
        <v>15</v>
      </c>
      <c r="N22" s="57">
        <f>'11'!N22+N13</f>
        <v>30813</v>
      </c>
      <c r="O22" s="135"/>
      <c r="P22" s="135"/>
      <c r="Q22" s="135"/>
    </row>
    <row r="23" spans="1:17" x14ac:dyDescent="0.3">
      <c r="A23" s="521"/>
      <c r="B23" s="61">
        <f>'11'!B23+B7+B8+B9+B10+B11+B12</f>
        <v>1160</v>
      </c>
      <c r="C23" s="61">
        <f>'11'!C23+C7+C8+C9+C10+C11+C12</f>
        <v>2434871</v>
      </c>
      <c r="D23" s="61">
        <f>'11'!D23+D7+D8+D9+D10+D11+D12</f>
        <v>6</v>
      </c>
      <c r="E23" s="61">
        <f>'11'!E23+E7+E8+E9+E10+E11+E12</f>
        <v>12633</v>
      </c>
      <c r="F23" s="424">
        <f>E23/C23</f>
        <v>5.1883652152413823E-3</v>
      </c>
      <c r="G23" s="381" t="s">
        <v>195</v>
      </c>
      <c r="H23" s="59"/>
      <c r="I23" s="59"/>
      <c r="J23" s="61">
        <f>'11'!J23+J7+J8+J9+J10+J11+J12</f>
        <v>1150</v>
      </c>
      <c r="K23" s="61">
        <f>'11'!K23+K7+K8+K9+K10+K11+K12</f>
        <v>2379715</v>
      </c>
      <c r="L23" s="382">
        <f t="shared" ref="L23:L24" si="1">K23/C23</f>
        <v>0.97734746522505711</v>
      </c>
      <c r="M23" s="61">
        <f>'11'!M23+M7+M8+M9+M10+M11+M12</f>
        <v>4</v>
      </c>
      <c r="N23" s="61">
        <f>'11'!N23+N7+N8+N9+N10+N11+N12</f>
        <v>7662</v>
      </c>
      <c r="O23" s="135"/>
      <c r="P23" s="135"/>
      <c r="Q23" s="135"/>
    </row>
    <row r="24" spans="1:17" x14ac:dyDescent="0.3">
      <c r="A24" s="521"/>
      <c r="B24" s="61">
        <f>'11'!B24</f>
        <v>0</v>
      </c>
      <c r="C24" s="61">
        <f>'11'!C24</f>
        <v>0</v>
      </c>
      <c r="D24" s="61">
        <f>'11'!D24</f>
        <v>0</v>
      </c>
      <c r="E24" s="61">
        <f>'11'!E24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'11'!J24</f>
        <v>0</v>
      </c>
      <c r="K24" s="61">
        <f>'11'!K24</f>
        <v>0</v>
      </c>
      <c r="L24" s="382" t="e">
        <f t="shared" si="1"/>
        <v>#DIV/0!</v>
      </c>
      <c r="M24" s="61">
        <f>'11'!M24</f>
        <v>0</v>
      </c>
      <c r="N24" s="61">
        <f>'11'!N24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3340</v>
      </c>
      <c r="C26" s="68">
        <f>SUM(C21:C25)</f>
        <v>7056225</v>
      </c>
      <c r="D26" s="49">
        <f>SUM(D21:D25)</f>
        <v>14</v>
      </c>
      <c r="E26" s="69">
        <f>SUM(E22:E25)</f>
        <v>29585</v>
      </c>
      <c r="F26" s="51">
        <f>E26/C26</f>
        <v>4.1927517900860588E-3</v>
      </c>
      <c r="G26" s="51"/>
      <c r="H26" s="70"/>
      <c r="I26" s="70"/>
      <c r="J26" s="71">
        <f>SUM(J22:J25)</f>
        <v>3307</v>
      </c>
      <c r="K26" s="68">
        <f>SUM(K22:K25)</f>
        <v>6900270</v>
      </c>
      <c r="L26" s="51">
        <f>K26/C26</f>
        <v>0.97789823878915427</v>
      </c>
      <c r="M26" s="71">
        <f>SUM(M22:M25)</f>
        <v>19</v>
      </c>
      <c r="N26" s="54">
        <f>SUM(N22:N25)</f>
        <v>38475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6938745</v>
      </c>
      <c r="L27" s="51">
        <f>K27/C26</f>
        <v>0.98335087103940133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'11'!A30</f>
        <v>BIC</v>
      </c>
      <c r="B30" s="307" t="str">
        <f>'11'!B30</f>
        <v>P.6</v>
      </c>
      <c r="C30" s="307" t="str">
        <f>'11'!C30</f>
        <v>BjTPG280</v>
      </c>
      <c r="D30" s="308">
        <f>'11'!D30</f>
        <v>239</v>
      </c>
      <c r="E30" s="308">
        <f>'11'!E30</f>
        <v>497038</v>
      </c>
      <c r="F30" s="79"/>
      <c r="G30" s="307" t="str">
        <f>'11'!G30</f>
        <v>WR</v>
      </c>
      <c r="H30" s="309">
        <f>'11'!H30</f>
        <v>0</v>
      </c>
      <c r="I30" s="309">
        <f>'11'!I30</f>
        <v>0</v>
      </c>
      <c r="J30" s="170">
        <f>'11'!J30</f>
        <v>0</v>
      </c>
      <c r="K30" s="310">
        <f>'11'!K30</f>
        <v>0</v>
      </c>
      <c r="L30" s="79"/>
      <c r="M30" s="307" t="str">
        <f>'11'!M30</f>
        <v>WR</v>
      </c>
      <c r="N30" s="309">
        <f>'11'!N30</f>
        <v>0</v>
      </c>
      <c r="O30" s="309">
        <f>'11'!O30</f>
        <v>0</v>
      </c>
      <c r="P30" s="170">
        <f>'11'!P30</f>
        <v>0</v>
      </c>
      <c r="Q30" s="310">
        <f>'11'!Q30</f>
        <v>0</v>
      </c>
    </row>
    <row r="31" spans="1:17" x14ac:dyDescent="0.3">
      <c r="A31" s="307" t="str">
        <f>'11'!A31</f>
        <v>WR</v>
      </c>
      <c r="B31" s="307">
        <f>'11'!B31</f>
        <v>6.5</v>
      </c>
      <c r="C31" s="307">
        <f>'11'!C31</f>
        <v>8</v>
      </c>
      <c r="D31" s="308">
        <f>'11'!D31</f>
        <v>144</v>
      </c>
      <c r="E31" s="308">
        <f>'11'!E31</f>
        <v>301505</v>
      </c>
      <c r="F31" s="135"/>
      <c r="G31" s="307" t="str">
        <f>'11'!G31</f>
        <v>WR</v>
      </c>
      <c r="H31" s="309">
        <f>'11'!H31</f>
        <v>0</v>
      </c>
      <c r="I31" s="309">
        <f>'11'!I31</f>
        <v>0</v>
      </c>
      <c r="J31" s="170">
        <f>'11'!J31</f>
        <v>0</v>
      </c>
      <c r="K31" s="310">
        <f>'11'!K31</f>
        <v>0</v>
      </c>
      <c r="L31" s="135"/>
      <c r="M31" s="307" t="str">
        <f>'11'!M31</f>
        <v>WR</v>
      </c>
      <c r="N31" s="309">
        <f>'11'!N31</f>
        <v>0</v>
      </c>
      <c r="O31" s="309">
        <f>'11'!O31</f>
        <v>0</v>
      </c>
      <c r="P31" s="170">
        <f>'11'!P31</f>
        <v>0</v>
      </c>
      <c r="Q31" s="310">
        <f>'11'!Q31</f>
        <v>0</v>
      </c>
    </row>
    <row r="32" spans="1:17" x14ac:dyDescent="0.3">
      <c r="A32" s="307" t="str">
        <f>'11'!A32</f>
        <v>WR</v>
      </c>
      <c r="B32" s="307">
        <f>'11'!B32</f>
        <v>6.5</v>
      </c>
      <c r="C32" s="307">
        <f>'11'!C32</f>
        <v>10</v>
      </c>
      <c r="D32" s="308">
        <f>'11'!D32</f>
        <v>48</v>
      </c>
      <c r="E32" s="308">
        <f>'11'!E32</f>
        <v>99149</v>
      </c>
      <c r="F32" s="135"/>
      <c r="G32" s="307" t="str">
        <f>'11'!G32</f>
        <v>WR</v>
      </c>
      <c r="H32" s="309">
        <f>'11'!H32</f>
        <v>0</v>
      </c>
      <c r="I32" s="309">
        <f>'11'!I32</f>
        <v>0</v>
      </c>
      <c r="J32" s="170">
        <f>'11'!J32</f>
        <v>0</v>
      </c>
      <c r="K32" s="310">
        <f>'11'!K32</f>
        <v>0</v>
      </c>
      <c r="L32" s="135"/>
      <c r="M32" s="307" t="str">
        <f>'11'!M32</f>
        <v>WR</v>
      </c>
      <c r="N32" s="309">
        <f>'11'!N32</f>
        <v>0</v>
      </c>
      <c r="O32" s="309">
        <f>'11'!O32</f>
        <v>0</v>
      </c>
      <c r="P32" s="170">
        <f>'11'!P32</f>
        <v>0</v>
      </c>
      <c r="Q32" s="310">
        <f>'11'!Q32</f>
        <v>0</v>
      </c>
    </row>
    <row r="33" spans="1:17" x14ac:dyDescent="0.3">
      <c r="A33" s="307" t="str">
        <f>'11'!A33</f>
        <v>WR</v>
      </c>
      <c r="B33" s="307">
        <f>'11'!B33</f>
        <v>6.5</v>
      </c>
      <c r="C33" s="307">
        <f>'11'!C33</f>
        <v>15</v>
      </c>
      <c r="D33" s="308">
        <f>'11'!D33</f>
        <v>6</v>
      </c>
      <c r="E33" s="308">
        <f>'11'!E33</f>
        <v>12304</v>
      </c>
      <c r="F33" s="135"/>
      <c r="G33" s="307" t="str">
        <f>'11'!G33</f>
        <v>WR</v>
      </c>
      <c r="H33" s="309">
        <f>'11'!H33</f>
        <v>0</v>
      </c>
      <c r="I33" s="309">
        <f>'11'!I33</f>
        <v>0</v>
      </c>
      <c r="J33" s="170">
        <f>'11'!J33</f>
        <v>0</v>
      </c>
      <c r="K33" s="310">
        <f>'11'!K33</f>
        <v>0</v>
      </c>
      <c r="L33" s="135"/>
      <c r="M33" s="307" t="str">
        <f>'11'!M33</f>
        <v>WR</v>
      </c>
      <c r="N33" s="309">
        <f>'11'!N33</f>
        <v>0</v>
      </c>
      <c r="O33" s="309">
        <f>'11'!O33</f>
        <v>0</v>
      </c>
      <c r="P33" s="170">
        <f>'11'!P33</f>
        <v>0</v>
      </c>
      <c r="Q33" s="310">
        <f>'11'!Q33</f>
        <v>0</v>
      </c>
    </row>
    <row r="34" spans="1:17" x14ac:dyDescent="0.3">
      <c r="A34" s="307" t="str">
        <f>'11'!A34</f>
        <v>WR</v>
      </c>
      <c r="B34" s="307">
        <f>'11'!B34</f>
        <v>5.5</v>
      </c>
      <c r="C34" s="307">
        <f>'11'!C34</f>
        <v>6</v>
      </c>
      <c r="D34" s="308">
        <f>'11'!D34</f>
        <v>480</v>
      </c>
      <c r="E34" s="308">
        <f>'11'!E34</f>
        <v>1007562</v>
      </c>
      <c r="F34" s="135"/>
      <c r="G34" s="307" t="str">
        <f>'11'!G34</f>
        <v>WR</v>
      </c>
      <c r="H34" s="309">
        <f>'11'!H34</f>
        <v>0</v>
      </c>
      <c r="I34" s="309">
        <f>'11'!I34</f>
        <v>0</v>
      </c>
      <c r="J34" s="170">
        <f>'11'!J34</f>
        <v>0</v>
      </c>
      <c r="K34" s="310">
        <f>'11'!K34</f>
        <v>0</v>
      </c>
      <c r="L34" s="135"/>
      <c r="M34" s="307" t="str">
        <f>'11'!M34</f>
        <v>WR</v>
      </c>
      <c r="N34" s="309">
        <f>'11'!N34</f>
        <v>0</v>
      </c>
      <c r="O34" s="309">
        <f>'11'!O34</f>
        <v>0</v>
      </c>
      <c r="P34" s="170">
        <f>'11'!P34</f>
        <v>0</v>
      </c>
      <c r="Q34" s="310">
        <f>'11'!Q34</f>
        <v>0</v>
      </c>
    </row>
    <row r="35" spans="1:17" x14ac:dyDescent="0.3">
      <c r="A35" s="307" t="str">
        <f>'11'!A35</f>
        <v>WR</v>
      </c>
      <c r="B35" s="307">
        <f>'11'!B35</f>
        <v>5.5</v>
      </c>
      <c r="C35" s="307" t="str">
        <f>'11'!C35</f>
        <v>8.A</v>
      </c>
      <c r="D35" s="308">
        <f>'11'!D35</f>
        <v>75</v>
      </c>
      <c r="E35" s="308">
        <f>'11'!E35</f>
        <v>157414</v>
      </c>
      <c r="F35" s="135"/>
      <c r="G35" s="307" t="str">
        <f>'11'!G35</f>
        <v>WR</v>
      </c>
      <c r="H35" s="309">
        <f>'11'!H35</f>
        <v>0</v>
      </c>
      <c r="I35" s="309">
        <f>'11'!I35</f>
        <v>0</v>
      </c>
      <c r="J35" s="170">
        <f>'11'!J35</f>
        <v>0</v>
      </c>
      <c r="K35" s="310">
        <f>'11'!K35</f>
        <v>0</v>
      </c>
      <c r="L35" s="135"/>
      <c r="M35" s="307" t="str">
        <f>'11'!M35</f>
        <v>WR</v>
      </c>
      <c r="N35" s="309">
        <f>'11'!N35</f>
        <v>0</v>
      </c>
      <c r="O35" s="309">
        <f>'11'!O35</f>
        <v>0</v>
      </c>
      <c r="P35" s="170">
        <f>'11'!P35</f>
        <v>0</v>
      </c>
      <c r="Q35" s="310">
        <f>'11'!Q35</f>
        <v>0</v>
      </c>
    </row>
    <row r="36" spans="1:17" x14ac:dyDescent="0.3">
      <c r="A36" s="307" t="str">
        <f>'11'!A36</f>
        <v>WR</v>
      </c>
      <c r="B36" s="307">
        <f>'11'!B36</f>
        <v>5.5</v>
      </c>
      <c r="C36" s="307" t="str">
        <f>'11'!C36</f>
        <v>22.A</v>
      </c>
      <c r="D36" s="308">
        <f>'11'!D36</f>
        <v>284</v>
      </c>
      <c r="E36" s="308">
        <f>'11'!E36</f>
        <v>593345</v>
      </c>
      <c r="F36" s="135"/>
      <c r="G36" s="307" t="str">
        <f>'11'!G36</f>
        <v>WR</v>
      </c>
      <c r="H36" s="309">
        <f>'11'!H36</f>
        <v>0</v>
      </c>
      <c r="I36" s="309">
        <f>'11'!I36</f>
        <v>0</v>
      </c>
      <c r="J36" s="170">
        <f>'11'!J36</f>
        <v>0</v>
      </c>
      <c r="K36" s="310">
        <f>'11'!K36</f>
        <v>0</v>
      </c>
      <c r="L36" s="135"/>
      <c r="M36" s="307" t="str">
        <f>'11'!M36</f>
        <v>WR</v>
      </c>
      <c r="N36" s="309">
        <f>'11'!N36</f>
        <v>0</v>
      </c>
      <c r="O36" s="309">
        <f>'11'!O36</f>
        <v>0</v>
      </c>
      <c r="P36" s="170">
        <f>'11'!P36</f>
        <v>0</v>
      </c>
      <c r="Q36" s="310">
        <f>'11'!Q36</f>
        <v>0</v>
      </c>
    </row>
    <row r="37" spans="1:17" x14ac:dyDescent="0.3">
      <c r="A37" s="307" t="str">
        <f>'11'!A37</f>
        <v>WR</v>
      </c>
      <c r="B37" s="307">
        <f>'11'!B37</f>
        <v>5.5</v>
      </c>
      <c r="C37" s="307" t="str">
        <f>'11'!C37</f>
        <v>Y.11</v>
      </c>
      <c r="D37" s="308">
        <f>'11'!D37</f>
        <v>526</v>
      </c>
      <c r="E37" s="308">
        <f>'11'!E37</f>
        <v>1102590</v>
      </c>
      <c r="F37" s="135"/>
      <c r="G37" s="307" t="str">
        <f>'11'!G37</f>
        <v>WR</v>
      </c>
      <c r="H37" s="309">
        <f>'11'!H37</f>
        <v>0</v>
      </c>
      <c r="I37" s="309">
        <f>'11'!I37</f>
        <v>0</v>
      </c>
      <c r="J37" s="170">
        <f>'11'!J37</f>
        <v>0</v>
      </c>
      <c r="K37" s="310">
        <f>'11'!K37</f>
        <v>0</v>
      </c>
      <c r="L37" s="135"/>
      <c r="M37" s="307" t="str">
        <f>'11'!M37</f>
        <v>WR</v>
      </c>
      <c r="N37" s="309">
        <f>'11'!N37</f>
        <v>0</v>
      </c>
      <c r="O37" s="309">
        <f>'11'!O37</f>
        <v>0</v>
      </c>
      <c r="P37" s="170">
        <f>'11'!P37</f>
        <v>0</v>
      </c>
      <c r="Q37" s="310">
        <f>'11'!Q37</f>
        <v>0</v>
      </c>
    </row>
    <row r="38" spans="1:17" x14ac:dyDescent="0.3">
      <c r="A38" s="307" t="str">
        <f>'11'!A38</f>
        <v>WR</v>
      </c>
      <c r="B38" s="307">
        <f>'11'!B38</f>
        <v>5.5</v>
      </c>
      <c r="C38" s="307" t="str">
        <f>'11'!C38</f>
        <v>67.A</v>
      </c>
      <c r="D38" s="308">
        <f>'11'!D38</f>
        <v>72</v>
      </c>
      <c r="E38" s="308">
        <f>'11'!E38</f>
        <v>152182</v>
      </c>
      <c r="F38" s="135"/>
      <c r="G38" s="307" t="str">
        <f>'11'!G38</f>
        <v>WR</v>
      </c>
      <c r="H38" s="309">
        <f>'11'!H38</f>
        <v>0</v>
      </c>
      <c r="I38" s="309">
        <f>'11'!I38</f>
        <v>0</v>
      </c>
      <c r="J38" s="170">
        <f>'11'!J38</f>
        <v>0</v>
      </c>
      <c r="K38" s="310">
        <f>'11'!K38</f>
        <v>0</v>
      </c>
      <c r="L38" s="135"/>
      <c r="M38" s="307" t="str">
        <f>'11'!M38</f>
        <v>WR</v>
      </c>
      <c r="N38" s="309">
        <f>'11'!N38</f>
        <v>0</v>
      </c>
      <c r="O38" s="309">
        <f>'11'!O38</f>
        <v>0</v>
      </c>
      <c r="P38" s="170">
        <f>'11'!P38</f>
        <v>0</v>
      </c>
      <c r="Q38" s="310">
        <f>'11'!Q38</f>
        <v>0</v>
      </c>
    </row>
    <row r="39" spans="1:17" x14ac:dyDescent="0.3">
      <c r="A39" s="307" t="str">
        <f>'11'!A39</f>
        <v>BIC</v>
      </c>
      <c r="B39" s="307" t="str">
        <f>'11'!B39</f>
        <v>P.8</v>
      </c>
      <c r="C39" s="307" t="str">
        <f>'11'!C39</f>
        <v>BjTPG280</v>
      </c>
      <c r="D39" s="308">
        <f>'11'!D39</f>
        <v>240</v>
      </c>
      <c r="E39" s="308">
        <f>'11'!E39</f>
        <v>499780</v>
      </c>
      <c r="F39" s="135"/>
      <c r="G39" s="307" t="str">
        <f>'11'!G39</f>
        <v>WR</v>
      </c>
      <c r="H39" s="309">
        <f>'11'!H39</f>
        <v>0</v>
      </c>
      <c r="I39" s="309">
        <f>'11'!I39</f>
        <v>0</v>
      </c>
      <c r="J39" s="170">
        <f>'11'!J39</f>
        <v>0</v>
      </c>
      <c r="K39" s="310">
        <f>'11'!K39</f>
        <v>0</v>
      </c>
      <c r="L39" s="135"/>
      <c r="M39" s="307" t="str">
        <f>'11'!M39</f>
        <v>WR</v>
      </c>
      <c r="N39" s="309">
        <f>'11'!N39</f>
        <v>0</v>
      </c>
      <c r="O39" s="309">
        <f>'11'!O39</f>
        <v>0</v>
      </c>
      <c r="P39" s="170">
        <f>'11'!P39</f>
        <v>0</v>
      </c>
      <c r="Q39" s="310">
        <f>'11'!Q39</f>
        <v>0</v>
      </c>
    </row>
    <row r="40" spans="1:17" x14ac:dyDescent="0.3">
      <c r="A40" s="307" t="str">
        <f>'11'!A40</f>
        <v>BIC</v>
      </c>
      <c r="B40" s="307" t="str">
        <f>'11'!B40</f>
        <v>S.8</v>
      </c>
      <c r="C40" s="307" t="str">
        <f>'11'!C40</f>
        <v>BjTSG420</v>
      </c>
      <c r="D40" s="308">
        <f>'11'!D40+J8+J9+J10</f>
        <v>335</v>
      </c>
      <c r="E40" s="308">
        <f>'11'!E40+K8+K9+K10</f>
        <v>688721</v>
      </c>
      <c r="F40" s="135"/>
      <c r="G40" s="307" t="str">
        <f>'11'!G40</f>
        <v>WR</v>
      </c>
      <c r="H40" s="309">
        <f>'11'!H40</f>
        <v>0</v>
      </c>
      <c r="I40" s="309">
        <f>'11'!I40</f>
        <v>0</v>
      </c>
      <c r="J40" s="170">
        <f>'11'!J40</f>
        <v>0</v>
      </c>
      <c r="K40" s="310">
        <f>'11'!K40</f>
        <v>0</v>
      </c>
      <c r="L40" s="135"/>
      <c r="M40" s="307" t="str">
        <f>'11'!M40</f>
        <v>WR</v>
      </c>
      <c r="N40" s="309">
        <f>'11'!N40</f>
        <v>0</v>
      </c>
      <c r="O40" s="309">
        <f>'11'!O40</f>
        <v>0</v>
      </c>
      <c r="P40" s="170">
        <f>'11'!P40</f>
        <v>0</v>
      </c>
      <c r="Q40" s="310">
        <f>'11'!Q40</f>
        <v>0</v>
      </c>
    </row>
    <row r="41" spans="1:17" x14ac:dyDescent="0.3">
      <c r="A41" s="307" t="str">
        <f>'11'!A41</f>
        <v>BIC</v>
      </c>
      <c r="B41" s="307" t="str">
        <f>'11'!B41</f>
        <v>S.10</v>
      </c>
      <c r="C41" s="307" t="str">
        <f>'11'!C41</f>
        <v>BjTSG420</v>
      </c>
      <c r="D41" s="308">
        <f>'11'!D41</f>
        <v>144</v>
      </c>
      <c r="E41" s="308">
        <f>'11'!E41</f>
        <v>295842</v>
      </c>
      <c r="F41" s="135"/>
      <c r="G41" s="307" t="str">
        <f>'11'!G41</f>
        <v>WR</v>
      </c>
      <c r="H41" s="309">
        <f>'11'!H41</f>
        <v>0</v>
      </c>
      <c r="I41" s="309">
        <f>'11'!I41</f>
        <v>0</v>
      </c>
      <c r="J41" s="170">
        <f>'11'!J41</f>
        <v>0</v>
      </c>
      <c r="K41" s="310">
        <f>'11'!K41</f>
        <v>0</v>
      </c>
      <c r="L41" s="135"/>
      <c r="M41" s="307" t="str">
        <f>'11'!M41</f>
        <v>WR</v>
      </c>
      <c r="N41" s="309">
        <f>'11'!N41</f>
        <v>0</v>
      </c>
      <c r="O41" s="309">
        <f>'11'!O41</f>
        <v>0</v>
      </c>
      <c r="P41" s="170">
        <f>'11'!P41</f>
        <v>0</v>
      </c>
      <c r="Q41" s="310">
        <f>'11'!Q41</f>
        <v>0</v>
      </c>
    </row>
    <row r="42" spans="1:17" x14ac:dyDescent="0.3">
      <c r="A42" s="307" t="str">
        <f>'11'!A42</f>
        <v>WR</v>
      </c>
      <c r="B42" s="307">
        <f>'11'!B42</f>
        <v>5.5</v>
      </c>
      <c r="C42" s="307">
        <f>'11'!C42</f>
        <v>8</v>
      </c>
      <c r="D42" s="308">
        <f>'11'!D42</f>
        <v>287</v>
      </c>
      <c r="E42" s="308">
        <f>'11'!E42</f>
        <v>601921</v>
      </c>
      <c r="F42" s="135"/>
      <c r="G42" s="307" t="str">
        <f>'11'!G42</f>
        <v>WR</v>
      </c>
      <c r="H42" s="309">
        <f>'11'!H42</f>
        <v>0</v>
      </c>
      <c r="I42" s="309">
        <f>'11'!I42</f>
        <v>0</v>
      </c>
      <c r="J42" s="170">
        <f>'11'!J42</f>
        <v>0</v>
      </c>
      <c r="K42" s="310">
        <f>'11'!K42</f>
        <v>0</v>
      </c>
      <c r="L42" s="135"/>
      <c r="M42" s="307" t="str">
        <f>'11'!M42</f>
        <v>WR</v>
      </c>
      <c r="N42" s="309">
        <f>'11'!N42</f>
        <v>0</v>
      </c>
      <c r="O42" s="309">
        <f>'11'!O42</f>
        <v>0</v>
      </c>
      <c r="P42" s="170">
        <f>'11'!P42</f>
        <v>0</v>
      </c>
      <c r="Q42" s="310">
        <f>'11'!Q42</f>
        <v>0</v>
      </c>
    </row>
    <row r="43" spans="1:17" x14ac:dyDescent="0.3">
      <c r="A43" s="307" t="str">
        <f>'11'!A43</f>
        <v>WR</v>
      </c>
      <c r="B43" s="307">
        <f>'11'!B43</f>
        <v>5.5</v>
      </c>
      <c r="C43" s="307" t="str">
        <f>'11'!C43</f>
        <v>67.B</v>
      </c>
      <c r="D43" s="308">
        <f>'11'!D43</f>
        <v>144</v>
      </c>
      <c r="E43" s="308">
        <f>'11'!E43</f>
        <v>304535</v>
      </c>
      <c r="F43" s="135"/>
      <c r="G43" s="307" t="str">
        <f>'11'!G43</f>
        <v>WR</v>
      </c>
      <c r="H43" s="309">
        <f>'11'!H43</f>
        <v>0</v>
      </c>
      <c r="I43" s="309">
        <f>'11'!I43</f>
        <v>0</v>
      </c>
      <c r="J43" s="170">
        <f>'11'!J43</f>
        <v>0</v>
      </c>
      <c r="K43" s="310">
        <f>'11'!K43</f>
        <v>0</v>
      </c>
      <c r="L43" s="135"/>
      <c r="M43" s="307" t="str">
        <f>'11'!M43</f>
        <v>WR</v>
      </c>
      <c r="N43" s="309">
        <f>'11'!N43</f>
        <v>0</v>
      </c>
      <c r="O43" s="309">
        <f>'11'!O43</f>
        <v>0</v>
      </c>
      <c r="P43" s="170">
        <f>'11'!P43</f>
        <v>0</v>
      </c>
      <c r="Q43" s="310">
        <f>'11'!Q43</f>
        <v>0</v>
      </c>
    </row>
    <row r="44" spans="1:17" x14ac:dyDescent="0.3">
      <c r="A44" s="307" t="str">
        <f>'11'!A44</f>
        <v>BIC</v>
      </c>
      <c r="B44" s="307" t="str">
        <f>'11'!B44</f>
        <v>P.10</v>
      </c>
      <c r="C44" s="307" t="str">
        <f>'11'!C44</f>
        <v>BjTPG280</v>
      </c>
      <c r="D44" s="308">
        <f>'11'!D44+J7</f>
        <v>144</v>
      </c>
      <c r="E44" s="308">
        <f>'11'!E44+K7</f>
        <v>299930</v>
      </c>
      <c r="F44" s="135"/>
      <c r="G44" s="307" t="str">
        <f>'11'!G44</f>
        <v>WR</v>
      </c>
      <c r="H44" s="309">
        <f>'11'!H44</f>
        <v>0</v>
      </c>
      <c r="I44" s="309">
        <f>'11'!I44</f>
        <v>0</v>
      </c>
      <c r="J44" s="170">
        <f>'11'!J44</f>
        <v>0</v>
      </c>
      <c r="K44" s="310">
        <f>'11'!K44</f>
        <v>0</v>
      </c>
      <c r="L44" s="135"/>
      <c r="M44" s="307" t="str">
        <f>'11'!M44</f>
        <v>WR</v>
      </c>
      <c r="N44" s="309">
        <f>'11'!N44</f>
        <v>0</v>
      </c>
      <c r="O44" s="309">
        <f>'11'!O44</f>
        <v>0</v>
      </c>
      <c r="P44" s="170">
        <f>'11'!P44</f>
        <v>0</v>
      </c>
      <c r="Q44" s="310">
        <f>'11'!Q44</f>
        <v>0</v>
      </c>
    </row>
    <row r="45" spans="1:17" x14ac:dyDescent="0.3">
      <c r="A45" s="307" t="s">
        <v>195</v>
      </c>
      <c r="B45" s="307" t="s">
        <v>301</v>
      </c>
      <c r="C45" s="307" t="s">
        <v>262</v>
      </c>
      <c r="D45" s="308">
        <f>J11+J12</f>
        <v>48</v>
      </c>
      <c r="E45" s="308">
        <f>K11+K12</f>
        <v>98404</v>
      </c>
      <c r="F45" s="135"/>
      <c r="G45" s="307" t="str">
        <f>'11'!G45</f>
        <v>WR</v>
      </c>
      <c r="H45" s="309">
        <f>'11'!H45</f>
        <v>0</v>
      </c>
      <c r="I45" s="309">
        <f>'11'!I45</f>
        <v>0</v>
      </c>
      <c r="J45" s="170">
        <f>'11'!J45</f>
        <v>0</v>
      </c>
      <c r="K45" s="310">
        <f>'11'!K45</f>
        <v>0</v>
      </c>
      <c r="L45" s="135"/>
      <c r="M45" s="307" t="str">
        <f>'11'!M45</f>
        <v>WR</v>
      </c>
      <c r="N45" s="309">
        <f>'11'!N45</f>
        <v>0</v>
      </c>
      <c r="O45" s="309">
        <f>'11'!O45</f>
        <v>0</v>
      </c>
      <c r="P45" s="170">
        <f>'11'!P45</f>
        <v>0</v>
      </c>
      <c r="Q45" s="310">
        <f>'11'!Q45</f>
        <v>0</v>
      </c>
    </row>
    <row r="46" spans="1:17" x14ac:dyDescent="0.3">
      <c r="A46" s="307" t="str">
        <f>'11'!A46</f>
        <v>WR</v>
      </c>
      <c r="B46" s="307">
        <v>17</v>
      </c>
      <c r="C46" s="307">
        <v>8</v>
      </c>
      <c r="D46" s="308">
        <f>J13</f>
        <v>91</v>
      </c>
      <c r="E46" s="308">
        <f>K13</f>
        <v>188048</v>
      </c>
      <c r="F46" s="135"/>
      <c r="G46" s="307" t="str">
        <f>'11'!G46</f>
        <v>WR</v>
      </c>
      <c r="H46" s="309">
        <f>'11'!H46</f>
        <v>0</v>
      </c>
      <c r="I46" s="309">
        <f>'11'!I46</f>
        <v>0</v>
      </c>
      <c r="J46" s="170">
        <f>'11'!J46</f>
        <v>0</v>
      </c>
      <c r="K46" s="310">
        <f>'11'!K46</f>
        <v>0</v>
      </c>
      <c r="L46" s="135"/>
      <c r="M46" s="307" t="str">
        <f>'11'!M46</f>
        <v>WR</v>
      </c>
      <c r="N46" s="309">
        <f>'11'!N46</f>
        <v>0</v>
      </c>
      <c r="O46" s="309">
        <f>'11'!O46</f>
        <v>0</v>
      </c>
      <c r="P46" s="170">
        <f>'11'!P46</f>
        <v>0</v>
      </c>
      <c r="Q46" s="310">
        <f>'11'!Q46</f>
        <v>0</v>
      </c>
    </row>
    <row r="47" spans="1:17" x14ac:dyDescent="0.3">
      <c r="A47" s="307" t="str">
        <f>'11'!A47</f>
        <v>WR</v>
      </c>
      <c r="B47" s="307">
        <f>'11'!B47</f>
        <v>0</v>
      </c>
      <c r="C47" s="307">
        <f>'11'!C47</f>
        <v>0</v>
      </c>
      <c r="D47" s="308">
        <f>'11'!D47</f>
        <v>0</v>
      </c>
      <c r="E47" s="308">
        <f>'11'!E47</f>
        <v>0</v>
      </c>
      <c r="F47" s="135"/>
      <c r="G47" s="307" t="str">
        <f>'11'!G47</f>
        <v>WR</v>
      </c>
      <c r="H47" s="309">
        <f>'11'!H47</f>
        <v>0</v>
      </c>
      <c r="I47" s="309">
        <f>'11'!I47</f>
        <v>0</v>
      </c>
      <c r="J47" s="170">
        <f>'11'!J47</f>
        <v>0</v>
      </c>
      <c r="K47" s="310">
        <f>'11'!K47</f>
        <v>0</v>
      </c>
      <c r="L47" s="135"/>
      <c r="M47" s="307" t="str">
        <f>'11'!M47</f>
        <v>WR</v>
      </c>
      <c r="N47" s="309">
        <f>'11'!N47</f>
        <v>0</v>
      </c>
      <c r="O47" s="309">
        <f>'11'!O47</f>
        <v>0</v>
      </c>
      <c r="P47" s="170">
        <f>'11'!P47</f>
        <v>0</v>
      </c>
      <c r="Q47" s="310">
        <f>'11'!Q47</f>
        <v>0</v>
      </c>
    </row>
    <row r="48" spans="1:17" x14ac:dyDescent="0.3">
      <c r="A48" s="307" t="str">
        <f>'11'!A48</f>
        <v>WR</v>
      </c>
      <c r="B48" s="307">
        <f>'11'!B48</f>
        <v>0</v>
      </c>
      <c r="C48" s="307">
        <f>'11'!C48</f>
        <v>0</v>
      </c>
      <c r="D48" s="308">
        <f>'11'!D48</f>
        <v>0</v>
      </c>
      <c r="E48" s="308">
        <f>'11'!E48</f>
        <v>0</v>
      </c>
      <c r="F48" s="135"/>
      <c r="G48" s="307" t="str">
        <f>'11'!G48</f>
        <v>WR</v>
      </c>
      <c r="H48" s="309">
        <f>'11'!H48</f>
        <v>0</v>
      </c>
      <c r="I48" s="309">
        <f>'11'!I48</f>
        <v>0</v>
      </c>
      <c r="J48" s="170">
        <f>'11'!J48</f>
        <v>0</v>
      </c>
      <c r="K48" s="310">
        <f>'11'!K48</f>
        <v>0</v>
      </c>
      <c r="L48" s="135"/>
      <c r="M48" s="307" t="str">
        <f>'11'!M48</f>
        <v>WR</v>
      </c>
      <c r="N48" s="309">
        <f>'11'!N48</f>
        <v>0</v>
      </c>
      <c r="O48" s="309">
        <f>'11'!O48</f>
        <v>0</v>
      </c>
      <c r="P48" s="170">
        <f>'11'!P48</f>
        <v>0</v>
      </c>
      <c r="Q48" s="310">
        <f>'11'!Q48</f>
        <v>0</v>
      </c>
    </row>
    <row r="49" spans="1:23" x14ac:dyDescent="0.3">
      <c r="A49" s="307" t="str">
        <f>'11'!A49</f>
        <v>WR</v>
      </c>
      <c r="B49" s="307">
        <f>'11'!B49</f>
        <v>0</v>
      </c>
      <c r="C49" s="307">
        <f>'11'!C49</f>
        <v>0</v>
      </c>
      <c r="D49" s="308">
        <f>'11'!D49</f>
        <v>0</v>
      </c>
      <c r="E49" s="308">
        <f>'11'!E49</f>
        <v>0</v>
      </c>
      <c r="F49" s="3"/>
      <c r="G49" s="307" t="str">
        <f>'11'!G49</f>
        <v>WR</v>
      </c>
      <c r="H49" s="309">
        <f>'11'!H49</f>
        <v>0</v>
      </c>
      <c r="I49" s="309">
        <f>'11'!I49</f>
        <v>0</v>
      </c>
      <c r="J49" s="170">
        <f>'11'!J49</f>
        <v>0</v>
      </c>
      <c r="K49" s="310">
        <f>'11'!K49</f>
        <v>0</v>
      </c>
      <c r="L49" s="3"/>
      <c r="M49" s="307" t="str">
        <f>'11'!M49</f>
        <v>WR</v>
      </c>
      <c r="N49" s="309">
        <f>'11'!N49</f>
        <v>0</v>
      </c>
      <c r="O49" s="309">
        <f>'11'!O49</f>
        <v>0</v>
      </c>
      <c r="P49" s="170">
        <f>'11'!P49</f>
        <v>0</v>
      </c>
      <c r="Q49" s="310">
        <f>'11'!Q49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46034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317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26">
        <v>27</v>
      </c>
      <c r="C55" s="21"/>
      <c r="D55" s="544"/>
      <c r="E55" s="545"/>
      <c r="F55" s="545"/>
      <c r="G55" s="545"/>
      <c r="H55" s="545"/>
      <c r="I55" s="546"/>
      <c r="J55" s="97"/>
      <c r="K55" s="391"/>
      <c r="L55" s="466" t="s">
        <v>26</v>
      </c>
      <c r="M55" s="467"/>
      <c r="N55" s="467"/>
      <c r="O55" s="392" t="s">
        <v>13</v>
      </c>
      <c r="P55" s="393">
        <f>C16</f>
        <v>901736</v>
      </c>
      <c r="Q55" s="394">
        <f>C26</f>
        <v>7056225</v>
      </c>
      <c r="R55" s="395"/>
      <c r="S55" s="388">
        <f>DAY(A52)</f>
        <v>12</v>
      </c>
      <c r="T55" s="383">
        <f>S55-U55</f>
        <v>7</v>
      </c>
      <c r="U55" s="383">
        <f>'11'!U55</f>
        <v>5</v>
      </c>
    </row>
    <row r="56" spans="1:23" x14ac:dyDescent="0.3">
      <c r="A56" s="95" t="s">
        <v>37</v>
      </c>
      <c r="B56" s="427">
        <v>27</v>
      </c>
      <c r="C56" s="77"/>
      <c r="D56" s="494"/>
      <c r="E56" s="495"/>
      <c r="F56" s="495"/>
      <c r="G56" s="495"/>
      <c r="H56" s="495"/>
      <c r="I56" s="496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884115</v>
      </c>
      <c r="Q56" s="398">
        <f>K27</f>
        <v>6938745</v>
      </c>
      <c r="R56" s="399"/>
    </row>
    <row r="57" spans="1:23" x14ac:dyDescent="0.3">
      <c r="A57" s="95" t="s">
        <v>39</v>
      </c>
      <c r="B57" s="427">
        <v>27</v>
      </c>
      <c r="C57" s="77"/>
      <c r="D57" s="494"/>
      <c r="E57" s="495"/>
      <c r="F57" s="495"/>
      <c r="G57" s="495"/>
      <c r="H57" s="495"/>
      <c r="I57" s="496"/>
      <c r="J57" s="97"/>
      <c r="K57" s="391"/>
      <c r="L57" s="468" t="s">
        <v>19</v>
      </c>
      <c r="M57" s="469"/>
      <c r="N57" s="469"/>
      <c r="O57" s="400" t="s">
        <v>14</v>
      </c>
      <c r="P57" s="401">
        <f>L17</f>
        <v>0.98045880390713025</v>
      </c>
      <c r="Q57" s="430">
        <f>L27</f>
        <v>0.98335087103940133</v>
      </c>
      <c r="R57" s="403">
        <v>0.98499999999999999</v>
      </c>
    </row>
    <row r="58" spans="1:23" x14ac:dyDescent="0.3">
      <c r="A58" s="95" t="s">
        <v>41</v>
      </c>
      <c r="B58" s="427">
        <v>27</v>
      </c>
      <c r="C58" s="77"/>
      <c r="D58" s="494"/>
      <c r="E58" s="495"/>
      <c r="F58" s="495"/>
      <c r="G58" s="495"/>
      <c r="H58" s="495"/>
      <c r="I58" s="496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2088</v>
      </c>
      <c r="Q58" s="394">
        <f>E26</f>
        <v>29585</v>
      </c>
      <c r="R58" s="395"/>
    </row>
    <row r="59" spans="1:23" x14ac:dyDescent="0.3">
      <c r="A59" s="95" t="s">
        <v>43</v>
      </c>
      <c r="B59" s="427">
        <v>27</v>
      </c>
      <c r="C59" s="77"/>
      <c r="D59" s="494"/>
      <c r="E59" s="495"/>
      <c r="F59" s="495"/>
      <c r="G59" s="495"/>
      <c r="H59" s="495"/>
      <c r="I59" s="496"/>
      <c r="J59" s="97"/>
      <c r="K59" s="391"/>
      <c r="L59" s="509"/>
      <c r="M59" s="510"/>
      <c r="N59" s="510"/>
      <c r="O59" s="400" t="s">
        <v>14</v>
      </c>
      <c r="P59" s="401">
        <f>F16</f>
        <v>2.3155335929806505E-3</v>
      </c>
      <c r="Q59" s="430">
        <f>F26</f>
        <v>4.1927517900860588E-3</v>
      </c>
      <c r="R59" s="404">
        <v>1.5E-3</v>
      </c>
    </row>
    <row r="60" spans="1:23" x14ac:dyDescent="0.3">
      <c r="A60" s="95" t="s">
        <v>45</v>
      </c>
      <c r="B60" s="427">
        <v>6</v>
      </c>
      <c r="C60" s="77"/>
      <c r="D60" s="494" t="s">
        <v>302</v>
      </c>
      <c r="E60" s="495"/>
      <c r="F60" s="495"/>
      <c r="G60" s="495"/>
      <c r="H60" s="495"/>
      <c r="I60" s="496"/>
      <c r="J60" s="97">
        <v>45</v>
      </c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</f>
        <v>17280</v>
      </c>
      <c r="R60" s="406"/>
    </row>
    <row r="61" spans="1:23" x14ac:dyDescent="0.3">
      <c r="A61" s="95" t="s">
        <v>47</v>
      </c>
      <c r="B61" s="427">
        <v>22</v>
      </c>
      <c r="C61" s="77"/>
      <c r="D61" s="494" t="s">
        <v>303</v>
      </c>
      <c r="E61" s="495"/>
      <c r="F61" s="495"/>
      <c r="G61" s="495"/>
      <c r="H61" s="495"/>
      <c r="I61" s="496"/>
      <c r="J61" s="97">
        <v>6</v>
      </c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</f>
        <v>7200</v>
      </c>
      <c r="R61" s="395"/>
    </row>
    <row r="62" spans="1:23" x14ac:dyDescent="0.3">
      <c r="A62" s="95" t="s">
        <v>49</v>
      </c>
      <c r="B62" s="427">
        <v>25</v>
      </c>
      <c r="C62" s="77"/>
      <c r="D62" s="494"/>
      <c r="E62" s="495"/>
      <c r="F62" s="495"/>
      <c r="G62" s="495"/>
      <c r="H62" s="495"/>
      <c r="I62" s="496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</f>
        <v>7200</v>
      </c>
      <c r="R62" s="399"/>
    </row>
    <row r="63" spans="1:23" x14ac:dyDescent="0.3">
      <c r="A63" s="95" t="s">
        <v>51</v>
      </c>
      <c r="B63" s="427">
        <v>25</v>
      </c>
      <c r="C63" s="77"/>
      <c r="D63" s="494"/>
      <c r="E63" s="495"/>
      <c r="F63" s="495"/>
      <c r="G63" s="495"/>
      <c r="H63" s="495"/>
      <c r="I63" s="496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</f>
        <v>0</v>
      </c>
      <c r="R63" s="399"/>
    </row>
    <row r="64" spans="1:23" x14ac:dyDescent="0.3">
      <c r="A64" s="95" t="s">
        <v>53</v>
      </c>
      <c r="B64" s="427">
        <v>24</v>
      </c>
      <c r="C64" s="77"/>
      <c r="D64" s="494"/>
      <c r="E64" s="495"/>
      <c r="F64" s="495"/>
      <c r="G64" s="495"/>
      <c r="H64" s="495"/>
      <c r="I64" s="496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27">
        <v>24</v>
      </c>
      <c r="C65" s="77"/>
      <c r="D65" s="494"/>
      <c r="E65" s="495"/>
      <c r="F65" s="495"/>
      <c r="G65" s="495"/>
      <c r="H65" s="495"/>
      <c r="I65" s="496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340</v>
      </c>
      <c r="Q65" s="100">
        <f>'1'!Q65+'2'!P65+'3'!P65+'4'!P65+'5'!P65+'6'!P65+'7'!P65+'8'!P65+'9'!P65+'10'!P65+'11'!P65+'12'!P65</f>
        <v>1267</v>
      </c>
      <c r="R65" s="395"/>
      <c r="S65" s="171" t="s">
        <v>56</v>
      </c>
      <c r="T65" s="172"/>
      <c r="U65" s="173" t="s">
        <v>151</v>
      </c>
      <c r="V65" s="174">
        <v>1</v>
      </c>
      <c r="W65" s="181">
        <f>+'11'!W65+'12'!V65</f>
        <v>8</v>
      </c>
    </row>
    <row r="66" spans="1:23" x14ac:dyDescent="0.3">
      <c r="A66" s="95" t="s">
        <v>57</v>
      </c>
      <c r="B66" s="427">
        <v>16</v>
      </c>
      <c r="C66" s="77">
        <v>1</v>
      </c>
      <c r="D66" s="494" t="s">
        <v>304</v>
      </c>
      <c r="E66" s="495"/>
      <c r="F66" s="495"/>
      <c r="G66" s="495"/>
      <c r="H66" s="495"/>
      <c r="I66" s="496"/>
      <c r="J66" s="97">
        <v>19</v>
      </c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+'11'!W66+'12'!V66</f>
        <v>5</v>
      </c>
    </row>
    <row r="67" spans="1:23" x14ac:dyDescent="0.3">
      <c r="A67" s="95" t="s">
        <v>59</v>
      </c>
      <c r="B67" s="427">
        <v>8</v>
      </c>
      <c r="C67" s="77" t="s">
        <v>305</v>
      </c>
      <c r="D67" s="494" t="s">
        <v>306</v>
      </c>
      <c r="E67" s="495"/>
      <c r="F67" s="495"/>
      <c r="G67" s="495"/>
      <c r="H67" s="495"/>
      <c r="I67" s="496"/>
      <c r="J67" s="97">
        <v>40</v>
      </c>
      <c r="K67" s="391"/>
      <c r="L67" s="502" t="s">
        <v>50</v>
      </c>
      <c r="M67" s="498"/>
      <c r="N67" s="498"/>
      <c r="O67" s="408" t="s">
        <v>28</v>
      </c>
      <c r="P67" s="138">
        <v>308</v>
      </c>
      <c r="Q67" s="99">
        <f>'1'!Q67+'2'!P67+'3'!P67+'4'!P67+'5'!P67+'6'!P67+'7'!P67+'8'!P67+'9'!P67+'10'!P67+'11'!P67+'12'!P67</f>
        <v>1108</v>
      </c>
      <c r="R67" s="399"/>
      <c r="S67" s="377" t="s">
        <v>60</v>
      </c>
      <c r="T67" s="175"/>
      <c r="U67" s="176" t="s">
        <v>151</v>
      </c>
      <c r="V67" s="177"/>
      <c r="W67" s="182">
        <f>+'11'!W67+'12'!V67</f>
        <v>0</v>
      </c>
    </row>
    <row r="68" spans="1:23" x14ac:dyDescent="0.3">
      <c r="A68" s="95" t="s">
        <v>61</v>
      </c>
      <c r="B68" s="427">
        <v>6</v>
      </c>
      <c r="C68" s="77"/>
      <c r="D68" s="494" t="s">
        <v>307</v>
      </c>
      <c r="E68" s="495"/>
      <c r="F68" s="495"/>
      <c r="G68" s="495"/>
      <c r="H68" s="495"/>
      <c r="I68" s="496"/>
      <c r="J68" s="97">
        <v>42</v>
      </c>
      <c r="K68" s="391"/>
      <c r="L68" s="468" t="s">
        <v>52</v>
      </c>
      <c r="M68" s="469"/>
      <c r="N68" s="469"/>
      <c r="O68" s="85" t="s">
        <v>28</v>
      </c>
      <c r="P68" s="141">
        <v>32</v>
      </c>
      <c r="Q68" s="86">
        <f>'1'!Q68+'2'!P68+'3'!P68+'4'!P68+'5'!P68+'6'!P68+'7'!P68+'8'!P68+'9'!P68+'10'!P68+'11'!P68+'12'!P68</f>
        <v>159</v>
      </c>
      <c r="R68" s="409"/>
      <c r="S68" s="377" t="s">
        <v>62</v>
      </c>
      <c r="T68" s="175"/>
      <c r="U68" s="176" t="s">
        <v>151</v>
      </c>
      <c r="V68" s="177"/>
      <c r="W68" s="182">
        <f>+'11'!W68+'12'!V68</f>
        <v>1</v>
      </c>
    </row>
    <row r="69" spans="1:23" x14ac:dyDescent="0.3">
      <c r="A69" s="95" t="s">
        <v>63</v>
      </c>
      <c r="B69" s="427">
        <v>20</v>
      </c>
      <c r="C69" s="77"/>
      <c r="D69" s="494"/>
      <c r="E69" s="495"/>
      <c r="F69" s="495"/>
      <c r="G69" s="495"/>
      <c r="H69" s="495"/>
      <c r="I69" s="496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64</v>
      </c>
      <c r="Q69" s="100">
        <f>'1'!Q69+'2'!P69+'3'!P69+'4'!P69+'5'!P69+'6'!P69+'7'!P69+'8'!P69+'9'!P69+'10'!P69+'11'!P69+'12'!P69</f>
        <v>593</v>
      </c>
      <c r="R69" s="395"/>
      <c r="S69" s="376" t="s">
        <v>64</v>
      </c>
      <c r="T69" s="178"/>
      <c r="U69" s="179" t="s">
        <v>151</v>
      </c>
      <c r="V69" s="180"/>
      <c r="W69" s="183">
        <f>+'11'!W69+'12'!V69</f>
        <v>0</v>
      </c>
    </row>
    <row r="70" spans="1:23" x14ac:dyDescent="0.3">
      <c r="A70" s="95" t="s">
        <v>65</v>
      </c>
      <c r="B70" s="427">
        <v>20</v>
      </c>
      <c r="C70" s="77"/>
      <c r="D70" s="494"/>
      <c r="E70" s="495"/>
      <c r="F70" s="495"/>
      <c r="G70" s="495"/>
      <c r="H70" s="495"/>
      <c r="I70" s="496"/>
      <c r="J70" s="97"/>
      <c r="K70" s="407"/>
      <c r="L70" s="497" t="s">
        <v>56</v>
      </c>
      <c r="M70" s="498"/>
      <c r="N70" s="498"/>
      <c r="O70" s="408" t="s">
        <v>28</v>
      </c>
      <c r="P70" s="138">
        <v>64</v>
      </c>
      <c r="Q70" s="429">
        <f>'1'!Q70+'2'!P70+'3'!P70+'4'!P70+'5'!P70+'6'!P70+'7'!P70+'8'!P70+'9'!P70+'10'!P70+'11'!P70+'12'!P70</f>
        <v>299</v>
      </c>
      <c r="R70" s="399">
        <f>T55*30</f>
        <v>210</v>
      </c>
    </row>
    <row r="71" spans="1:23" x14ac:dyDescent="0.3">
      <c r="A71" s="95" t="s">
        <v>67</v>
      </c>
      <c r="B71" s="427">
        <v>2</v>
      </c>
      <c r="C71" s="77"/>
      <c r="D71" s="494" t="s">
        <v>308</v>
      </c>
      <c r="E71" s="495"/>
      <c r="F71" s="495"/>
      <c r="G71" s="495"/>
      <c r="H71" s="495"/>
      <c r="I71" s="496"/>
      <c r="J71" s="97">
        <v>53</v>
      </c>
      <c r="K71" s="391"/>
      <c r="L71" s="497" t="s">
        <v>58</v>
      </c>
      <c r="M71" s="498"/>
      <c r="N71" s="498"/>
      <c r="O71" s="408" t="s">
        <v>28</v>
      </c>
      <c r="P71" s="138">
        <v>0</v>
      </c>
      <c r="Q71" s="429">
        <f>'1'!Q71+'2'!P71+'3'!P71+'4'!P71+'5'!P71+'6'!P71+'7'!P71+'8'!P71+'9'!P71+'10'!P71+'11'!P71+'12'!P71</f>
        <v>251</v>
      </c>
      <c r="R71" s="399">
        <f>T55*25</f>
        <v>175</v>
      </c>
    </row>
    <row r="72" spans="1:23" x14ac:dyDescent="0.3">
      <c r="A72" s="95" t="s">
        <v>69</v>
      </c>
      <c r="B72" s="427">
        <v>0</v>
      </c>
      <c r="C72" s="77"/>
      <c r="D72" s="494" t="s">
        <v>308</v>
      </c>
      <c r="E72" s="495"/>
      <c r="F72" s="495"/>
      <c r="G72" s="495"/>
      <c r="H72" s="495"/>
      <c r="I72" s="496"/>
      <c r="J72" s="97">
        <v>60</v>
      </c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</f>
        <v>19</v>
      </c>
      <c r="R72" s="399">
        <f>T55*10</f>
        <v>70</v>
      </c>
    </row>
    <row r="73" spans="1:23" x14ac:dyDescent="0.3">
      <c r="A73" s="95" t="s">
        <v>71</v>
      </c>
      <c r="B73" s="427">
        <v>1</v>
      </c>
      <c r="C73" s="77"/>
      <c r="D73" s="494" t="s">
        <v>309</v>
      </c>
      <c r="E73" s="495"/>
      <c r="F73" s="495"/>
      <c r="G73" s="495"/>
      <c r="H73" s="495"/>
      <c r="I73" s="496"/>
      <c r="J73" s="97">
        <v>57</v>
      </c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</f>
        <v>24</v>
      </c>
      <c r="R73" s="399"/>
    </row>
    <row r="74" spans="1:23" x14ac:dyDescent="0.3">
      <c r="A74" s="95" t="s">
        <v>73</v>
      </c>
      <c r="B74" s="427">
        <v>21</v>
      </c>
      <c r="C74" s="77"/>
      <c r="D74" s="494" t="s">
        <v>310</v>
      </c>
      <c r="E74" s="495"/>
      <c r="F74" s="495"/>
      <c r="G74" s="495"/>
      <c r="H74" s="495"/>
      <c r="I74" s="496"/>
      <c r="J74" s="97">
        <v>10</v>
      </c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</f>
        <v>0</v>
      </c>
      <c r="R74" s="409"/>
    </row>
    <row r="75" spans="1:23" x14ac:dyDescent="0.3">
      <c r="A75" s="95" t="s">
        <v>75</v>
      </c>
      <c r="B75" s="427">
        <v>18</v>
      </c>
      <c r="C75" s="77"/>
      <c r="D75" s="494" t="s">
        <v>311</v>
      </c>
      <c r="E75" s="495"/>
      <c r="F75" s="495"/>
      <c r="G75" s="495"/>
      <c r="H75" s="495"/>
      <c r="I75" s="496"/>
      <c r="J75" s="97">
        <v>17</v>
      </c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</f>
        <v>10080</v>
      </c>
      <c r="R75" s="406"/>
    </row>
    <row r="76" spans="1:23" x14ac:dyDescent="0.3">
      <c r="A76" s="95" t="s">
        <v>77</v>
      </c>
      <c r="B76" s="427">
        <v>24</v>
      </c>
      <c r="C76" s="77"/>
      <c r="D76" s="494" t="s">
        <v>312</v>
      </c>
      <c r="E76" s="495"/>
      <c r="F76" s="495"/>
      <c r="G76" s="495"/>
      <c r="H76" s="495"/>
      <c r="I76" s="496"/>
      <c r="J76" s="97">
        <v>8</v>
      </c>
      <c r="K76" s="391"/>
      <c r="L76" s="489" t="s">
        <v>68</v>
      </c>
      <c r="M76" s="490"/>
      <c r="N76" s="490"/>
      <c r="O76" s="405" t="s">
        <v>28</v>
      </c>
      <c r="P76" s="94">
        <f>P65+P69</f>
        <v>404</v>
      </c>
      <c r="Q76" s="94">
        <f>'1'!Q76+'2'!P76+'3'!P76+'4'!P76+'5'!P76+'6'!P76+'7'!P76+'8'!P76+'9'!P76+'10'!P76+'11'!P76+'12'!P76</f>
        <v>1860</v>
      </c>
      <c r="R76" s="406"/>
    </row>
    <row r="77" spans="1:23" x14ac:dyDescent="0.3">
      <c r="A77" s="95" t="s">
        <v>79</v>
      </c>
      <c r="B77" s="427">
        <v>24</v>
      </c>
      <c r="C77" s="77"/>
      <c r="D77" s="494" t="s">
        <v>313</v>
      </c>
      <c r="E77" s="495"/>
      <c r="F77" s="495"/>
      <c r="G77" s="495"/>
      <c r="H77" s="495"/>
      <c r="I77" s="496"/>
      <c r="J77" s="97">
        <v>6</v>
      </c>
      <c r="K77" s="391"/>
      <c r="L77" s="486" t="s">
        <v>70</v>
      </c>
      <c r="M77" s="487"/>
      <c r="N77" s="488"/>
      <c r="O77" s="405" t="s">
        <v>28</v>
      </c>
      <c r="P77" s="142">
        <v>404</v>
      </c>
      <c r="Q77" s="94">
        <f>'1'!Q77+'2'!P77+'3'!P77+'4'!P77+'5'!P77+'6'!P77+'7'!P77+'8'!P77+'9'!P77+'10'!P77+'11'!P77+'12'!P77</f>
        <v>1861</v>
      </c>
      <c r="R77" s="406"/>
    </row>
    <row r="78" spans="1:23" x14ac:dyDescent="0.3">
      <c r="A78" s="109" t="s">
        <v>82</v>
      </c>
      <c r="B78" s="428">
        <v>8</v>
      </c>
      <c r="C78" s="111"/>
      <c r="D78" s="554" t="s">
        <v>314</v>
      </c>
      <c r="E78" s="555"/>
      <c r="F78" s="555"/>
      <c r="G78" s="555"/>
      <c r="H78" s="555"/>
      <c r="I78" s="556"/>
      <c r="J78" s="97">
        <v>41</v>
      </c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'1'!Q78+'2'!P78+'3'!P78+'4'!P78+'5'!P78+'6'!P78+'7'!P78+'8'!P78+'9'!P78+'10'!P78+'11'!P78+'12'!P78</f>
        <v>1</v>
      </c>
      <c r="R78" s="406"/>
    </row>
    <row r="79" spans="1:23" x14ac:dyDescent="0.3">
      <c r="A79" s="114"/>
      <c r="B79" s="115">
        <f>SUM(B55:B78)</f>
        <v>429</v>
      </c>
      <c r="C79" s="116">
        <f>SUM(C55:C78)</f>
        <v>1</v>
      </c>
      <c r="D79" s="470"/>
      <c r="E79" s="471"/>
      <c r="F79" s="471"/>
      <c r="G79" s="471"/>
      <c r="H79" s="471"/>
      <c r="I79" s="472"/>
      <c r="J79" s="117">
        <f>SUM(J55:J78)</f>
        <v>404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1036</v>
      </c>
      <c r="Q79" s="94">
        <f>'1'!Q79+'2'!P79+'3'!P79+'4'!P79+'5'!P79+'6'!P79+'7'!P79+'8'!P79+'9'!P79+'10'!P79+'11'!P79+'12'!P79</f>
        <v>8219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0.71944444444444444</v>
      </c>
      <c r="Q80" s="431">
        <f>Q79/Q75</f>
        <v>0.81537698412698412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0.71944444444444444</v>
      </c>
      <c r="Q81" s="165">
        <f>Q79/Q60</f>
        <v>0.47563657407407406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52.224092664092666</v>
      </c>
      <c r="Q82" s="150">
        <f>(C26/1000)/(Q79/60)</f>
        <v>51.511558583769322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37.572333333333333</v>
      </c>
      <c r="Q83" s="148">
        <f>(C26/1000)/(Q75/60)</f>
        <v>42.001339285714288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30525</v>
      </c>
      <c r="Q84" s="99">
        <f>'1'!Q84+'2'!P84+'3'!P84+'4'!P84+'5'!P84+'6'!P84+'7'!P84+'8'!P84+'9'!P84+'10'!P84+'11'!P84+'12'!P84</f>
        <v>242551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34.526051475204014</v>
      </c>
      <c r="Q85" s="124">
        <f>Q84/(K27/1000)</f>
        <v>34.956033115498549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160.19999999999999</v>
      </c>
      <c r="Q86" s="100">
        <f>'1'!Q86+'2'!P86+'3'!P86+'4'!P86+'5'!P86+'6'!P86+'7'!P86+'8'!P86+'9'!P86+'10'!P86+'11'!P86+'12'!P86</f>
        <v>1387.55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183.31931547057107</v>
      </c>
      <c r="Q87" s="124">
        <f>(Q86*1000)/(K26/1000)</f>
        <v>201.08633430286059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55</v>
      </c>
      <c r="Q88" s="100">
        <f>'1'!Q88+'2'!P88+'3'!P88+'4'!P88+'5'!P88+'6'!P88+'7'!P88+'8'!P88+'9'!P88+'10'!P88+'11'!P88+'12'!P88</f>
        <v>1013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6.2937343014241004E-2</v>
      </c>
      <c r="Q89" s="124">
        <f>Q88/(K26/1000)</f>
        <v>0.14680584962617405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10" priority="1" operator="lessThan">
      <formula>0.0018</formula>
    </cfRule>
  </conditionalFormatting>
  <pageMargins left="0.7" right="0.7" top="0.25" bottom="0.25" header="0.3" footer="0.3"/>
  <pageSetup paperSize="9" scale="78" orientation="landscape" horizontalDpi="0" verticalDpi="0" r:id="rId1"/>
  <rowBreaks count="1" manualBreakCount="1">
    <brk id="49" max="1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58" zoomScaleNormal="100" workbookViewId="0">
      <selection activeCell="R59" sqref="R59"/>
    </sheetView>
  </sheetViews>
  <sheetFormatPr defaultRowHeight="16.5" x14ac:dyDescent="0.3"/>
  <cols>
    <col min="1" max="1" width="8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'12'!A3:Q3+1</f>
        <v>46035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200</v>
      </c>
      <c r="B7" s="15">
        <v>336</v>
      </c>
      <c r="C7" s="15">
        <v>708624</v>
      </c>
      <c r="D7" s="16"/>
      <c r="E7" s="17"/>
      <c r="F7" s="18"/>
      <c r="G7" s="19" t="s">
        <v>1</v>
      </c>
      <c r="H7" s="20">
        <v>8.5</v>
      </c>
      <c r="I7" s="21" t="s">
        <v>318</v>
      </c>
      <c r="J7" s="22">
        <v>336</v>
      </c>
      <c r="K7" s="17">
        <v>699388</v>
      </c>
      <c r="L7" s="23">
        <f t="shared" ref="L7:L16" si="0">K7/C7</f>
        <v>0.98696628959786858</v>
      </c>
      <c r="M7" s="17"/>
      <c r="N7" s="22"/>
      <c r="O7" s="134"/>
      <c r="P7" s="134"/>
      <c r="Q7" s="134"/>
    </row>
    <row r="8" spans="1:17" x14ac:dyDescent="0.3">
      <c r="A8" s="24" t="s">
        <v>319</v>
      </c>
      <c r="B8" s="25">
        <v>5</v>
      </c>
      <c r="C8" s="25">
        <v>10470</v>
      </c>
      <c r="D8" s="26"/>
      <c r="E8" s="27"/>
      <c r="F8" s="28"/>
      <c r="G8" s="29" t="s">
        <v>1</v>
      </c>
      <c r="H8" s="30">
        <v>8.5</v>
      </c>
      <c r="I8" s="31" t="s">
        <v>318</v>
      </c>
      <c r="J8" s="32">
        <v>5</v>
      </c>
      <c r="K8" s="33">
        <v>10253</v>
      </c>
      <c r="L8" s="34">
        <f t="shared" si="0"/>
        <v>0.97927411652340024</v>
      </c>
      <c r="M8" s="33"/>
      <c r="N8" s="32"/>
      <c r="O8" s="135"/>
      <c r="P8" s="135"/>
      <c r="Q8" s="135"/>
    </row>
    <row r="9" spans="1:17" x14ac:dyDescent="0.3">
      <c r="A9" s="24" t="s">
        <v>319</v>
      </c>
      <c r="B9" s="25">
        <v>91</v>
      </c>
      <c r="C9" s="25">
        <v>190554</v>
      </c>
      <c r="D9" s="26"/>
      <c r="E9" s="27"/>
      <c r="F9" s="28"/>
      <c r="G9" s="29" t="s">
        <v>1</v>
      </c>
      <c r="H9" s="30">
        <v>8.5</v>
      </c>
      <c r="I9" s="31" t="s">
        <v>203</v>
      </c>
      <c r="J9" s="32">
        <v>91</v>
      </c>
      <c r="K9" s="33">
        <v>187760</v>
      </c>
      <c r="L9" s="34">
        <f t="shared" si="0"/>
        <v>0.98533748963548395</v>
      </c>
      <c r="M9" s="33"/>
      <c r="N9" s="32"/>
      <c r="O9" s="135"/>
      <c r="P9" s="135"/>
      <c r="Q9" s="135"/>
    </row>
    <row r="10" spans="1:17" x14ac:dyDescent="0.3">
      <c r="A10" s="35" t="s">
        <v>221</v>
      </c>
      <c r="B10" s="36">
        <v>144</v>
      </c>
      <c r="C10" s="36">
        <v>305424</v>
      </c>
      <c r="D10" s="37"/>
      <c r="E10" s="38"/>
      <c r="F10" s="18"/>
      <c r="G10" s="39" t="s">
        <v>1</v>
      </c>
      <c r="H10" s="40">
        <v>6.5</v>
      </c>
      <c r="I10" s="31" t="s">
        <v>204</v>
      </c>
      <c r="J10" s="41">
        <v>144</v>
      </c>
      <c r="K10" s="42">
        <v>300807</v>
      </c>
      <c r="L10" s="34">
        <f t="shared" si="0"/>
        <v>0.98488330975954741</v>
      </c>
      <c r="M10" s="33"/>
      <c r="N10" s="32"/>
      <c r="O10" s="135"/>
      <c r="P10" s="135"/>
      <c r="Q10" s="135"/>
    </row>
    <row r="11" spans="1:17" x14ac:dyDescent="0.3">
      <c r="A11" s="35" t="s">
        <v>200</v>
      </c>
      <c r="B11" s="36">
        <v>2</v>
      </c>
      <c r="C11" s="36">
        <v>4218</v>
      </c>
      <c r="D11" s="37"/>
      <c r="E11" s="38"/>
      <c r="F11" s="18"/>
      <c r="G11" s="39" t="s">
        <v>1</v>
      </c>
      <c r="H11" s="40">
        <v>6.5</v>
      </c>
      <c r="I11" s="31" t="s">
        <v>318</v>
      </c>
      <c r="J11" s="41">
        <v>2</v>
      </c>
      <c r="K11" s="42">
        <v>4160</v>
      </c>
      <c r="L11" s="34">
        <f t="shared" si="0"/>
        <v>0.98624940730203892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578</v>
      </c>
      <c r="C16" s="48">
        <f>SUM(C7:C15)</f>
        <v>1219290</v>
      </c>
      <c r="D16" s="49">
        <f>SUM(D7:D15)</f>
        <v>0</v>
      </c>
      <c r="E16" s="50">
        <f>SUM(E7:E15)</f>
        <v>0</v>
      </c>
      <c r="F16" s="51">
        <f>E16/C16</f>
        <v>0</v>
      </c>
      <c r="G16" s="52"/>
      <c r="H16" s="2"/>
      <c r="I16" s="2"/>
      <c r="J16" s="53">
        <f>SUM(J7:J15)</f>
        <v>578</v>
      </c>
      <c r="K16" s="53">
        <f>SUM(K7:K15)</f>
        <v>1202368</v>
      </c>
      <c r="L16" s="51">
        <f t="shared" si="0"/>
        <v>0.98612143132478736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1202368</v>
      </c>
      <c r="L17" s="51">
        <f>K17/C16</f>
        <v>0.98612143132478736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'12'!B22+'13'!B16</f>
        <v>2758</v>
      </c>
      <c r="C22" s="57">
        <f>'12'!C22+'13'!C16</f>
        <v>5840644</v>
      </c>
      <c r="D22" s="57">
        <f>'12'!D22+'13'!D16</f>
        <v>8</v>
      </c>
      <c r="E22" s="57">
        <f>'12'!E22+'13'!E16</f>
        <v>16952</v>
      </c>
      <c r="F22" s="423">
        <f>E22/C22</f>
        <v>2.9024196646808124E-3</v>
      </c>
      <c r="G22" s="58" t="s">
        <v>1</v>
      </c>
      <c r="H22" s="59"/>
      <c r="I22" s="59"/>
      <c r="J22" s="57">
        <f>'12'!J22+'13'!J16</f>
        <v>2735</v>
      </c>
      <c r="K22" s="57">
        <f>'12'!K22+'13'!K16</f>
        <v>5722923</v>
      </c>
      <c r="L22" s="60">
        <f>K22/C22</f>
        <v>0.97984451714571197</v>
      </c>
      <c r="M22" s="57">
        <f>'12'!M22+'13'!M16</f>
        <v>15</v>
      </c>
      <c r="N22" s="57">
        <f>'12'!N22+'13'!N16</f>
        <v>30813</v>
      </c>
      <c r="O22" s="135"/>
      <c r="P22" s="135"/>
      <c r="Q22" s="135"/>
    </row>
    <row r="23" spans="1:17" x14ac:dyDescent="0.3">
      <c r="A23" s="521"/>
      <c r="B23" s="61">
        <f>'12'!B23</f>
        <v>1160</v>
      </c>
      <c r="C23" s="61">
        <f>'12'!C23</f>
        <v>2434871</v>
      </c>
      <c r="D23" s="61">
        <f>'12'!D23</f>
        <v>6</v>
      </c>
      <c r="E23" s="61">
        <f>'12'!E23</f>
        <v>12633</v>
      </c>
      <c r="F23" s="424">
        <f>E23/C23</f>
        <v>5.1883652152413823E-3</v>
      </c>
      <c r="G23" s="381" t="s">
        <v>195</v>
      </c>
      <c r="H23" s="59"/>
      <c r="I23" s="59"/>
      <c r="J23" s="61">
        <f>'12'!J23</f>
        <v>1150</v>
      </c>
      <c r="K23" s="61">
        <f>'12'!K23</f>
        <v>2379715</v>
      </c>
      <c r="L23" s="382">
        <f t="shared" ref="L23:L24" si="1">K23/C23</f>
        <v>0.97734746522505711</v>
      </c>
      <c r="M23" s="61">
        <f>'12'!M23</f>
        <v>4</v>
      </c>
      <c r="N23" s="61">
        <f>'12'!N23</f>
        <v>7662</v>
      </c>
      <c r="O23" s="135"/>
      <c r="P23" s="135"/>
      <c r="Q23" s="135"/>
    </row>
    <row r="24" spans="1:17" x14ac:dyDescent="0.3">
      <c r="A24" s="521"/>
      <c r="B24" s="61">
        <f>'12'!B24</f>
        <v>0</v>
      </c>
      <c r="C24" s="61">
        <f>'12'!C24</f>
        <v>0</v>
      </c>
      <c r="D24" s="61">
        <f>'12'!D24</f>
        <v>0</v>
      </c>
      <c r="E24" s="61">
        <f>'12'!E24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'12'!J24</f>
        <v>0</v>
      </c>
      <c r="K24" s="61">
        <f>'12'!K24</f>
        <v>0</v>
      </c>
      <c r="L24" s="382" t="e">
        <f t="shared" si="1"/>
        <v>#DIV/0!</v>
      </c>
      <c r="M24" s="61">
        <f>'12'!M24</f>
        <v>0</v>
      </c>
      <c r="N24" s="61">
        <f>'12'!N24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3918</v>
      </c>
      <c r="C26" s="68">
        <f>SUM(C21:C25)</f>
        <v>8275515</v>
      </c>
      <c r="D26" s="49">
        <f>SUM(D21:D25)</f>
        <v>14</v>
      </c>
      <c r="E26" s="69">
        <f>SUM(E22:E25)</f>
        <v>29585</v>
      </c>
      <c r="F26" s="51">
        <f>E26/C26</f>
        <v>3.5750040934008336E-3</v>
      </c>
      <c r="G26" s="51"/>
      <c r="H26" s="70"/>
      <c r="I26" s="70"/>
      <c r="J26" s="71">
        <f>SUM(J22:J25)</f>
        <v>3885</v>
      </c>
      <c r="K26" s="68">
        <f>SUM(K22:K25)</f>
        <v>8102638</v>
      </c>
      <c r="L26" s="51">
        <f>K26/C26</f>
        <v>0.97910981975139921</v>
      </c>
      <c r="M26" s="71">
        <f>SUM(M22:M25)</f>
        <v>19</v>
      </c>
      <c r="N26" s="54">
        <f>SUM(N22:N25)</f>
        <v>38475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8141113</v>
      </c>
      <c r="L27" s="51">
        <f>K27/C26</f>
        <v>0.98375907722963463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'12'!A30</f>
        <v>BIC</v>
      </c>
      <c r="B30" s="307" t="str">
        <f>'12'!B30</f>
        <v>P.6</v>
      </c>
      <c r="C30" s="307" t="str">
        <f>'12'!C30</f>
        <v>BjTPG280</v>
      </c>
      <c r="D30" s="308">
        <f>'12'!D30</f>
        <v>239</v>
      </c>
      <c r="E30" s="308">
        <f>'12'!E30</f>
        <v>497038</v>
      </c>
      <c r="F30" s="79"/>
      <c r="G30" s="307" t="str">
        <f>'12'!G30</f>
        <v>WR</v>
      </c>
      <c r="H30" s="309">
        <f>'12'!H30</f>
        <v>0</v>
      </c>
      <c r="I30" s="309">
        <f>'12'!I30</f>
        <v>0</v>
      </c>
      <c r="J30" s="170">
        <f>'12'!J30</f>
        <v>0</v>
      </c>
      <c r="K30" s="310">
        <f>'12'!K30</f>
        <v>0</v>
      </c>
      <c r="L30" s="79"/>
      <c r="M30" s="307" t="str">
        <f>'12'!M30</f>
        <v>WR</v>
      </c>
      <c r="N30" s="309">
        <f>'12'!N30</f>
        <v>0</v>
      </c>
      <c r="O30" s="309">
        <f>'12'!O30</f>
        <v>0</v>
      </c>
      <c r="P30" s="170">
        <f>'12'!P30</f>
        <v>0</v>
      </c>
      <c r="Q30" s="310">
        <f>'12'!Q30</f>
        <v>0</v>
      </c>
    </row>
    <row r="31" spans="1:17" x14ac:dyDescent="0.3">
      <c r="A31" s="307" t="str">
        <f>'12'!A31</f>
        <v>WR</v>
      </c>
      <c r="B31" s="307">
        <f>'12'!B31</f>
        <v>6.5</v>
      </c>
      <c r="C31" s="307">
        <f>'12'!C31</f>
        <v>8</v>
      </c>
      <c r="D31" s="308">
        <f>'12'!D31</f>
        <v>144</v>
      </c>
      <c r="E31" s="308">
        <f>'12'!E31</f>
        <v>301505</v>
      </c>
      <c r="F31" s="135"/>
      <c r="G31" s="307" t="str">
        <f>'12'!G31</f>
        <v>WR</v>
      </c>
      <c r="H31" s="309">
        <f>'12'!H31</f>
        <v>0</v>
      </c>
      <c r="I31" s="309">
        <f>'12'!I31</f>
        <v>0</v>
      </c>
      <c r="J31" s="170">
        <f>'12'!J31</f>
        <v>0</v>
      </c>
      <c r="K31" s="310">
        <f>'12'!K31</f>
        <v>0</v>
      </c>
      <c r="L31" s="135"/>
      <c r="M31" s="307" t="str">
        <f>'12'!M31</f>
        <v>WR</v>
      </c>
      <c r="N31" s="309">
        <f>'12'!N31</f>
        <v>0</v>
      </c>
      <c r="O31" s="309">
        <f>'12'!O31</f>
        <v>0</v>
      </c>
      <c r="P31" s="170">
        <f>'12'!P31</f>
        <v>0</v>
      </c>
      <c r="Q31" s="310">
        <f>'12'!Q31</f>
        <v>0</v>
      </c>
    </row>
    <row r="32" spans="1:17" x14ac:dyDescent="0.3">
      <c r="A32" s="307" t="str">
        <f>'12'!A32</f>
        <v>WR</v>
      </c>
      <c r="B32" s="307">
        <f>'12'!B32</f>
        <v>6.5</v>
      </c>
      <c r="C32" s="307">
        <f>'12'!C32</f>
        <v>10</v>
      </c>
      <c r="D32" s="308">
        <f>'12'!D32</f>
        <v>48</v>
      </c>
      <c r="E32" s="308">
        <f>'12'!E32</f>
        <v>99149</v>
      </c>
      <c r="F32" s="135"/>
      <c r="G32" s="307" t="str">
        <f>'12'!G32</f>
        <v>WR</v>
      </c>
      <c r="H32" s="309">
        <f>'12'!H32</f>
        <v>0</v>
      </c>
      <c r="I32" s="309">
        <f>'12'!I32</f>
        <v>0</v>
      </c>
      <c r="J32" s="170">
        <f>'12'!J32</f>
        <v>0</v>
      </c>
      <c r="K32" s="310">
        <f>'12'!K32</f>
        <v>0</v>
      </c>
      <c r="L32" s="135"/>
      <c r="M32" s="307" t="str">
        <f>'12'!M32</f>
        <v>WR</v>
      </c>
      <c r="N32" s="309">
        <f>'12'!N32</f>
        <v>0</v>
      </c>
      <c r="O32" s="309">
        <f>'12'!O32</f>
        <v>0</v>
      </c>
      <c r="P32" s="170">
        <f>'12'!P32</f>
        <v>0</v>
      </c>
      <c r="Q32" s="310">
        <f>'12'!Q32</f>
        <v>0</v>
      </c>
    </row>
    <row r="33" spans="1:17" x14ac:dyDescent="0.3">
      <c r="A33" s="307" t="str">
        <f>'12'!A33</f>
        <v>WR</v>
      </c>
      <c r="B33" s="307">
        <f>'12'!B33</f>
        <v>6.5</v>
      </c>
      <c r="C33" s="307">
        <f>'12'!C33</f>
        <v>15</v>
      </c>
      <c r="D33" s="308">
        <f>'12'!D33</f>
        <v>6</v>
      </c>
      <c r="E33" s="308">
        <f>'12'!E33</f>
        <v>12304</v>
      </c>
      <c r="F33" s="135"/>
      <c r="G33" s="307" t="str">
        <f>'12'!G33</f>
        <v>WR</v>
      </c>
      <c r="H33" s="309">
        <f>'12'!H33</f>
        <v>0</v>
      </c>
      <c r="I33" s="309">
        <f>'12'!I33</f>
        <v>0</v>
      </c>
      <c r="J33" s="170">
        <f>'12'!J33</f>
        <v>0</v>
      </c>
      <c r="K33" s="310">
        <f>'12'!K33</f>
        <v>0</v>
      </c>
      <c r="L33" s="135"/>
      <c r="M33" s="307" t="str">
        <f>'12'!M33</f>
        <v>WR</v>
      </c>
      <c r="N33" s="309">
        <f>'12'!N33</f>
        <v>0</v>
      </c>
      <c r="O33" s="309">
        <f>'12'!O33</f>
        <v>0</v>
      </c>
      <c r="P33" s="170">
        <f>'12'!P33</f>
        <v>0</v>
      </c>
      <c r="Q33" s="310">
        <f>'12'!Q33</f>
        <v>0</v>
      </c>
    </row>
    <row r="34" spans="1:17" x14ac:dyDescent="0.3">
      <c r="A34" s="307" t="str">
        <f>'12'!A34</f>
        <v>WR</v>
      </c>
      <c r="B34" s="307">
        <f>'12'!B34</f>
        <v>5.5</v>
      </c>
      <c r="C34" s="307">
        <f>'12'!C34</f>
        <v>6</v>
      </c>
      <c r="D34" s="308">
        <f>'12'!D34</f>
        <v>480</v>
      </c>
      <c r="E34" s="308">
        <f>'12'!E34</f>
        <v>1007562</v>
      </c>
      <c r="F34" s="135"/>
      <c r="G34" s="307" t="str">
        <f>'12'!G34</f>
        <v>WR</v>
      </c>
      <c r="H34" s="309">
        <f>'12'!H34</f>
        <v>0</v>
      </c>
      <c r="I34" s="309">
        <f>'12'!I34</f>
        <v>0</v>
      </c>
      <c r="J34" s="170">
        <f>'12'!J34</f>
        <v>0</v>
      </c>
      <c r="K34" s="310">
        <f>'12'!K34</f>
        <v>0</v>
      </c>
      <c r="L34" s="135"/>
      <c r="M34" s="307" t="str">
        <f>'12'!M34</f>
        <v>WR</v>
      </c>
      <c r="N34" s="309">
        <f>'12'!N34</f>
        <v>0</v>
      </c>
      <c r="O34" s="309">
        <f>'12'!O34</f>
        <v>0</v>
      </c>
      <c r="P34" s="170">
        <f>'12'!P34</f>
        <v>0</v>
      </c>
      <c r="Q34" s="310">
        <f>'12'!Q34</f>
        <v>0</v>
      </c>
    </row>
    <row r="35" spans="1:17" x14ac:dyDescent="0.3">
      <c r="A35" s="307" t="str">
        <f>'12'!A35</f>
        <v>WR</v>
      </c>
      <c r="B35" s="307">
        <f>'12'!B35</f>
        <v>5.5</v>
      </c>
      <c r="C35" s="307" t="str">
        <f>'12'!C35</f>
        <v>8.A</v>
      </c>
      <c r="D35" s="308">
        <f>'12'!D35</f>
        <v>75</v>
      </c>
      <c r="E35" s="308">
        <f>'12'!E35</f>
        <v>157414</v>
      </c>
      <c r="F35" s="135"/>
      <c r="G35" s="307" t="str">
        <f>'12'!G35</f>
        <v>WR</v>
      </c>
      <c r="H35" s="309">
        <f>'12'!H35</f>
        <v>0</v>
      </c>
      <c r="I35" s="309">
        <f>'12'!I35</f>
        <v>0</v>
      </c>
      <c r="J35" s="170">
        <f>'12'!J35</f>
        <v>0</v>
      </c>
      <c r="K35" s="310">
        <f>'12'!K35</f>
        <v>0</v>
      </c>
      <c r="L35" s="135"/>
      <c r="M35" s="307" t="str">
        <f>'12'!M35</f>
        <v>WR</v>
      </c>
      <c r="N35" s="309">
        <f>'12'!N35</f>
        <v>0</v>
      </c>
      <c r="O35" s="309">
        <f>'12'!O35</f>
        <v>0</v>
      </c>
      <c r="P35" s="170">
        <f>'12'!P35</f>
        <v>0</v>
      </c>
      <c r="Q35" s="310">
        <f>'12'!Q35</f>
        <v>0</v>
      </c>
    </row>
    <row r="36" spans="1:17" x14ac:dyDescent="0.3">
      <c r="A36" s="307" t="str">
        <f>'12'!A36</f>
        <v>WR</v>
      </c>
      <c r="B36" s="307">
        <f>'12'!B36</f>
        <v>5.5</v>
      </c>
      <c r="C36" s="307" t="str">
        <f>'12'!C36</f>
        <v>22.A</v>
      </c>
      <c r="D36" s="308">
        <f>'12'!D36</f>
        <v>284</v>
      </c>
      <c r="E36" s="308">
        <f>'12'!E36</f>
        <v>593345</v>
      </c>
      <c r="F36" s="135"/>
      <c r="G36" s="307" t="str">
        <f>'12'!G36</f>
        <v>WR</v>
      </c>
      <c r="H36" s="309">
        <f>'12'!H36</f>
        <v>0</v>
      </c>
      <c r="I36" s="309">
        <f>'12'!I36</f>
        <v>0</v>
      </c>
      <c r="J36" s="170">
        <f>'12'!J36</f>
        <v>0</v>
      </c>
      <c r="K36" s="310">
        <f>'12'!K36</f>
        <v>0</v>
      </c>
      <c r="L36" s="135"/>
      <c r="M36" s="307" t="str">
        <f>'12'!M36</f>
        <v>WR</v>
      </c>
      <c r="N36" s="309">
        <f>'12'!N36</f>
        <v>0</v>
      </c>
      <c r="O36" s="309">
        <f>'12'!O36</f>
        <v>0</v>
      </c>
      <c r="P36" s="170">
        <f>'12'!P36</f>
        <v>0</v>
      </c>
      <c r="Q36" s="310">
        <f>'12'!Q36</f>
        <v>0</v>
      </c>
    </row>
    <row r="37" spans="1:17" x14ac:dyDescent="0.3">
      <c r="A37" s="307" t="str">
        <f>'12'!A37</f>
        <v>WR</v>
      </c>
      <c r="B37" s="307">
        <f>'12'!B37</f>
        <v>5.5</v>
      </c>
      <c r="C37" s="307" t="str">
        <f>'12'!C37</f>
        <v>Y.11</v>
      </c>
      <c r="D37" s="308">
        <f>'12'!D37</f>
        <v>526</v>
      </c>
      <c r="E37" s="308">
        <f>'12'!E37</f>
        <v>1102590</v>
      </c>
      <c r="F37" s="135"/>
      <c r="G37" s="307" t="str">
        <f>'12'!G37</f>
        <v>WR</v>
      </c>
      <c r="H37" s="309">
        <f>'12'!H37</f>
        <v>0</v>
      </c>
      <c r="I37" s="309">
        <f>'12'!I37</f>
        <v>0</v>
      </c>
      <c r="J37" s="170">
        <f>'12'!J37</f>
        <v>0</v>
      </c>
      <c r="K37" s="310">
        <f>'12'!K37</f>
        <v>0</v>
      </c>
      <c r="L37" s="135"/>
      <c r="M37" s="307" t="str">
        <f>'12'!M37</f>
        <v>WR</v>
      </c>
      <c r="N37" s="309">
        <f>'12'!N37</f>
        <v>0</v>
      </c>
      <c r="O37" s="309">
        <f>'12'!O37</f>
        <v>0</v>
      </c>
      <c r="P37" s="170">
        <f>'12'!P37</f>
        <v>0</v>
      </c>
      <c r="Q37" s="310">
        <f>'12'!Q37</f>
        <v>0</v>
      </c>
    </row>
    <row r="38" spans="1:17" x14ac:dyDescent="0.3">
      <c r="A38" s="307" t="str">
        <f>'12'!A38</f>
        <v>WR</v>
      </c>
      <c r="B38" s="307">
        <f>'12'!B38</f>
        <v>5.5</v>
      </c>
      <c r="C38" s="307" t="str">
        <f>'12'!C38</f>
        <v>67.A</v>
      </c>
      <c r="D38" s="308">
        <f>'12'!D38</f>
        <v>72</v>
      </c>
      <c r="E38" s="308">
        <f>'12'!E38</f>
        <v>152182</v>
      </c>
      <c r="F38" s="135"/>
      <c r="G38" s="307" t="str">
        <f>'12'!G38</f>
        <v>WR</v>
      </c>
      <c r="H38" s="309">
        <f>'12'!H38</f>
        <v>0</v>
      </c>
      <c r="I38" s="309">
        <f>'12'!I38</f>
        <v>0</v>
      </c>
      <c r="J38" s="170">
        <f>'12'!J38</f>
        <v>0</v>
      </c>
      <c r="K38" s="310">
        <f>'12'!K38</f>
        <v>0</v>
      </c>
      <c r="L38" s="135"/>
      <c r="M38" s="307" t="str">
        <f>'12'!M38</f>
        <v>WR</v>
      </c>
      <c r="N38" s="309">
        <f>'12'!N38</f>
        <v>0</v>
      </c>
      <c r="O38" s="309">
        <f>'12'!O38</f>
        <v>0</v>
      </c>
      <c r="P38" s="170">
        <f>'12'!P38</f>
        <v>0</v>
      </c>
      <c r="Q38" s="310">
        <f>'12'!Q38</f>
        <v>0</v>
      </c>
    </row>
    <row r="39" spans="1:17" x14ac:dyDescent="0.3">
      <c r="A39" s="307" t="str">
        <f>'12'!A39</f>
        <v>BIC</v>
      </c>
      <c r="B39" s="307" t="str">
        <f>'12'!B39</f>
        <v>P.8</v>
      </c>
      <c r="C39" s="307" t="str">
        <f>'12'!C39</f>
        <v>BjTPG280</v>
      </c>
      <c r="D39" s="308">
        <f>'12'!D39</f>
        <v>240</v>
      </c>
      <c r="E39" s="308">
        <f>'12'!E39</f>
        <v>499780</v>
      </c>
      <c r="F39" s="135"/>
      <c r="G39" s="307" t="str">
        <f>'12'!G39</f>
        <v>WR</v>
      </c>
      <c r="H39" s="309">
        <f>'12'!H39</f>
        <v>0</v>
      </c>
      <c r="I39" s="309">
        <f>'12'!I39</f>
        <v>0</v>
      </c>
      <c r="J39" s="170">
        <f>'12'!J39</f>
        <v>0</v>
      </c>
      <c r="K39" s="310">
        <f>'12'!K39</f>
        <v>0</v>
      </c>
      <c r="L39" s="135"/>
      <c r="M39" s="307" t="str">
        <f>'12'!M39</f>
        <v>WR</v>
      </c>
      <c r="N39" s="309">
        <f>'12'!N39</f>
        <v>0</v>
      </c>
      <c r="O39" s="309">
        <f>'12'!O39</f>
        <v>0</v>
      </c>
      <c r="P39" s="170">
        <f>'12'!P39</f>
        <v>0</v>
      </c>
      <c r="Q39" s="310">
        <f>'12'!Q39</f>
        <v>0</v>
      </c>
    </row>
    <row r="40" spans="1:17" x14ac:dyDescent="0.3">
      <c r="A40" s="307" t="str">
        <f>'12'!A40</f>
        <v>BIC</v>
      </c>
      <c r="B40" s="307" t="str">
        <f>'12'!B40</f>
        <v>S.8</v>
      </c>
      <c r="C40" s="307" t="str">
        <f>'12'!C40</f>
        <v>BjTSG420</v>
      </c>
      <c r="D40" s="308">
        <f>'12'!D40</f>
        <v>335</v>
      </c>
      <c r="E40" s="308">
        <f>'12'!E40</f>
        <v>688721</v>
      </c>
      <c r="F40" s="135"/>
      <c r="G40" s="307" t="str">
        <f>'12'!G40</f>
        <v>WR</v>
      </c>
      <c r="H40" s="309">
        <f>'12'!H40</f>
        <v>0</v>
      </c>
      <c r="I40" s="309">
        <f>'12'!I40</f>
        <v>0</v>
      </c>
      <c r="J40" s="170">
        <f>'12'!J40</f>
        <v>0</v>
      </c>
      <c r="K40" s="310">
        <f>'12'!K40</f>
        <v>0</v>
      </c>
      <c r="L40" s="135"/>
      <c r="M40" s="307" t="str">
        <f>'12'!M40</f>
        <v>WR</v>
      </c>
      <c r="N40" s="309">
        <f>'12'!N40</f>
        <v>0</v>
      </c>
      <c r="O40" s="309">
        <f>'12'!O40</f>
        <v>0</v>
      </c>
      <c r="P40" s="170">
        <f>'12'!P40</f>
        <v>0</v>
      </c>
      <c r="Q40" s="310">
        <f>'12'!Q40</f>
        <v>0</v>
      </c>
    </row>
    <row r="41" spans="1:17" x14ac:dyDescent="0.3">
      <c r="A41" s="307" t="str">
        <f>'12'!A41</f>
        <v>BIC</v>
      </c>
      <c r="B41" s="307" t="str">
        <f>'12'!B41</f>
        <v>S.10</v>
      </c>
      <c r="C41" s="307" t="str">
        <f>'12'!C41</f>
        <v>BjTSG420</v>
      </c>
      <c r="D41" s="308">
        <f>'12'!D41</f>
        <v>144</v>
      </c>
      <c r="E41" s="308">
        <f>'12'!E41</f>
        <v>295842</v>
      </c>
      <c r="F41" s="135"/>
      <c r="G41" s="307" t="str">
        <f>'12'!G41</f>
        <v>WR</v>
      </c>
      <c r="H41" s="309">
        <f>'12'!H41</f>
        <v>0</v>
      </c>
      <c r="I41" s="309">
        <f>'12'!I41</f>
        <v>0</v>
      </c>
      <c r="J41" s="170">
        <f>'12'!J41</f>
        <v>0</v>
      </c>
      <c r="K41" s="310">
        <f>'12'!K41</f>
        <v>0</v>
      </c>
      <c r="L41" s="135"/>
      <c r="M41" s="307" t="str">
        <f>'12'!M41</f>
        <v>WR</v>
      </c>
      <c r="N41" s="309">
        <f>'12'!N41</f>
        <v>0</v>
      </c>
      <c r="O41" s="309">
        <f>'12'!O41</f>
        <v>0</v>
      </c>
      <c r="P41" s="170">
        <f>'12'!P41</f>
        <v>0</v>
      </c>
      <c r="Q41" s="310">
        <f>'12'!Q41</f>
        <v>0</v>
      </c>
    </row>
    <row r="42" spans="1:17" x14ac:dyDescent="0.3">
      <c r="A42" s="307" t="str">
        <f>'12'!A42</f>
        <v>WR</v>
      </c>
      <c r="B42" s="307">
        <f>'12'!B42</f>
        <v>5.5</v>
      </c>
      <c r="C42" s="307">
        <f>'12'!C42</f>
        <v>8</v>
      </c>
      <c r="D42" s="308">
        <f>'12'!D42</f>
        <v>287</v>
      </c>
      <c r="E42" s="308">
        <f>'12'!E42</f>
        <v>601921</v>
      </c>
      <c r="F42" s="135"/>
      <c r="G42" s="307" t="str">
        <f>'12'!G42</f>
        <v>WR</v>
      </c>
      <c r="H42" s="309">
        <f>'12'!H42</f>
        <v>0</v>
      </c>
      <c r="I42" s="309">
        <f>'12'!I42</f>
        <v>0</v>
      </c>
      <c r="J42" s="170">
        <f>'12'!J42</f>
        <v>0</v>
      </c>
      <c r="K42" s="310">
        <f>'12'!K42</f>
        <v>0</v>
      </c>
      <c r="L42" s="135"/>
      <c r="M42" s="307" t="str">
        <f>'12'!M42</f>
        <v>WR</v>
      </c>
      <c r="N42" s="309">
        <f>'12'!N42</f>
        <v>0</v>
      </c>
      <c r="O42" s="309">
        <f>'12'!O42</f>
        <v>0</v>
      </c>
      <c r="P42" s="170">
        <f>'12'!P42</f>
        <v>0</v>
      </c>
      <c r="Q42" s="310">
        <f>'12'!Q42</f>
        <v>0</v>
      </c>
    </row>
    <row r="43" spans="1:17" x14ac:dyDescent="0.3">
      <c r="A43" s="307" t="str">
        <f>'12'!A43</f>
        <v>WR</v>
      </c>
      <c r="B43" s="307">
        <f>'12'!B43</f>
        <v>5.5</v>
      </c>
      <c r="C43" s="307" t="str">
        <f>'12'!C43</f>
        <v>67.B</v>
      </c>
      <c r="D43" s="308">
        <f>'12'!D43</f>
        <v>144</v>
      </c>
      <c r="E43" s="308">
        <f>'12'!E43</f>
        <v>304535</v>
      </c>
      <c r="F43" s="135"/>
      <c r="G43" s="307" t="str">
        <f>'12'!G43</f>
        <v>WR</v>
      </c>
      <c r="H43" s="309">
        <f>'12'!H43</f>
        <v>0</v>
      </c>
      <c r="I43" s="309">
        <f>'12'!I43</f>
        <v>0</v>
      </c>
      <c r="J43" s="170">
        <f>'12'!J43</f>
        <v>0</v>
      </c>
      <c r="K43" s="310">
        <f>'12'!K43</f>
        <v>0</v>
      </c>
      <c r="L43" s="135"/>
      <c r="M43" s="307" t="str">
        <f>'12'!M43</f>
        <v>WR</v>
      </c>
      <c r="N43" s="309">
        <f>'12'!N43</f>
        <v>0</v>
      </c>
      <c r="O43" s="309">
        <f>'12'!O43</f>
        <v>0</v>
      </c>
      <c r="P43" s="170">
        <f>'12'!P43</f>
        <v>0</v>
      </c>
      <c r="Q43" s="310">
        <f>'12'!Q43</f>
        <v>0</v>
      </c>
    </row>
    <row r="44" spans="1:17" x14ac:dyDescent="0.3">
      <c r="A44" s="307" t="str">
        <f>'12'!A44</f>
        <v>BIC</v>
      </c>
      <c r="B44" s="307" t="str">
        <f>'12'!B44</f>
        <v>P.10</v>
      </c>
      <c r="C44" s="307" t="str">
        <f>'12'!C44</f>
        <v>BjTPG280</v>
      </c>
      <c r="D44" s="308">
        <f>'12'!D44</f>
        <v>144</v>
      </c>
      <c r="E44" s="308">
        <f>'12'!E44</f>
        <v>299930</v>
      </c>
      <c r="F44" s="135"/>
      <c r="G44" s="307" t="str">
        <f>'12'!G44</f>
        <v>WR</v>
      </c>
      <c r="H44" s="309">
        <f>'12'!H44</f>
        <v>0</v>
      </c>
      <c r="I44" s="309">
        <f>'12'!I44</f>
        <v>0</v>
      </c>
      <c r="J44" s="170">
        <f>'12'!J44</f>
        <v>0</v>
      </c>
      <c r="K44" s="310">
        <f>'12'!K44</f>
        <v>0</v>
      </c>
      <c r="L44" s="135"/>
      <c r="M44" s="307" t="str">
        <f>'12'!M44</f>
        <v>WR</v>
      </c>
      <c r="N44" s="309">
        <f>'12'!N44</f>
        <v>0</v>
      </c>
      <c r="O44" s="309">
        <f>'12'!O44</f>
        <v>0</v>
      </c>
      <c r="P44" s="170">
        <f>'12'!P44</f>
        <v>0</v>
      </c>
      <c r="Q44" s="310">
        <f>'12'!Q44</f>
        <v>0</v>
      </c>
    </row>
    <row r="45" spans="1:17" x14ac:dyDescent="0.3">
      <c r="A45" s="307" t="str">
        <f>'12'!A45</f>
        <v>BIC</v>
      </c>
      <c r="B45" s="307" t="str">
        <f>'12'!B45</f>
        <v>S.6</v>
      </c>
      <c r="C45" s="307" t="str">
        <f>'12'!C45</f>
        <v>BjTSG420</v>
      </c>
      <c r="D45" s="308">
        <f>'12'!D45</f>
        <v>48</v>
      </c>
      <c r="E45" s="308">
        <f>'12'!E45</f>
        <v>98404</v>
      </c>
      <c r="F45" s="135"/>
      <c r="G45" s="307" t="str">
        <f>'12'!G45</f>
        <v>WR</v>
      </c>
      <c r="H45" s="309">
        <f>'12'!H45</f>
        <v>0</v>
      </c>
      <c r="I45" s="309">
        <f>'12'!I45</f>
        <v>0</v>
      </c>
      <c r="J45" s="170">
        <f>'12'!J45</f>
        <v>0</v>
      </c>
      <c r="K45" s="310">
        <f>'12'!K45</f>
        <v>0</v>
      </c>
      <c r="L45" s="135"/>
      <c r="M45" s="307" t="str">
        <f>'12'!M45</f>
        <v>WR</v>
      </c>
      <c r="N45" s="309">
        <f>'12'!N45</f>
        <v>0</v>
      </c>
      <c r="O45" s="309">
        <f>'12'!O45</f>
        <v>0</v>
      </c>
      <c r="P45" s="170">
        <f>'12'!P45</f>
        <v>0</v>
      </c>
      <c r="Q45" s="310">
        <f>'12'!Q45</f>
        <v>0</v>
      </c>
    </row>
    <row r="46" spans="1:17" x14ac:dyDescent="0.3">
      <c r="A46" s="307" t="str">
        <f>'12'!A46</f>
        <v>WR</v>
      </c>
      <c r="B46" s="307">
        <f>'12'!B46</f>
        <v>17</v>
      </c>
      <c r="C46" s="307">
        <f>'12'!C46</f>
        <v>8</v>
      </c>
      <c r="D46" s="308">
        <f>'12'!D46</f>
        <v>91</v>
      </c>
      <c r="E46" s="308">
        <f>'12'!E46</f>
        <v>188048</v>
      </c>
      <c r="F46" s="135"/>
      <c r="G46" s="307" t="str">
        <f>'12'!G46</f>
        <v>WR</v>
      </c>
      <c r="H46" s="309">
        <f>'12'!H46</f>
        <v>0</v>
      </c>
      <c r="I46" s="309">
        <f>'12'!I46</f>
        <v>0</v>
      </c>
      <c r="J46" s="170">
        <f>'12'!J46</f>
        <v>0</v>
      </c>
      <c r="K46" s="310">
        <f>'12'!K46</f>
        <v>0</v>
      </c>
      <c r="L46" s="135"/>
      <c r="M46" s="307" t="str">
        <f>'12'!M46</f>
        <v>WR</v>
      </c>
      <c r="N46" s="309">
        <f>'12'!N46</f>
        <v>0</v>
      </c>
      <c r="O46" s="309">
        <f>'12'!O46</f>
        <v>0</v>
      </c>
      <c r="P46" s="170">
        <f>'12'!P46</f>
        <v>0</v>
      </c>
      <c r="Q46" s="310">
        <f>'12'!Q46</f>
        <v>0</v>
      </c>
    </row>
    <row r="47" spans="1:17" x14ac:dyDescent="0.3">
      <c r="A47" s="307" t="str">
        <f>'12'!A47</f>
        <v>WR</v>
      </c>
      <c r="B47" s="307">
        <v>8.5</v>
      </c>
      <c r="C47" s="307">
        <v>15</v>
      </c>
      <c r="D47" s="308">
        <f>J7+J8+J9</f>
        <v>432</v>
      </c>
      <c r="E47" s="308">
        <f>K7+K8+K9</f>
        <v>897401</v>
      </c>
      <c r="F47" s="135"/>
      <c r="G47" s="307" t="str">
        <f>'12'!G47</f>
        <v>WR</v>
      </c>
      <c r="H47" s="309">
        <f>'12'!H47</f>
        <v>0</v>
      </c>
      <c r="I47" s="309">
        <f>'12'!I47</f>
        <v>0</v>
      </c>
      <c r="J47" s="170">
        <f>'12'!J47</f>
        <v>0</v>
      </c>
      <c r="K47" s="310">
        <f>'12'!K47</f>
        <v>0</v>
      </c>
      <c r="L47" s="135"/>
      <c r="M47" s="307" t="str">
        <f>'12'!M47</f>
        <v>WR</v>
      </c>
      <c r="N47" s="309">
        <f>'12'!N47</f>
        <v>0</v>
      </c>
      <c r="O47" s="309">
        <f>'12'!O47</f>
        <v>0</v>
      </c>
      <c r="P47" s="170">
        <f>'12'!P47</f>
        <v>0</v>
      </c>
      <c r="Q47" s="310">
        <f>'12'!Q47</f>
        <v>0</v>
      </c>
    </row>
    <row r="48" spans="1:17" x14ac:dyDescent="0.3">
      <c r="A48" s="307" t="str">
        <f>'12'!A48</f>
        <v>WR</v>
      </c>
      <c r="B48" s="307">
        <v>6.5</v>
      </c>
      <c r="C48" s="307">
        <v>8</v>
      </c>
      <c r="D48" s="308">
        <f>J10</f>
        <v>144</v>
      </c>
      <c r="E48" s="308">
        <f>K10</f>
        <v>300807</v>
      </c>
      <c r="F48" s="135"/>
      <c r="G48" s="307" t="str">
        <f>'12'!G48</f>
        <v>WR</v>
      </c>
      <c r="H48" s="309">
        <f>'12'!H48</f>
        <v>0</v>
      </c>
      <c r="I48" s="309">
        <f>'12'!I48</f>
        <v>0</v>
      </c>
      <c r="J48" s="170">
        <f>'12'!J48</f>
        <v>0</v>
      </c>
      <c r="K48" s="310">
        <f>'12'!K48</f>
        <v>0</v>
      </c>
      <c r="L48" s="135"/>
      <c r="M48" s="307" t="str">
        <f>'12'!M48</f>
        <v>WR</v>
      </c>
      <c r="N48" s="309">
        <f>'12'!N48</f>
        <v>0</v>
      </c>
      <c r="O48" s="309">
        <f>'12'!O48</f>
        <v>0</v>
      </c>
      <c r="P48" s="170">
        <f>'12'!P48</f>
        <v>0</v>
      </c>
      <c r="Q48" s="310">
        <f>'12'!Q48</f>
        <v>0</v>
      </c>
    </row>
    <row r="49" spans="1:23" x14ac:dyDescent="0.3">
      <c r="A49" s="307" t="str">
        <f>'12'!A49</f>
        <v>WR</v>
      </c>
      <c r="B49" s="307">
        <v>6.5</v>
      </c>
      <c r="C49" s="307">
        <v>15</v>
      </c>
      <c r="D49" s="308">
        <f>J11</f>
        <v>2</v>
      </c>
      <c r="E49" s="308">
        <f>K11</f>
        <v>4160</v>
      </c>
      <c r="F49" s="3"/>
      <c r="G49" s="307" t="str">
        <f>'12'!G49</f>
        <v>WR</v>
      </c>
      <c r="H49" s="309">
        <f>'12'!H49</f>
        <v>0</v>
      </c>
      <c r="I49" s="309">
        <f>'12'!I49</f>
        <v>0</v>
      </c>
      <c r="J49" s="170">
        <f>'12'!J49</f>
        <v>0</v>
      </c>
      <c r="K49" s="310">
        <f>'12'!K49</f>
        <v>0</v>
      </c>
      <c r="L49" s="3"/>
      <c r="M49" s="307" t="str">
        <f>'12'!M49</f>
        <v>WR</v>
      </c>
      <c r="N49" s="309">
        <f>'12'!N49</f>
        <v>0</v>
      </c>
      <c r="O49" s="309">
        <f>'12'!O49</f>
        <v>0</v>
      </c>
      <c r="P49" s="170">
        <f>'12'!P49</f>
        <v>0</v>
      </c>
      <c r="Q49" s="310">
        <f>'12'!Q49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46035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327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40">
        <v>16</v>
      </c>
      <c r="C55" s="80"/>
      <c r="D55" s="544" t="s">
        <v>320</v>
      </c>
      <c r="E55" s="545"/>
      <c r="F55" s="545"/>
      <c r="G55" s="545"/>
      <c r="H55" s="545"/>
      <c r="I55" s="546"/>
      <c r="J55" s="97">
        <v>24</v>
      </c>
      <c r="K55" s="391"/>
      <c r="L55" s="466" t="s">
        <v>26</v>
      </c>
      <c r="M55" s="467"/>
      <c r="N55" s="467"/>
      <c r="O55" s="392" t="s">
        <v>13</v>
      </c>
      <c r="P55" s="393">
        <f>C16</f>
        <v>1219290</v>
      </c>
      <c r="Q55" s="394">
        <f>C26</f>
        <v>8275515</v>
      </c>
      <c r="R55" s="395"/>
      <c r="S55" s="388">
        <f>DAY(A52)</f>
        <v>13</v>
      </c>
      <c r="T55" s="383">
        <f>S55-U55</f>
        <v>8</v>
      </c>
      <c r="U55" s="383">
        <f>'12'!U55</f>
        <v>5</v>
      </c>
    </row>
    <row r="56" spans="1:23" x14ac:dyDescent="0.3">
      <c r="A56" s="95" t="s">
        <v>37</v>
      </c>
      <c r="B56" s="441">
        <v>23</v>
      </c>
      <c r="C56" s="82"/>
      <c r="D56" s="552" t="s">
        <v>321</v>
      </c>
      <c r="E56" s="553"/>
      <c r="F56" s="553"/>
      <c r="G56" s="553"/>
      <c r="H56" s="553"/>
      <c r="I56" s="553"/>
      <c r="J56" s="97">
        <v>3</v>
      </c>
      <c r="K56" s="391"/>
      <c r="L56" s="502" t="s">
        <v>191</v>
      </c>
      <c r="M56" s="498"/>
      <c r="N56" s="498"/>
      <c r="O56" s="396" t="s">
        <v>13</v>
      </c>
      <c r="P56" s="397">
        <f>K17</f>
        <v>1202368</v>
      </c>
      <c r="Q56" s="398">
        <f>K27</f>
        <v>8141113</v>
      </c>
      <c r="R56" s="399"/>
    </row>
    <row r="57" spans="1:23" x14ac:dyDescent="0.3">
      <c r="A57" s="95" t="s">
        <v>39</v>
      </c>
      <c r="B57" s="441">
        <v>27</v>
      </c>
      <c r="C57" s="82"/>
      <c r="D57" s="552"/>
      <c r="E57" s="553"/>
      <c r="F57" s="553"/>
      <c r="G57" s="553"/>
      <c r="H57" s="553"/>
      <c r="I57" s="553"/>
      <c r="J57" s="97"/>
      <c r="K57" s="391"/>
      <c r="L57" s="468" t="s">
        <v>19</v>
      </c>
      <c r="M57" s="469"/>
      <c r="N57" s="469"/>
      <c r="O57" s="400" t="s">
        <v>14</v>
      </c>
      <c r="P57" s="401">
        <f>L17</f>
        <v>0.98612143132478736</v>
      </c>
      <c r="Q57" s="430">
        <f>L27</f>
        <v>0.98375907722963463</v>
      </c>
      <c r="R57" s="403">
        <v>0.98499999999999999</v>
      </c>
    </row>
    <row r="58" spans="1:23" x14ac:dyDescent="0.3">
      <c r="A58" s="95" t="s">
        <v>41</v>
      </c>
      <c r="B58" s="441">
        <v>26</v>
      </c>
      <c r="C58" s="82"/>
      <c r="D58" s="494"/>
      <c r="E58" s="495"/>
      <c r="F58" s="495"/>
      <c r="G58" s="495"/>
      <c r="H58" s="495"/>
      <c r="I58" s="496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29585</v>
      </c>
      <c r="R58" s="395"/>
    </row>
    <row r="59" spans="1:23" x14ac:dyDescent="0.3">
      <c r="A59" s="95" t="s">
        <v>43</v>
      </c>
      <c r="B59" s="441">
        <v>27</v>
      </c>
      <c r="C59" s="82"/>
      <c r="D59" s="552"/>
      <c r="E59" s="552"/>
      <c r="F59" s="552"/>
      <c r="G59" s="552"/>
      <c r="H59" s="552"/>
      <c r="I59" s="552"/>
      <c r="J59" s="97"/>
      <c r="K59" s="391"/>
      <c r="L59" s="509"/>
      <c r="M59" s="510"/>
      <c r="N59" s="510"/>
      <c r="O59" s="400" t="s">
        <v>14</v>
      </c>
      <c r="P59" s="401">
        <f>F16</f>
        <v>0</v>
      </c>
      <c r="Q59" s="430">
        <f>F26</f>
        <v>3.5750040934008336E-3</v>
      </c>
      <c r="R59" s="404">
        <v>1.5E-3</v>
      </c>
    </row>
    <row r="60" spans="1:23" x14ac:dyDescent="0.3">
      <c r="A60" s="95" t="s">
        <v>45</v>
      </c>
      <c r="B60" s="441">
        <v>27</v>
      </c>
      <c r="C60" s="82"/>
      <c r="D60" s="494"/>
      <c r="E60" s="495"/>
      <c r="F60" s="495"/>
      <c r="G60" s="495"/>
      <c r="H60" s="495"/>
      <c r="I60" s="496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</f>
        <v>18720</v>
      </c>
      <c r="R60" s="406"/>
    </row>
    <row r="61" spans="1:23" x14ac:dyDescent="0.3">
      <c r="A61" s="95" t="s">
        <v>47</v>
      </c>
      <c r="B61" s="441">
        <v>27</v>
      </c>
      <c r="C61" s="82"/>
      <c r="D61" s="552"/>
      <c r="E61" s="552"/>
      <c r="F61" s="552"/>
      <c r="G61" s="552"/>
      <c r="H61" s="552"/>
      <c r="I61" s="552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</f>
        <v>7200</v>
      </c>
      <c r="R61" s="395"/>
    </row>
    <row r="62" spans="1:23" x14ac:dyDescent="0.3">
      <c r="A62" s="95" t="s">
        <v>49</v>
      </c>
      <c r="B62" s="441">
        <v>27</v>
      </c>
      <c r="C62" s="82"/>
      <c r="D62" s="552"/>
      <c r="E62" s="552"/>
      <c r="F62" s="552"/>
      <c r="G62" s="552"/>
      <c r="H62" s="552"/>
      <c r="I62" s="552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</f>
        <v>7200</v>
      </c>
      <c r="R62" s="399"/>
    </row>
    <row r="63" spans="1:23" x14ac:dyDescent="0.3">
      <c r="A63" s="95" t="s">
        <v>51</v>
      </c>
      <c r="B63" s="441">
        <v>27</v>
      </c>
      <c r="C63" s="82"/>
      <c r="D63" s="552"/>
      <c r="E63" s="553"/>
      <c r="F63" s="553"/>
      <c r="G63" s="553"/>
      <c r="H63" s="553"/>
      <c r="I63" s="553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</f>
        <v>0</v>
      </c>
      <c r="R63" s="399"/>
    </row>
    <row r="64" spans="1:23" x14ac:dyDescent="0.3">
      <c r="A64" s="95" t="s">
        <v>53</v>
      </c>
      <c r="B64" s="441">
        <v>27</v>
      </c>
      <c r="C64" s="82"/>
      <c r="D64" s="552"/>
      <c r="E64" s="553"/>
      <c r="F64" s="553"/>
      <c r="G64" s="553"/>
      <c r="H64" s="553"/>
      <c r="I64" s="55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41">
        <v>15</v>
      </c>
      <c r="C65" s="82"/>
      <c r="D65" s="494" t="s">
        <v>322</v>
      </c>
      <c r="E65" s="495"/>
      <c r="F65" s="495"/>
      <c r="G65" s="495"/>
      <c r="H65" s="495"/>
      <c r="I65" s="496"/>
      <c r="J65" s="97">
        <v>30</v>
      </c>
      <c r="K65" s="391"/>
      <c r="L65" s="466" t="s">
        <v>46</v>
      </c>
      <c r="M65" s="467"/>
      <c r="N65" s="467"/>
      <c r="O65" s="106" t="s">
        <v>28</v>
      </c>
      <c r="P65" s="126">
        <f>SUM(P66:P68)</f>
        <v>126</v>
      </c>
      <c r="Q65" s="100">
        <f>'1'!Q65+'2'!P65+'3'!P65+'4'!P65+'5'!P65+'6'!P65+'7'!P65+'8'!P65+'9'!P65+'10'!P65+'11'!P65+'12'!P65+'13'!P65</f>
        <v>1393</v>
      </c>
      <c r="R65" s="395"/>
      <c r="S65" s="171" t="s">
        <v>56</v>
      </c>
      <c r="T65" s="172"/>
      <c r="U65" s="173" t="s">
        <v>151</v>
      </c>
      <c r="V65" s="174"/>
      <c r="W65" s="181">
        <f>+'12'!W65+'13'!V65</f>
        <v>8</v>
      </c>
    </row>
    <row r="66" spans="1:23" x14ac:dyDescent="0.3">
      <c r="A66" s="95" t="s">
        <v>57</v>
      </c>
      <c r="B66" s="441">
        <v>27</v>
      </c>
      <c r="C66" s="82"/>
      <c r="D66" s="494"/>
      <c r="E66" s="495"/>
      <c r="F66" s="495"/>
      <c r="G66" s="495"/>
      <c r="H66" s="495"/>
      <c r="I66" s="496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+'12'!W66+'13'!V66</f>
        <v>5</v>
      </c>
    </row>
    <row r="67" spans="1:23" x14ac:dyDescent="0.3">
      <c r="A67" s="95" t="s">
        <v>59</v>
      </c>
      <c r="B67" s="441">
        <v>27</v>
      </c>
      <c r="C67" s="82"/>
      <c r="D67" s="494"/>
      <c r="E67" s="495"/>
      <c r="F67" s="495"/>
      <c r="G67" s="495"/>
      <c r="H67" s="495"/>
      <c r="I67" s="496"/>
      <c r="J67" s="97"/>
      <c r="K67" s="391"/>
      <c r="L67" s="502" t="s">
        <v>50</v>
      </c>
      <c r="M67" s="498"/>
      <c r="N67" s="498"/>
      <c r="O67" s="408" t="s">
        <v>28</v>
      </c>
      <c r="P67" s="138">
        <v>110</v>
      </c>
      <c r="Q67" s="99">
        <f>'1'!Q67+'2'!P67+'3'!P67+'4'!P67+'5'!P67+'6'!P67+'7'!P67+'8'!P67+'9'!P67+'10'!P67+'11'!P67+'12'!P67+'13'!P67</f>
        <v>1218</v>
      </c>
      <c r="R67" s="399"/>
      <c r="S67" s="377" t="s">
        <v>60</v>
      </c>
      <c r="T67" s="175"/>
      <c r="U67" s="176" t="s">
        <v>151</v>
      </c>
      <c r="V67" s="177"/>
      <c r="W67" s="182">
        <f>+'12'!W67+'13'!V67</f>
        <v>0</v>
      </c>
    </row>
    <row r="68" spans="1:23" x14ac:dyDescent="0.3">
      <c r="A68" s="95" t="s">
        <v>61</v>
      </c>
      <c r="B68" s="441">
        <v>24</v>
      </c>
      <c r="C68" s="82"/>
      <c r="D68" s="494" t="s">
        <v>326</v>
      </c>
      <c r="E68" s="495"/>
      <c r="F68" s="495"/>
      <c r="G68" s="495"/>
      <c r="H68" s="495"/>
      <c r="I68" s="496"/>
      <c r="J68" s="97">
        <v>8</v>
      </c>
      <c r="K68" s="391"/>
      <c r="L68" s="468" t="s">
        <v>52</v>
      </c>
      <c r="M68" s="469"/>
      <c r="N68" s="469"/>
      <c r="O68" s="85" t="s">
        <v>28</v>
      </c>
      <c r="P68" s="141">
        <v>16</v>
      </c>
      <c r="Q68" s="86">
        <f>'1'!Q68+'2'!P68+'3'!P68+'4'!P68+'5'!P68+'6'!P68+'7'!P68+'8'!P68+'9'!P68+'10'!P68+'11'!P68+'12'!P68+'13'!P68</f>
        <v>175</v>
      </c>
      <c r="R68" s="409"/>
      <c r="S68" s="377" t="s">
        <v>62</v>
      </c>
      <c r="T68" s="175"/>
      <c r="U68" s="176" t="s">
        <v>151</v>
      </c>
      <c r="V68" s="177"/>
      <c r="W68" s="182">
        <f>+'12'!W68+'13'!V68</f>
        <v>1</v>
      </c>
    </row>
    <row r="69" spans="1:23" x14ac:dyDescent="0.3">
      <c r="A69" s="95" t="s">
        <v>63</v>
      </c>
      <c r="B69" s="441">
        <v>25</v>
      </c>
      <c r="C69" s="82"/>
      <c r="D69" s="494"/>
      <c r="E69" s="495"/>
      <c r="F69" s="495"/>
      <c r="G69" s="495"/>
      <c r="H69" s="495"/>
      <c r="I69" s="496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19</v>
      </c>
      <c r="Q69" s="100">
        <f>'1'!Q69+'2'!P69+'3'!P69+'4'!P69+'5'!P69+'6'!P69+'7'!P69+'8'!P69+'9'!P69+'10'!P69+'11'!P69+'12'!P69+'13'!P69</f>
        <v>612</v>
      </c>
      <c r="R69" s="395"/>
      <c r="S69" s="376" t="s">
        <v>64</v>
      </c>
      <c r="T69" s="178"/>
      <c r="U69" s="179" t="s">
        <v>151</v>
      </c>
      <c r="V69" s="180"/>
      <c r="W69" s="183">
        <f>+'12'!W69+'13'!V69</f>
        <v>0</v>
      </c>
    </row>
    <row r="70" spans="1:23" x14ac:dyDescent="0.3">
      <c r="A70" s="95" t="s">
        <v>65</v>
      </c>
      <c r="B70" s="441">
        <v>27</v>
      </c>
      <c r="C70" s="82"/>
      <c r="D70" s="494"/>
      <c r="E70" s="495"/>
      <c r="F70" s="495"/>
      <c r="G70" s="495"/>
      <c r="H70" s="495"/>
      <c r="I70" s="496"/>
      <c r="J70" s="97"/>
      <c r="K70" s="407"/>
      <c r="L70" s="497" t="s">
        <v>56</v>
      </c>
      <c r="M70" s="498"/>
      <c r="N70" s="498"/>
      <c r="O70" s="408" t="s">
        <v>28</v>
      </c>
      <c r="P70" s="138">
        <v>8</v>
      </c>
      <c r="Q70" s="429">
        <f>'1'!Q70+'2'!P70+'3'!P70+'4'!P70+'5'!P70+'6'!P70+'7'!P70+'8'!P70+'9'!P70+'10'!P70+'11'!P70+'12'!P70+'13'!P70</f>
        <v>307</v>
      </c>
      <c r="R70" s="399">
        <f>T55*30</f>
        <v>240</v>
      </c>
    </row>
    <row r="71" spans="1:23" x14ac:dyDescent="0.3">
      <c r="A71" s="95" t="s">
        <v>67</v>
      </c>
      <c r="B71" s="441">
        <v>28</v>
      </c>
      <c r="C71" s="82"/>
      <c r="D71" s="552"/>
      <c r="E71" s="553"/>
      <c r="F71" s="553"/>
      <c r="G71" s="553"/>
      <c r="H71" s="553"/>
      <c r="I71" s="553"/>
      <c r="J71" s="97"/>
      <c r="K71" s="391"/>
      <c r="L71" s="497" t="s">
        <v>58</v>
      </c>
      <c r="M71" s="498"/>
      <c r="N71" s="498"/>
      <c r="O71" s="408" t="s">
        <v>28</v>
      </c>
      <c r="P71" s="138">
        <v>11</v>
      </c>
      <c r="Q71" s="429">
        <f>'1'!Q71+'2'!P71+'3'!P71+'4'!P71+'5'!P71+'6'!P71+'7'!P71+'8'!P71+'9'!P71+'10'!P71+'11'!P71+'12'!P71+'13'!P71</f>
        <v>262</v>
      </c>
      <c r="R71" s="399">
        <f>T55*25</f>
        <v>200</v>
      </c>
    </row>
    <row r="72" spans="1:23" x14ac:dyDescent="0.3">
      <c r="A72" s="95" t="s">
        <v>69</v>
      </c>
      <c r="B72" s="441">
        <v>5</v>
      </c>
      <c r="C72" s="82"/>
      <c r="D72" s="552" t="s">
        <v>323</v>
      </c>
      <c r="E72" s="553"/>
      <c r="F72" s="553"/>
      <c r="G72" s="553"/>
      <c r="H72" s="553"/>
      <c r="I72" s="553"/>
      <c r="J72" s="97">
        <v>45</v>
      </c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</f>
        <v>19</v>
      </c>
      <c r="R72" s="399">
        <f>T55*10</f>
        <v>80</v>
      </c>
    </row>
    <row r="73" spans="1:23" x14ac:dyDescent="0.3">
      <c r="A73" s="95" t="s">
        <v>71</v>
      </c>
      <c r="B73" s="441">
        <v>15</v>
      </c>
      <c r="C73" s="82"/>
      <c r="D73" s="552" t="s">
        <v>324</v>
      </c>
      <c r="E73" s="553"/>
      <c r="F73" s="553"/>
      <c r="G73" s="553"/>
      <c r="H73" s="553"/>
      <c r="I73" s="553"/>
      <c r="J73" s="97">
        <v>26</v>
      </c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</f>
        <v>24</v>
      </c>
      <c r="R73" s="399"/>
    </row>
    <row r="74" spans="1:23" x14ac:dyDescent="0.3">
      <c r="A74" s="95" t="s">
        <v>73</v>
      </c>
      <c r="B74" s="441">
        <v>27</v>
      </c>
      <c r="C74" s="82"/>
      <c r="D74" s="552"/>
      <c r="E74" s="552"/>
      <c r="F74" s="552"/>
      <c r="G74" s="552"/>
      <c r="H74" s="552"/>
      <c r="I74" s="552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</f>
        <v>0</v>
      </c>
      <c r="R74" s="409"/>
    </row>
    <row r="75" spans="1:23" x14ac:dyDescent="0.3">
      <c r="A75" s="95" t="s">
        <v>75</v>
      </c>
      <c r="B75" s="441">
        <v>27</v>
      </c>
      <c r="C75" s="82"/>
      <c r="D75" s="552"/>
      <c r="E75" s="553"/>
      <c r="F75" s="553"/>
      <c r="G75" s="553"/>
      <c r="H75" s="553"/>
      <c r="I75" s="55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</f>
        <v>11520</v>
      </c>
      <c r="R75" s="406"/>
    </row>
    <row r="76" spans="1:23" x14ac:dyDescent="0.3">
      <c r="A76" s="95" t="s">
        <v>77</v>
      </c>
      <c r="B76" s="441">
        <v>27</v>
      </c>
      <c r="C76" s="82"/>
      <c r="D76" s="552"/>
      <c r="E76" s="553"/>
      <c r="F76" s="553"/>
      <c r="G76" s="553"/>
      <c r="H76" s="553"/>
      <c r="I76" s="55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145</v>
      </c>
      <c r="Q76" s="94">
        <f>'1'!Q76+'2'!P76+'3'!P76+'4'!P76+'5'!P76+'6'!P76+'7'!P76+'8'!P76+'9'!P76+'10'!P76+'11'!P76+'12'!P76+'13'!P76</f>
        <v>2005</v>
      </c>
      <c r="R76" s="406"/>
    </row>
    <row r="77" spans="1:23" x14ac:dyDescent="0.3">
      <c r="A77" s="95" t="s">
        <v>79</v>
      </c>
      <c r="B77" s="441">
        <v>28</v>
      </c>
      <c r="C77" s="82"/>
      <c r="D77" s="552"/>
      <c r="E77" s="552"/>
      <c r="F77" s="552"/>
      <c r="G77" s="552"/>
      <c r="H77" s="552"/>
      <c r="I77" s="552"/>
      <c r="J77" s="97"/>
      <c r="K77" s="391"/>
      <c r="L77" s="486" t="s">
        <v>70</v>
      </c>
      <c r="M77" s="487"/>
      <c r="N77" s="488"/>
      <c r="O77" s="405" t="s">
        <v>28</v>
      </c>
      <c r="P77" s="142">
        <v>145</v>
      </c>
      <c r="Q77" s="94">
        <f>'1'!Q77+'2'!P77+'3'!P77+'4'!P77+'5'!P77+'6'!P77+'7'!P77+'8'!P77+'9'!P77+'10'!P77+'11'!P77+'12'!P77+'13'!P77</f>
        <v>2006</v>
      </c>
      <c r="R77" s="406"/>
    </row>
    <row r="78" spans="1:23" x14ac:dyDescent="0.3">
      <c r="A78" s="109" t="s">
        <v>82</v>
      </c>
      <c r="B78" s="442">
        <v>22</v>
      </c>
      <c r="C78" s="443"/>
      <c r="D78" s="552" t="s">
        <v>325</v>
      </c>
      <c r="E78" s="553"/>
      <c r="F78" s="553"/>
      <c r="G78" s="553"/>
      <c r="H78" s="553"/>
      <c r="I78" s="553"/>
      <c r="J78" s="97">
        <v>9</v>
      </c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'1'!Q78+'2'!P78+'3'!P78+'4'!P78+'5'!P78+'6'!P78+'7'!P78+'8'!P78+'9'!P78+'10'!P78+'11'!P78+'12'!P78+'13'!P78</f>
        <v>1</v>
      </c>
      <c r="R78" s="406"/>
    </row>
    <row r="79" spans="1:23" x14ac:dyDescent="0.3">
      <c r="A79" s="114"/>
      <c r="B79" s="115">
        <f>SUM(B55:B78)</f>
        <v>578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145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1295</v>
      </c>
      <c r="Q79" s="94">
        <f>'1'!Q79+'2'!P79+'3'!P79+'4'!P79+'5'!P79+'6'!P79+'7'!P79+'8'!P79+'9'!P79+'10'!P79+'11'!P79+'12'!P79+'13'!P79</f>
        <v>9514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0.89930555555555558</v>
      </c>
      <c r="Q80" s="431">
        <f>Q79/Q75</f>
        <v>0.82586805555555554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0.89930555555555558</v>
      </c>
      <c r="Q81" s="165">
        <f>Q79/Q60</f>
        <v>0.5082264957264957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56.492200772200775</v>
      </c>
      <c r="Q82" s="150">
        <f>(C26/1000)/(Q79/60)</f>
        <v>52.189499684675212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50.803750000000001</v>
      </c>
      <c r="Q83" s="113">
        <f>(C26/1000)/(Q75/60)</f>
        <v>43.101640624999995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37463</v>
      </c>
      <c r="Q84" s="100">
        <f>'1'!Q84+'2'!P84+'3'!P84+'4'!P84+'5'!P84+'6'!P84+'7'!P84+'8'!P84+'9'!P84+'10'!P84+'11'!P84+'12'!P84+'13'!P84</f>
        <v>280014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31.157682173843618</v>
      </c>
      <c r="Q85" s="124">
        <f>Q84/(K27/1000)</f>
        <v>34.39505138916509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198.71</v>
      </c>
      <c r="Q86" s="100">
        <f>'1'!Q86+'2'!P86+'3'!P86+'4'!P86+'5'!P86+'6'!P86+'7'!P86+'8'!P86+'9'!P86+'10'!P86+'11'!P86+'12'!P86+'13'!P86</f>
        <v>1586.26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165.26554266247939</v>
      </c>
      <c r="Q87" s="124">
        <f>(Q86*1000)/(K26/1000)</f>
        <v>195.77080945736438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84</v>
      </c>
      <c r="Q88" s="100">
        <f>'1'!Q88+'2'!P88+'3'!P88+'4'!P88+'5'!P88+'6'!P88+'7'!P88+'8'!P88+'9'!P88+'10'!P88+'11'!P88+'12'!P88+'13'!P88</f>
        <v>1097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6.9862138712939809E-2</v>
      </c>
      <c r="Q89" s="124">
        <f>Q88/(K26/1000)</f>
        <v>0.13538800573344137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9" priority="1" operator="lessThan">
      <formula>0.0018</formula>
    </cfRule>
  </conditionalFormatting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46" zoomScaleNormal="100" workbookViewId="0">
      <selection activeCell="R59" sqref="R59"/>
    </sheetView>
  </sheetViews>
  <sheetFormatPr defaultRowHeight="16.5" x14ac:dyDescent="0.3"/>
  <cols>
    <col min="1" max="1" width="8.71093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'13'!A3:Q3+1</f>
        <v>46036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200</v>
      </c>
      <c r="B7" s="15">
        <v>50</v>
      </c>
      <c r="C7" s="15">
        <v>105450</v>
      </c>
      <c r="D7" s="16"/>
      <c r="E7" s="17"/>
      <c r="F7" s="18"/>
      <c r="G7" s="19" t="s">
        <v>1</v>
      </c>
      <c r="H7" s="20">
        <v>6.5</v>
      </c>
      <c r="I7" s="21" t="s">
        <v>318</v>
      </c>
      <c r="J7" s="22">
        <v>50</v>
      </c>
      <c r="K7" s="17">
        <v>104326</v>
      </c>
      <c r="L7" s="23">
        <f t="shared" ref="L7:L16" si="0">K7/C7</f>
        <v>0.9893409198672356</v>
      </c>
      <c r="M7" s="17"/>
      <c r="N7" s="22"/>
      <c r="O7" s="134"/>
      <c r="P7" s="134"/>
      <c r="Q7" s="134"/>
    </row>
    <row r="8" spans="1:17" x14ac:dyDescent="0.3">
      <c r="A8" s="24" t="s">
        <v>328</v>
      </c>
      <c r="B8" s="25">
        <v>9</v>
      </c>
      <c r="C8" s="25">
        <v>18954</v>
      </c>
      <c r="D8" s="26"/>
      <c r="E8" s="27"/>
      <c r="F8" s="28"/>
      <c r="G8" s="29" t="s">
        <v>1</v>
      </c>
      <c r="H8" s="30">
        <v>6.5</v>
      </c>
      <c r="I8" s="31" t="s">
        <v>318</v>
      </c>
      <c r="J8" s="32">
        <v>9</v>
      </c>
      <c r="K8" s="33">
        <v>18656</v>
      </c>
      <c r="L8" s="34">
        <f t="shared" si="0"/>
        <v>0.98427772501846578</v>
      </c>
      <c r="M8" s="33"/>
      <c r="N8" s="32"/>
      <c r="O8" s="135"/>
      <c r="P8" s="135"/>
      <c r="Q8" s="135"/>
    </row>
    <row r="9" spans="1:17" x14ac:dyDescent="0.3">
      <c r="A9" s="24" t="s">
        <v>329</v>
      </c>
      <c r="B9" s="25">
        <v>12</v>
      </c>
      <c r="C9" s="25">
        <v>25272</v>
      </c>
      <c r="D9" s="26">
        <v>1</v>
      </c>
      <c r="E9" s="27">
        <v>2106</v>
      </c>
      <c r="F9" s="28">
        <f>E9/C9</f>
        <v>8.3333333333333329E-2</v>
      </c>
      <c r="G9" s="29" t="s">
        <v>1</v>
      </c>
      <c r="H9" s="30">
        <v>6.5</v>
      </c>
      <c r="I9" s="31" t="s">
        <v>318</v>
      </c>
      <c r="J9" s="32">
        <v>11</v>
      </c>
      <c r="K9" s="33">
        <v>22949</v>
      </c>
      <c r="L9" s="34">
        <f t="shared" si="0"/>
        <v>0.90808008863564416</v>
      </c>
      <c r="M9" s="33"/>
      <c r="N9" s="32"/>
      <c r="O9" s="135"/>
      <c r="P9" s="135"/>
      <c r="Q9" s="135"/>
    </row>
    <row r="10" spans="1:17" x14ac:dyDescent="0.3">
      <c r="A10" s="35" t="s">
        <v>319</v>
      </c>
      <c r="B10" s="36">
        <v>4</v>
      </c>
      <c r="C10" s="36">
        <v>8376</v>
      </c>
      <c r="D10" s="37"/>
      <c r="E10" s="38"/>
      <c r="F10" s="18"/>
      <c r="G10" s="39" t="s">
        <v>1</v>
      </c>
      <c r="H10" s="40">
        <v>6.5</v>
      </c>
      <c r="I10" s="31" t="s">
        <v>318</v>
      </c>
      <c r="J10" s="41">
        <v>4</v>
      </c>
      <c r="K10" s="42">
        <v>8321</v>
      </c>
      <c r="L10" s="34">
        <f t="shared" si="0"/>
        <v>0.99343361986628465</v>
      </c>
      <c r="M10" s="33"/>
      <c r="N10" s="32"/>
      <c r="O10" s="135"/>
      <c r="P10" s="135"/>
      <c r="Q10" s="135"/>
    </row>
    <row r="11" spans="1:17" x14ac:dyDescent="0.3">
      <c r="A11" s="35" t="s">
        <v>319</v>
      </c>
      <c r="B11" s="36">
        <v>43</v>
      </c>
      <c r="C11" s="36">
        <v>90042</v>
      </c>
      <c r="D11" s="37"/>
      <c r="E11" s="38"/>
      <c r="F11" s="18"/>
      <c r="G11" s="39" t="s">
        <v>1</v>
      </c>
      <c r="H11" s="40">
        <v>6.5</v>
      </c>
      <c r="I11" s="31" t="s">
        <v>203</v>
      </c>
      <c r="J11" s="41">
        <v>43</v>
      </c>
      <c r="K11" s="42">
        <v>88770</v>
      </c>
      <c r="L11" s="34">
        <f t="shared" si="0"/>
        <v>0.98587325914573198</v>
      </c>
      <c r="M11" s="33"/>
      <c r="N11" s="32"/>
      <c r="O11" s="135"/>
      <c r="P11" s="135"/>
      <c r="Q11" s="135"/>
    </row>
    <row r="12" spans="1:17" x14ac:dyDescent="0.3">
      <c r="A12" s="35" t="s">
        <v>221</v>
      </c>
      <c r="B12" s="36">
        <v>72</v>
      </c>
      <c r="C12" s="36">
        <v>152712</v>
      </c>
      <c r="D12" s="37"/>
      <c r="E12" s="38"/>
      <c r="F12" s="18"/>
      <c r="G12" s="39" t="s">
        <v>1</v>
      </c>
      <c r="H12" s="40">
        <v>18</v>
      </c>
      <c r="I12" s="31" t="s">
        <v>204</v>
      </c>
      <c r="J12" s="41">
        <v>68</v>
      </c>
      <c r="K12" s="42">
        <v>140152</v>
      </c>
      <c r="L12" s="34">
        <f t="shared" si="0"/>
        <v>0.91775368012991776</v>
      </c>
      <c r="M12" s="33">
        <v>4</v>
      </c>
      <c r="N12" s="32">
        <v>8107</v>
      </c>
      <c r="O12" s="135"/>
      <c r="P12" s="444"/>
      <c r="Q12" s="445"/>
    </row>
    <row r="13" spans="1:17" x14ac:dyDescent="0.3">
      <c r="A13" s="35" t="s">
        <v>221</v>
      </c>
      <c r="B13" s="36">
        <v>96</v>
      </c>
      <c r="C13" s="36">
        <v>203616</v>
      </c>
      <c r="D13" s="37"/>
      <c r="E13" s="38"/>
      <c r="F13" s="18"/>
      <c r="G13" s="39" t="s">
        <v>1</v>
      </c>
      <c r="H13" s="40">
        <v>7.5</v>
      </c>
      <c r="I13" s="31" t="s">
        <v>204</v>
      </c>
      <c r="J13" s="41">
        <v>96</v>
      </c>
      <c r="K13" s="42">
        <v>200884</v>
      </c>
      <c r="L13" s="34">
        <f t="shared" si="0"/>
        <v>0.98658258683011157</v>
      </c>
      <c r="M13" s="33"/>
      <c r="N13" s="32"/>
      <c r="O13" s="135"/>
      <c r="P13" s="135"/>
      <c r="Q13" s="135"/>
    </row>
    <row r="14" spans="1:17" x14ac:dyDescent="0.3">
      <c r="A14" s="35" t="s">
        <v>319</v>
      </c>
      <c r="B14" s="36">
        <v>206</v>
      </c>
      <c r="C14" s="36">
        <v>431364</v>
      </c>
      <c r="D14" s="37">
        <v>1</v>
      </c>
      <c r="E14" s="38">
        <v>2094</v>
      </c>
      <c r="F14" s="28">
        <f>E14/C14</f>
        <v>4.8543689320388345E-3</v>
      </c>
      <c r="G14" s="39" t="s">
        <v>1</v>
      </c>
      <c r="H14" s="40">
        <v>7.5</v>
      </c>
      <c r="I14" s="31" t="s">
        <v>318</v>
      </c>
      <c r="J14" s="41">
        <v>203</v>
      </c>
      <c r="K14" s="42">
        <v>420650</v>
      </c>
      <c r="L14" s="34">
        <f t="shared" si="0"/>
        <v>0.97516250776606295</v>
      </c>
      <c r="M14" s="43">
        <v>2</v>
      </c>
      <c r="N14" s="44">
        <v>4127</v>
      </c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492</v>
      </c>
      <c r="C16" s="48">
        <f>SUM(C7:C15)</f>
        <v>1035786</v>
      </c>
      <c r="D16" s="49">
        <f>SUM(D7:D15)</f>
        <v>2</v>
      </c>
      <c r="E16" s="50">
        <f>SUM(E7:E15)</f>
        <v>4200</v>
      </c>
      <c r="F16" s="51">
        <f>E16/C16</f>
        <v>4.0548916475024767E-3</v>
      </c>
      <c r="G16" s="52"/>
      <c r="H16" s="2"/>
      <c r="I16" s="2"/>
      <c r="J16" s="53">
        <f>SUM(J7:J15)</f>
        <v>484</v>
      </c>
      <c r="K16" s="53">
        <f>SUM(K7:K15)</f>
        <v>1004708</v>
      </c>
      <c r="L16" s="51">
        <f t="shared" si="0"/>
        <v>0.9699957327092662</v>
      </c>
      <c r="M16" s="50">
        <f>SUM(M7:M15)</f>
        <v>6</v>
      </c>
      <c r="N16" s="54">
        <f>SUM(N7:N15)</f>
        <v>12234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1016942</v>
      </c>
      <c r="L17" s="51">
        <f>K17/C16</f>
        <v>0.98180705280820557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'13'!B22+'14'!B16</f>
        <v>3250</v>
      </c>
      <c r="C22" s="57">
        <f>'13'!C22+'14'!C16</f>
        <v>6876430</v>
      </c>
      <c r="D22" s="57">
        <f>'13'!D22+'14'!D16</f>
        <v>10</v>
      </c>
      <c r="E22" s="57">
        <f>'13'!E22+'14'!E16</f>
        <v>21152</v>
      </c>
      <c r="F22" s="423">
        <f>E22/C22</f>
        <v>3.0760147343897922E-3</v>
      </c>
      <c r="G22" s="58" t="s">
        <v>1</v>
      </c>
      <c r="H22" s="59"/>
      <c r="I22" s="59"/>
      <c r="J22" s="57">
        <f>'13'!J22+'14'!J16</f>
        <v>3219</v>
      </c>
      <c r="K22" s="57">
        <f>'13'!K22+'14'!K16</f>
        <v>6727631</v>
      </c>
      <c r="L22" s="60">
        <f>K22/C22</f>
        <v>0.97836101000082887</v>
      </c>
      <c r="M22" s="57">
        <f>'13'!M22+'14'!M16</f>
        <v>21</v>
      </c>
      <c r="N22" s="57">
        <f>'13'!N22+'14'!N16</f>
        <v>43047</v>
      </c>
      <c r="O22" s="135"/>
      <c r="P22" s="135"/>
      <c r="Q22" s="135"/>
    </row>
    <row r="23" spans="1:17" x14ac:dyDescent="0.3">
      <c r="A23" s="521"/>
      <c r="B23" s="61">
        <f>'13'!B23</f>
        <v>1160</v>
      </c>
      <c r="C23" s="61">
        <f>'13'!C23</f>
        <v>2434871</v>
      </c>
      <c r="D23" s="61">
        <f>'13'!D23</f>
        <v>6</v>
      </c>
      <c r="E23" s="61">
        <f>'13'!E23</f>
        <v>12633</v>
      </c>
      <c r="F23" s="424">
        <f>E23/C23</f>
        <v>5.1883652152413823E-3</v>
      </c>
      <c r="G23" s="381" t="s">
        <v>195</v>
      </c>
      <c r="H23" s="59"/>
      <c r="I23" s="59"/>
      <c r="J23" s="61">
        <f>'13'!J23</f>
        <v>1150</v>
      </c>
      <c r="K23" s="61">
        <f>'13'!K23</f>
        <v>2379715</v>
      </c>
      <c r="L23" s="382">
        <f t="shared" ref="L23:L24" si="1">K23/C23</f>
        <v>0.97734746522505711</v>
      </c>
      <c r="M23" s="61">
        <f>'13'!M23</f>
        <v>4</v>
      </c>
      <c r="N23" s="61">
        <f>'13'!N23</f>
        <v>7662</v>
      </c>
      <c r="O23" s="135"/>
      <c r="P23" s="135"/>
      <c r="Q23" s="135"/>
    </row>
    <row r="24" spans="1:17" x14ac:dyDescent="0.3">
      <c r="A24" s="521"/>
      <c r="B24" s="61">
        <f>'13'!B24</f>
        <v>0</v>
      </c>
      <c r="C24" s="61">
        <f>'13'!C24</f>
        <v>0</v>
      </c>
      <c r="D24" s="61">
        <f>'13'!D24</f>
        <v>0</v>
      </c>
      <c r="E24" s="61">
        <f>'13'!E24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'13'!J24</f>
        <v>0</v>
      </c>
      <c r="K24" s="61">
        <f>'13'!K24</f>
        <v>0</v>
      </c>
      <c r="L24" s="382" t="e">
        <f t="shared" si="1"/>
        <v>#DIV/0!</v>
      </c>
      <c r="M24" s="61">
        <f>'13'!M24</f>
        <v>0</v>
      </c>
      <c r="N24" s="61">
        <f>'13'!N24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4410</v>
      </c>
      <c r="C26" s="68">
        <f>SUM(C21:C25)</f>
        <v>9311301</v>
      </c>
      <c r="D26" s="49">
        <f>SUM(D21:D25)</f>
        <v>16</v>
      </c>
      <c r="E26" s="69">
        <f>SUM(E22:E25)</f>
        <v>33785</v>
      </c>
      <c r="F26" s="51">
        <f>E26/C26</f>
        <v>3.6283866239529795E-3</v>
      </c>
      <c r="G26" s="51"/>
      <c r="H26" s="70"/>
      <c r="I26" s="70"/>
      <c r="J26" s="71">
        <f>SUM(J22:J25)</f>
        <v>4369</v>
      </c>
      <c r="K26" s="68">
        <f>SUM(K22:K25)</f>
        <v>9107346</v>
      </c>
      <c r="L26" s="51">
        <f>K26/C26</f>
        <v>0.97809597176592189</v>
      </c>
      <c r="M26" s="71">
        <f>SUM(M22:M25)</f>
        <v>25</v>
      </c>
      <c r="N26" s="54">
        <f>SUM(N22:N25)</f>
        <v>50709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9158055</v>
      </c>
      <c r="L27" s="51">
        <f>K27/C26</f>
        <v>0.98354193468775197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'13'!A30</f>
        <v>BIC</v>
      </c>
      <c r="B30" s="307" t="str">
        <f>'13'!B30</f>
        <v>P.6</v>
      </c>
      <c r="C30" s="307" t="str">
        <f>'13'!C30</f>
        <v>BjTPG280</v>
      </c>
      <c r="D30" s="313">
        <f>'13'!D30</f>
        <v>239</v>
      </c>
      <c r="E30" s="308">
        <f>'13'!E30</f>
        <v>497038</v>
      </c>
      <c r="F30" s="79"/>
      <c r="G30" s="307" t="str">
        <f>'13'!G30</f>
        <v>WR</v>
      </c>
      <c r="H30" s="309">
        <v>18</v>
      </c>
      <c r="I30" s="309">
        <v>8</v>
      </c>
      <c r="J30" s="310">
        <f t="shared" ref="J30:K32" si="3">J12</f>
        <v>68</v>
      </c>
      <c r="K30" s="310">
        <f t="shared" si="3"/>
        <v>140152</v>
      </c>
      <c r="L30" s="79"/>
      <c r="M30" s="307" t="str">
        <f>'13'!M30</f>
        <v>WR</v>
      </c>
      <c r="N30" s="309">
        <f>'13'!N30</f>
        <v>0</v>
      </c>
      <c r="O30" s="309">
        <f>'13'!O30</f>
        <v>0</v>
      </c>
      <c r="P30" s="170">
        <f>'13'!P30</f>
        <v>0</v>
      </c>
      <c r="Q30" s="310">
        <f>'13'!Q30</f>
        <v>0</v>
      </c>
    </row>
    <row r="31" spans="1:17" x14ac:dyDescent="0.3">
      <c r="A31" s="307" t="str">
        <f>'13'!A31</f>
        <v>WR</v>
      </c>
      <c r="B31" s="307">
        <f>'13'!B31</f>
        <v>6.5</v>
      </c>
      <c r="C31" s="307">
        <f>'13'!C31</f>
        <v>8</v>
      </c>
      <c r="D31" s="313">
        <f>'13'!D31</f>
        <v>144</v>
      </c>
      <c r="E31" s="308">
        <f>'13'!E31</f>
        <v>301505</v>
      </c>
      <c r="F31" s="135"/>
      <c r="G31" s="307" t="str">
        <f>'13'!G31</f>
        <v>WR</v>
      </c>
      <c r="H31" s="309">
        <v>7.5</v>
      </c>
      <c r="I31" s="309">
        <v>8</v>
      </c>
      <c r="J31" s="310">
        <f t="shared" si="3"/>
        <v>96</v>
      </c>
      <c r="K31" s="310">
        <f t="shared" si="3"/>
        <v>200884</v>
      </c>
      <c r="L31" s="135"/>
      <c r="M31" s="307" t="str">
        <f>'13'!M31</f>
        <v>WR</v>
      </c>
      <c r="N31" s="309">
        <f>'13'!N31</f>
        <v>0</v>
      </c>
      <c r="O31" s="309">
        <f>'13'!O31</f>
        <v>0</v>
      </c>
      <c r="P31" s="170">
        <f>'13'!P31</f>
        <v>0</v>
      </c>
      <c r="Q31" s="310">
        <f>'13'!Q31</f>
        <v>0</v>
      </c>
    </row>
    <row r="32" spans="1:17" x14ac:dyDescent="0.3">
      <c r="A32" s="307" t="str">
        <f>'13'!A32</f>
        <v>WR</v>
      </c>
      <c r="B32" s="307">
        <f>'13'!B32</f>
        <v>6.5</v>
      </c>
      <c r="C32" s="307">
        <f>'13'!C32</f>
        <v>10</v>
      </c>
      <c r="D32" s="313">
        <f>'13'!D32</f>
        <v>48</v>
      </c>
      <c r="E32" s="308">
        <f>'13'!E32</f>
        <v>99149</v>
      </c>
      <c r="F32" s="135"/>
      <c r="G32" s="307" t="str">
        <f>'13'!G32</f>
        <v>WR</v>
      </c>
      <c r="H32" s="309">
        <v>7.5</v>
      </c>
      <c r="I32" s="309">
        <v>15</v>
      </c>
      <c r="J32" s="310">
        <f t="shared" si="3"/>
        <v>203</v>
      </c>
      <c r="K32" s="310">
        <f t="shared" si="3"/>
        <v>420650</v>
      </c>
      <c r="L32" s="135"/>
      <c r="M32" s="307" t="str">
        <f>'13'!M32</f>
        <v>WR</v>
      </c>
      <c r="N32" s="309">
        <f>'13'!N32</f>
        <v>0</v>
      </c>
      <c r="O32" s="309">
        <f>'13'!O32</f>
        <v>0</v>
      </c>
      <c r="P32" s="170">
        <f>'13'!P32</f>
        <v>0</v>
      </c>
      <c r="Q32" s="310">
        <f>'13'!Q32</f>
        <v>0</v>
      </c>
    </row>
    <row r="33" spans="1:17" x14ac:dyDescent="0.3">
      <c r="A33" s="307" t="str">
        <f>'13'!A33</f>
        <v>WR</v>
      </c>
      <c r="B33" s="307">
        <f>'13'!B33</f>
        <v>6.5</v>
      </c>
      <c r="C33" s="307">
        <f>'13'!C33</f>
        <v>15</v>
      </c>
      <c r="D33" s="313">
        <f>'13'!D33</f>
        <v>6</v>
      </c>
      <c r="E33" s="308">
        <f>'13'!E33</f>
        <v>12304</v>
      </c>
      <c r="F33" s="135"/>
      <c r="G33" s="307" t="str">
        <f>'13'!G33</f>
        <v>WR</v>
      </c>
      <c r="H33" s="309">
        <f>'13'!H33</f>
        <v>0</v>
      </c>
      <c r="I33" s="309">
        <f>'13'!I33</f>
        <v>0</v>
      </c>
      <c r="J33" s="170">
        <f>'13'!J33</f>
        <v>0</v>
      </c>
      <c r="K33" s="310">
        <f>'13'!K33</f>
        <v>0</v>
      </c>
      <c r="L33" s="135"/>
      <c r="M33" s="307" t="str">
        <f>'13'!M33</f>
        <v>WR</v>
      </c>
      <c r="N33" s="309">
        <f>'13'!N33</f>
        <v>0</v>
      </c>
      <c r="O33" s="309">
        <f>'13'!O33</f>
        <v>0</v>
      </c>
      <c r="P33" s="170">
        <f>'13'!P33</f>
        <v>0</v>
      </c>
      <c r="Q33" s="310">
        <f>'13'!Q33</f>
        <v>0</v>
      </c>
    </row>
    <row r="34" spans="1:17" x14ac:dyDescent="0.3">
      <c r="A34" s="307" t="str">
        <f>'13'!A34</f>
        <v>WR</v>
      </c>
      <c r="B34" s="307">
        <f>'13'!B34</f>
        <v>5.5</v>
      </c>
      <c r="C34" s="307">
        <f>'13'!C34</f>
        <v>6</v>
      </c>
      <c r="D34" s="313">
        <f>'13'!D34</f>
        <v>480</v>
      </c>
      <c r="E34" s="308">
        <f>'13'!E34</f>
        <v>1007562</v>
      </c>
      <c r="F34" s="135"/>
      <c r="G34" s="307" t="str">
        <f>'13'!G34</f>
        <v>WR</v>
      </c>
      <c r="H34" s="309">
        <f>'13'!H34</f>
        <v>0</v>
      </c>
      <c r="I34" s="309">
        <f>'13'!I34</f>
        <v>0</v>
      </c>
      <c r="J34" s="170">
        <f>'13'!J34</f>
        <v>0</v>
      </c>
      <c r="K34" s="310">
        <f>'13'!K34</f>
        <v>0</v>
      </c>
      <c r="L34" s="135"/>
      <c r="M34" s="307" t="str">
        <f>'13'!M34</f>
        <v>WR</v>
      </c>
      <c r="N34" s="309">
        <f>'13'!N34</f>
        <v>0</v>
      </c>
      <c r="O34" s="309">
        <f>'13'!O34</f>
        <v>0</v>
      </c>
      <c r="P34" s="170">
        <f>'13'!P34</f>
        <v>0</v>
      </c>
      <c r="Q34" s="310">
        <f>'13'!Q34</f>
        <v>0</v>
      </c>
    </row>
    <row r="35" spans="1:17" x14ac:dyDescent="0.3">
      <c r="A35" s="307" t="str">
        <f>'13'!A35</f>
        <v>WR</v>
      </c>
      <c r="B35" s="307">
        <f>'13'!B35</f>
        <v>5.5</v>
      </c>
      <c r="C35" s="307" t="str">
        <f>'13'!C35</f>
        <v>8.A</v>
      </c>
      <c r="D35" s="313">
        <f>'13'!D35</f>
        <v>75</v>
      </c>
      <c r="E35" s="308">
        <f>'13'!E35</f>
        <v>157414</v>
      </c>
      <c r="F35" s="135"/>
      <c r="G35" s="307" t="str">
        <f>'13'!G35</f>
        <v>WR</v>
      </c>
      <c r="H35" s="309">
        <f>'13'!H35</f>
        <v>0</v>
      </c>
      <c r="I35" s="309">
        <f>'13'!I35</f>
        <v>0</v>
      </c>
      <c r="J35" s="170">
        <f>'13'!J35</f>
        <v>0</v>
      </c>
      <c r="K35" s="310">
        <f>'13'!K35</f>
        <v>0</v>
      </c>
      <c r="L35" s="135"/>
      <c r="M35" s="307" t="str">
        <f>'13'!M35</f>
        <v>WR</v>
      </c>
      <c r="N35" s="309">
        <f>'13'!N35</f>
        <v>0</v>
      </c>
      <c r="O35" s="309">
        <f>'13'!O35</f>
        <v>0</v>
      </c>
      <c r="P35" s="170">
        <f>'13'!P35</f>
        <v>0</v>
      </c>
      <c r="Q35" s="310">
        <f>'13'!Q35</f>
        <v>0</v>
      </c>
    </row>
    <row r="36" spans="1:17" x14ac:dyDescent="0.3">
      <c r="A36" s="307" t="str">
        <f>'13'!A36</f>
        <v>WR</v>
      </c>
      <c r="B36" s="307">
        <f>'13'!B36</f>
        <v>5.5</v>
      </c>
      <c r="C36" s="307" t="str">
        <f>'13'!C36</f>
        <v>22.A</v>
      </c>
      <c r="D36" s="313">
        <f>'13'!D36</f>
        <v>284</v>
      </c>
      <c r="E36" s="308">
        <f>'13'!E36</f>
        <v>593345</v>
      </c>
      <c r="F36" s="135"/>
      <c r="G36" s="307" t="str">
        <f>'13'!G36</f>
        <v>WR</v>
      </c>
      <c r="H36" s="309">
        <f>'13'!H36</f>
        <v>0</v>
      </c>
      <c r="I36" s="309">
        <f>'13'!I36</f>
        <v>0</v>
      </c>
      <c r="J36" s="170">
        <f>'13'!J36</f>
        <v>0</v>
      </c>
      <c r="K36" s="310">
        <f>'13'!K36</f>
        <v>0</v>
      </c>
      <c r="L36" s="135"/>
      <c r="M36" s="307" t="str">
        <f>'13'!M36</f>
        <v>WR</v>
      </c>
      <c r="N36" s="309">
        <f>'13'!N36</f>
        <v>0</v>
      </c>
      <c r="O36" s="309">
        <f>'13'!O36</f>
        <v>0</v>
      </c>
      <c r="P36" s="170">
        <f>'13'!P36</f>
        <v>0</v>
      </c>
      <c r="Q36" s="310">
        <f>'13'!Q36</f>
        <v>0</v>
      </c>
    </row>
    <row r="37" spans="1:17" x14ac:dyDescent="0.3">
      <c r="A37" s="307" t="str">
        <f>'13'!A37</f>
        <v>WR</v>
      </c>
      <c r="B37" s="307">
        <f>'13'!B37</f>
        <v>5.5</v>
      </c>
      <c r="C37" s="307" t="str">
        <f>'13'!C37</f>
        <v>Y.11</v>
      </c>
      <c r="D37" s="313">
        <f>'13'!D37</f>
        <v>526</v>
      </c>
      <c r="E37" s="308">
        <f>'13'!E37</f>
        <v>1102590</v>
      </c>
      <c r="F37" s="135"/>
      <c r="G37" s="307" t="str">
        <f>'13'!G37</f>
        <v>WR</v>
      </c>
      <c r="H37" s="309">
        <f>'13'!H37</f>
        <v>0</v>
      </c>
      <c r="I37" s="309">
        <f>'13'!I37</f>
        <v>0</v>
      </c>
      <c r="J37" s="170">
        <f>'13'!J37</f>
        <v>0</v>
      </c>
      <c r="K37" s="310">
        <f>'13'!K37</f>
        <v>0</v>
      </c>
      <c r="L37" s="135"/>
      <c r="M37" s="307" t="str">
        <f>'13'!M37</f>
        <v>WR</v>
      </c>
      <c r="N37" s="309">
        <f>'13'!N37</f>
        <v>0</v>
      </c>
      <c r="O37" s="309">
        <f>'13'!O37</f>
        <v>0</v>
      </c>
      <c r="P37" s="170">
        <f>'13'!P37</f>
        <v>0</v>
      </c>
      <c r="Q37" s="310">
        <f>'13'!Q37</f>
        <v>0</v>
      </c>
    </row>
    <row r="38" spans="1:17" x14ac:dyDescent="0.3">
      <c r="A38" s="307" t="str">
        <f>'13'!A38</f>
        <v>WR</v>
      </c>
      <c r="B38" s="307">
        <f>'13'!B38</f>
        <v>5.5</v>
      </c>
      <c r="C38" s="307" t="str">
        <f>'13'!C38</f>
        <v>67.A</v>
      </c>
      <c r="D38" s="313">
        <f>'13'!D38</f>
        <v>72</v>
      </c>
      <c r="E38" s="308">
        <f>'13'!E38</f>
        <v>152182</v>
      </c>
      <c r="F38" s="135"/>
      <c r="G38" s="307" t="str">
        <f>'13'!G38</f>
        <v>WR</v>
      </c>
      <c r="H38" s="309">
        <f>'13'!H38</f>
        <v>0</v>
      </c>
      <c r="I38" s="309">
        <f>'13'!I38</f>
        <v>0</v>
      </c>
      <c r="J38" s="170">
        <f>'13'!J38</f>
        <v>0</v>
      </c>
      <c r="K38" s="310">
        <f>'13'!K38</f>
        <v>0</v>
      </c>
      <c r="L38" s="135"/>
      <c r="M38" s="307" t="str">
        <f>'13'!M38</f>
        <v>WR</v>
      </c>
      <c r="N38" s="309">
        <f>'13'!N38</f>
        <v>0</v>
      </c>
      <c r="O38" s="309">
        <f>'13'!O38</f>
        <v>0</v>
      </c>
      <c r="P38" s="170">
        <f>'13'!P38</f>
        <v>0</v>
      </c>
      <c r="Q38" s="310">
        <f>'13'!Q38</f>
        <v>0</v>
      </c>
    </row>
    <row r="39" spans="1:17" x14ac:dyDescent="0.3">
      <c r="A39" s="307" t="str">
        <f>'13'!A39</f>
        <v>BIC</v>
      </c>
      <c r="B39" s="307" t="str">
        <f>'13'!B39</f>
        <v>P.8</v>
      </c>
      <c r="C39" s="307" t="str">
        <f>'13'!C39</f>
        <v>BjTPG280</v>
      </c>
      <c r="D39" s="313">
        <f>'13'!D39</f>
        <v>240</v>
      </c>
      <c r="E39" s="308">
        <f>'13'!E39</f>
        <v>499780</v>
      </c>
      <c r="F39" s="135"/>
      <c r="G39" s="307" t="str">
        <f>'13'!G39</f>
        <v>WR</v>
      </c>
      <c r="H39" s="309">
        <f>'13'!H39</f>
        <v>0</v>
      </c>
      <c r="I39" s="309">
        <f>'13'!I39</f>
        <v>0</v>
      </c>
      <c r="J39" s="170">
        <f>'13'!J39</f>
        <v>0</v>
      </c>
      <c r="K39" s="310">
        <f>'13'!K39</f>
        <v>0</v>
      </c>
      <c r="L39" s="135"/>
      <c r="M39" s="307" t="str">
        <f>'13'!M39</f>
        <v>WR</v>
      </c>
      <c r="N39" s="309">
        <f>'13'!N39</f>
        <v>0</v>
      </c>
      <c r="O39" s="309">
        <f>'13'!O39</f>
        <v>0</v>
      </c>
      <c r="P39" s="170">
        <f>'13'!P39</f>
        <v>0</v>
      </c>
      <c r="Q39" s="310">
        <f>'13'!Q39</f>
        <v>0</v>
      </c>
    </row>
    <row r="40" spans="1:17" x14ac:dyDescent="0.3">
      <c r="A40" s="307" t="str">
        <f>'13'!A40</f>
        <v>BIC</v>
      </c>
      <c r="B40" s="307" t="str">
        <f>'13'!B40</f>
        <v>S.8</v>
      </c>
      <c r="C40" s="307" t="str">
        <f>'13'!C40</f>
        <v>BjTSG420</v>
      </c>
      <c r="D40" s="313">
        <f>'13'!D40</f>
        <v>335</v>
      </c>
      <c r="E40" s="308">
        <f>'13'!E40</f>
        <v>688721</v>
      </c>
      <c r="F40" s="135"/>
      <c r="G40" s="307" t="str">
        <f>'13'!G40</f>
        <v>WR</v>
      </c>
      <c r="H40" s="309">
        <f>'13'!H40</f>
        <v>0</v>
      </c>
      <c r="I40" s="309">
        <f>'13'!I40</f>
        <v>0</v>
      </c>
      <c r="J40" s="170">
        <f>'13'!J40</f>
        <v>0</v>
      </c>
      <c r="K40" s="310">
        <f>'13'!K40</f>
        <v>0</v>
      </c>
      <c r="L40" s="135"/>
      <c r="M40" s="307" t="str">
        <f>'13'!M40</f>
        <v>WR</v>
      </c>
      <c r="N40" s="309">
        <f>'13'!N40</f>
        <v>0</v>
      </c>
      <c r="O40" s="309">
        <f>'13'!O40</f>
        <v>0</v>
      </c>
      <c r="P40" s="170">
        <f>'13'!P40</f>
        <v>0</v>
      </c>
      <c r="Q40" s="310">
        <f>'13'!Q40</f>
        <v>0</v>
      </c>
    </row>
    <row r="41" spans="1:17" x14ac:dyDescent="0.3">
      <c r="A41" s="307" t="str">
        <f>'13'!A41</f>
        <v>BIC</v>
      </c>
      <c r="B41" s="307" t="str">
        <f>'13'!B41</f>
        <v>S.10</v>
      </c>
      <c r="C41" s="307" t="str">
        <f>'13'!C41</f>
        <v>BjTSG420</v>
      </c>
      <c r="D41" s="313">
        <f>'13'!D41</f>
        <v>144</v>
      </c>
      <c r="E41" s="308">
        <f>'13'!E41</f>
        <v>295842</v>
      </c>
      <c r="F41" s="135"/>
      <c r="G41" s="307" t="str">
        <f>'13'!G41</f>
        <v>WR</v>
      </c>
      <c r="H41" s="309">
        <f>'13'!H41</f>
        <v>0</v>
      </c>
      <c r="I41" s="309">
        <f>'13'!I41</f>
        <v>0</v>
      </c>
      <c r="J41" s="170">
        <f>'13'!J41</f>
        <v>0</v>
      </c>
      <c r="K41" s="310">
        <f>'13'!K41</f>
        <v>0</v>
      </c>
      <c r="L41" s="135"/>
      <c r="M41" s="307" t="str">
        <f>'13'!M41</f>
        <v>WR</v>
      </c>
      <c r="N41" s="309">
        <f>'13'!N41</f>
        <v>0</v>
      </c>
      <c r="O41" s="309">
        <f>'13'!O41</f>
        <v>0</v>
      </c>
      <c r="P41" s="170">
        <f>'13'!P41</f>
        <v>0</v>
      </c>
      <c r="Q41" s="310">
        <f>'13'!Q41</f>
        <v>0</v>
      </c>
    </row>
    <row r="42" spans="1:17" x14ac:dyDescent="0.3">
      <c r="A42" s="307" t="str">
        <f>'13'!A42</f>
        <v>WR</v>
      </c>
      <c r="B42" s="307">
        <f>'13'!B42</f>
        <v>5.5</v>
      </c>
      <c r="C42" s="307">
        <f>'13'!C42</f>
        <v>8</v>
      </c>
      <c r="D42" s="313">
        <f>'13'!D42</f>
        <v>287</v>
      </c>
      <c r="E42" s="308">
        <f>'13'!E42</f>
        <v>601921</v>
      </c>
      <c r="F42" s="135"/>
      <c r="G42" s="307" t="str">
        <f>'13'!G42</f>
        <v>WR</v>
      </c>
      <c r="H42" s="309">
        <f>'13'!H42</f>
        <v>0</v>
      </c>
      <c r="I42" s="309">
        <f>'13'!I42</f>
        <v>0</v>
      </c>
      <c r="J42" s="170">
        <f>'13'!J42</f>
        <v>0</v>
      </c>
      <c r="K42" s="310">
        <f>'13'!K42</f>
        <v>0</v>
      </c>
      <c r="L42" s="135"/>
      <c r="M42" s="307" t="str">
        <f>'13'!M42</f>
        <v>WR</v>
      </c>
      <c r="N42" s="309">
        <f>'13'!N42</f>
        <v>0</v>
      </c>
      <c r="O42" s="309">
        <f>'13'!O42</f>
        <v>0</v>
      </c>
      <c r="P42" s="170">
        <f>'13'!P42</f>
        <v>0</v>
      </c>
      <c r="Q42" s="310">
        <f>'13'!Q42</f>
        <v>0</v>
      </c>
    </row>
    <row r="43" spans="1:17" x14ac:dyDescent="0.3">
      <c r="A43" s="307" t="str">
        <f>'13'!A43</f>
        <v>WR</v>
      </c>
      <c r="B43" s="307">
        <f>'13'!B43</f>
        <v>5.5</v>
      </c>
      <c r="C43" s="307" t="str">
        <f>'13'!C43</f>
        <v>67.B</v>
      </c>
      <c r="D43" s="313">
        <f>'13'!D43</f>
        <v>144</v>
      </c>
      <c r="E43" s="308">
        <f>'13'!E43</f>
        <v>304535</v>
      </c>
      <c r="F43" s="135"/>
      <c r="G43" s="307" t="str">
        <f>'13'!G43</f>
        <v>WR</v>
      </c>
      <c r="H43" s="309">
        <f>'13'!H43</f>
        <v>0</v>
      </c>
      <c r="I43" s="309">
        <f>'13'!I43</f>
        <v>0</v>
      </c>
      <c r="J43" s="170">
        <f>'13'!J43</f>
        <v>0</v>
      </c>
      <c r="K43" s="310">
        <f>'13'!K43</f>
        <v>0</v>
      </c>
      <c r="L43" s="135"/>
      <c r="M43" s="307" t="str">
        <f>'13'!M43</f>
        <v>WR</v>
      </c>
      <c r="N43" s="309">
        <f>'13'!N43</f>
        <v>0</v>
      </c>
      <c r="O43" s="309">
        <f>'13'!O43</f>
        <v>0</v>
      </c>
      <c r="P43" s="170">
        <f>'13'!P43</f>
        <v>0</v>
      </c>
      <c r="Q43" s="310">
        <f>'13'!Q43</f>
        <v>0</v>
      </c>
    </row>
    <row r="44" spans="1:17" x14ac:dyDescent="0.3">
      <c r="A44" s="307" t="str">
        <f>'13'!A44</f>
        <v>BIC</v>
      </c>
      <c r="B44" s="307" t="str">
        <f>'13'!B44</f>
        <v>P.10</v>
      </c>
      <c r="C44" s="307" t="str">
        <f>'13'!C44</f>
        <v>BjTPG280</v>
      </c>
      <c r="D44" s="313">
        <f>'13'!D44</f>
        <v>144</v>
      </c>
      <c r="E44" s="308">
        <f>'13'!E44</f>
        <v>299930</v>
      </c>
      <c r="F44" s="135"/>
      <c r="G44" s="307" t="str">
        <f>'13'!G44</f>
        <v>WR</v>
      </c>
      <c r="H44" s="309">
        <f>'13'!H44</f>
        <v>0</v>
      </c>
      <c r="I44" s="309">
        <f>'13'!I44</f>
        <v>0</v>
      </c>
      <c r="J44" s="170">
        <f>'13'!J44</f>
        <v>0</v>
      </c>
      <c r="K44" s="310">
        <f>'13'!K44</f>
        <v>0</v>
      </c>
      <c r="L44" s="135"/>
      <c r="M44" s="307" t="str">
        <f>'13'!M44</f>
        <v>WR</v>
      </c>
      <c r="N44" s="309">
        <f>'13'!N44</f>
        <v>0</v>
      </c>
      <c r="O44" s="309">
        <f>'13'!O44</f>
        <v>0</v>
      </c>
      <c r="P44" s="170">
        <f>'13'!P44</f>
        <v>0</v>
      </c>
      <c r="Q44" s="310">
        <f>'13'!Q44</f>
        <v>0</v>
      </c>
    </row>
    <row r="45" spans="1:17" x14ac:dyDescent="0.3">
      <c r="A45" s="307" t="str">
        <f>'13'!A45</f>
        <v>BIC</v>
      </c>
      <c r="B45" s="307" t="str">
        <f>'13'!B45</f>
        <v>S.6</v>
      </c>
      <c r="C45" s="307" t="str">
        <f>'13'!C45</f>
        <v>BjTSG420</v>
      </c>
      <c r="D45" s="313">
        <f>'13'!D45</f>
        <v>48</v>
      </c>
      <c r="E45" s="308">
        <f>'13'!E45</f>
        <v>98404</v>
      </c>
      <c r="F45" s="135"/>
      <c r="G45" s="307" t="str">
        <f>'13'!G45</f>
        <v>WR</v>
      </c>
      <c r="H45" s="309">
        <f>'13'!H45</f>
        <v>0</v>
      </c>
      <c r="I45" s="309">
        <f>'13'!I45</f>
        <v>0</v>
      </c>
      <c r="J45" s="170">
        <f>'13'!J45</f>
        <v>0</v>
      </c>
      <c r="K45" s="310">
        <f>'13'!K45</f>
        <v>0</v>
      </c>
      <c r="L45" s="135"/>
      <c r="M45" s="307" t="str">
        <f>'13'!M45</f>
        <v>WR</v>
      </c>
      <c r="N45" s="309">
        <f>'13'!N45</f>
        <v>0</v>
      </c>
      <c r="O45" s="309">
        <f>'13'!O45</f>
        <v>0</v>
      </c>
      <c r="P45" s="170">
        <f>'13'!P45</f>
        <v>0</v>
      </c>
      <c r="Q45" s="310">
        <f>'13'!Q45</f>
        <v>0</v>
      </c>
    </row>
    <row r="46" spans="1:17" x14ac:dyDescent="0.3">
      <c r="A46" s="307" t="str">
        <f>'13'!A46</f>
        <v>WR</v>
      </c>
      <c r="B46" s="307">
        <f>'13'!B46</f>
        <v>17</v>
      </c>
      <c r="C46" s="307">
        <f>'13'!C46</f>
        <v>8</v>
      </c>
      <c r="D46" s="313">
        <f>'13'!D46</f>
        <v>91</v>
      </c>
      <c r="E46" s="308">
        <f>'13'!E46</f>
        <v>188048</v>
      </c>
      <c r="F46" s="135"/>
      <c r="G46" s="307" t="str">
        <f>'13'!G46</f>
        <v>WR</v>
      </c>
      <c r="H46" s="309">
        <f>'13'!H46</f>
        <v>0</v>
      </c>
      <c r="I46" s="309">
        <f>'13'!I46</f>
        <v>0</v>
      </c>
      <c r="J46" s="170">
        <f>'13'!J46</f>
        <v>0</v>
      </c>
      <c r="K46" s="310">
        <f>'13'!K46</f>
        <v>0</v>
      </c>
      <c r="L46" s="135"/>
      <c r="M46" s="307" t="str">
        <f>'13'!M46</f>
        <v>WR</v>
      </c>
      <c r="N46" s="309">
        <f>'13'!N46</f>
        <v>0</v>
      </c>
      <c r="O46" s="309">
        <f>'13'!O46</f>
        <v>0</v>
      </c>
      <c r="P46" s="170">
        <f>'13'!P46</f>
        <v>0</v>
      </c>
      <c r="Q46" s="310">
        <f>'13'!Q46</f>
        <v>0</v>
      </c>
    </row>
    <row r="47" spans="1:17" x14ac:dyDescent="0.3">
      <c r="A47" s="307" t="str">
        <f>'13'!A47</f>
        <v>WR</v>
      </c>
      <c r="B47" s="307">
        <f>'13'!B47</f>
        <v>8.5</v>
      </c>
      <c r="C47" s="307">
        <f>'13'!C47</f>
        <v>15</v>
      </c>
      <c r="D47" s="313">
        <f>'13'!D47</f>
        <v>432</v>
      </c>
      <c r="E47" s="308">
        <f>'13'!E47</f>
        <v>897401</v>
      </c>
      <c r="F47" s="135"/>
      <c r="G47" s="307" t="str">
        <f>'13'!G47</f>
        <v>WR</v>
      </c>
      <c r="H47" s="309">
        <f>'13'!H47</f>
        <v>0</v>
      </c>
      <c r="I47" s="309">
        <f>'13'!I47</f>
        <v>0</v>
      </c>
      <c r="J47" s="170">
        <f>'13'!J47</f>
        <v>0</v>
      </c>
      <c r="K47" s="310">
        <f>'13'!K47</f>
        <v>0</v>
      </c>
      <c r="L47" s="135"/>
      <c r="M47" s="307" t="str">
        <f>'13'!M47</f>
        <v>WR</v>
      </c>
      <c r="N47" s="309">
        <f>'13'!N47</f>
        <v>0</v>
      </c>
      <c r="O47" s="309">
        <f>'13'!O47</f>
        <v>0</v>
      </c>
      <c r="P47" s="170">
        <f>'13'!P47</f>
        <v>0</v>
      </c>
      <c r="Q47" s="310">
        <f>'13'!Q47</f>
        <v>0</v>
      </c>
    </row>
    <row r="48" spans="1:17" x14ac:dyDescent="0.3">
      <c r="A48" s="307" t="str">
        <f>'13'!A48</f>
        <v>WR</v>
      </c>
      <c r="B48" s="307">
        <f>'13'!B48</f>
        <v>6.5</v>
      </c>
      <c r="C48" s="307">
        <f>'13'!C48</f>
        <v>8</v>
      </c>
      <c r="D48" s="313">
        <f>'13'!D48</f>
        <v>144</v>
      </c>
      <c r="E48" s="308">
        <f>'13'!E48</f>
        <v>300807</v>
      </c>
      <c r="F48" s="135"/>
      <c r="G48" s="307" t="str">
        <f>'13'!G48</f>
        <v>WR</v>
      </c>
      <c r="H48" s="309">
        <f>'13'!H48</f>
        <v>0</v>
      </c>
      <c r="I48" s="309">
        <f>'13'!I48</f>
        <v>0</v>
      </c>
      <c r="J48" s="170">
        <f>'13'!J48</f>
        <v>0</v>
      </c>
      <c r="K48" s="310">
        <f>'13'!K48</f>
        <v>0</v>
      </c>
      <c r="L48" s="135"/>
      <c r="M48" s="307" t="str">
        <f>'13'!M48</f>
        <v>WR</v>
      </c>
      <c r="N48" s="309">
        <f>'13'!N48</f>
        <v>0</v>
      </c>
      <c r="O48" s="309">
        <f>'13'!O48</f>
        <v>0</v>
      </c>
      <c r="P48" s="170">
        <f>'13'!P48</f>
        <v>0</v>
      </c>
      <c r="Q48" s="310">
        <f>'13'!Q48</f>
        <v>0</v>
      </c>
    </row>
    <row r="49" spans="1:23" x14ac:dyDescent="0.3">
      <c r="A49" s="307" t="str">
        <f>'13'!A49</f>
        <v>WR</v>
      </c>
      <c r="B49" s="307">
        <f>'13'!B49</f>
        <v>6.5</v>
      </c>
      <c r="C49" s="307">
        <f>'13'!C49</f>
        <v>15</v>
      </c>
      <c r="D49" s="313">
        <f>'13'!D49+J7+J8+J9+J10+J11</f>
        <v>119</v>
      </c>
      <c r="E49" s="313">
        <f>'13'!E49+K7+K8+K9+K10+K11</f>
        <v>247182</v>
      </c>
      <c r="F49" s="3"/>
      <c r="G49" s="307" t="str">
        <f>'13'!G49</f>
        <v>WR</v>
      </c>
      <c r="H49" s="309">
        <f>'13'!H49</f>
        <v>0</v>
      </c>
      <c r="I49" s="309">
        <f>'13'!I49</f>
        <v>0</v>
      </c>
      <c r="J49" s="170">
        <f>'13'!J49</f>
        <v>0</v>
      </c>
      <c r="K49" s="310">
        <f>'13'!K49</f>
        <v>0</v>
      </c>
      <c r="L49" s="3"/>
      <c r="M49" s="307" t="str">
        <f>'13'!M49</f>
        <v>WR</v>
      </c>
      <c r="N49" s="309">
        <f>'13'!N49</f>
        <v>0</v>
      </c>
      <c r="O49" s="309">
        <f>'13'!O49</f>
        <v>0</v>
      </c>
      <c r="P49" s="170">
        <f>'13'!P49</f>
        <v>0</v>
      </c>
      <c r="Q49" s="310">
        <f>'13'!Q49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46036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40">
        <v>26</v>
      </c>
      <c r="C55" s="80"/>
      <c r="D55" s="544"/>
      <c r="E55" s="545"/>
      <c r="F55" s="545"/>
      <c r="G55" s="545"/>
      <c r="H55" s="545"/>
      <c r="I55" s="546"/>
      <c r="J55" s="97"/>
      <c r="K55" s="391"/>
      <c r="L55" s="466" t="s">
        <v>26</v>
      </c>
      <c r="M55" s="467"/>
      <c r="N55" s="467"/>
      <c r="O55" s="392" t="s">
        <v>13</v>
      </c>
      <c r="P55" s="393">
        <f>C16</f>
        <v>1035786</v>
      </c>
      <c r="Q55" s="394">
        <f>C26</f>
        <v>9311301</v>
      </c>
      <c r="R55" s="395"/>
      <c r="S55" s="388">
        <f>DAY(A52)</f>
        <v>14</v>
      </c>
      <c r="T55" s="383">
        <f>S55-U55</f>
        <v>9</v>
      </c>
      <c r="U55" s="383">
        <f>'13'!U55</f>
        <v>5</v>
      </c>
    </row>
    <row r="56" spans="1:23" x14ac:dyDescent="0.3">
      <c r="A56" s="95" t="s">
        <v>37</v>
      </c>
      <c r="B56" s="441">
        <v>27</v>
      </c>
      <c r="C56" s="82"/>
      <c r="D56" s="552"/>
      <c r="E56" s="553"/>
      <c r="F56" s="553"/>
      <c r="G56" s="553"/>
      <c r="H56" s="553"/>
      <c r="I56" s="55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1016942</v>
      </c>
      <c r="Q56" s="398">
        <f>K27</f>
        <v>9158055</v>
      </c>
      <c r="R56" s="399"/>
    </row>
    <row r="57" spans="1:23" x14ac:dyDescent="0.3">
      <c r="A57" s="95" t="s">
        <v>39</v>
      </c>
      <c r="B57" s="441">
        <v>17</v>
      </c>
      <c r="C57" s="82">
        <v>1</v>
      </c>
      <c r="D57" s="552" t="s">
        <v>330</v>
      </c>
      <c r="E57" s="553"/>
      <c r="F57" s="553"/>
      <c r="G57" s="553"/>
      <c r="H57" s="553"/>
      <c r="I57" s="553"/>
      <c r="J57" s="97">
        <v>25</v>
      </c>
      <c r="K57" s="391"/>
      <c r="L57" s="468" t="s">
        <v>19</v>
      </c>
      <c r="M57" s="469"/>
      <c r="N57" s="469"/>
      <c r="O57" s="400" t="s">
        <v>14</v>
      </c>
      <c r="P57" s="401">
        <f>L17</f>
        <v>0.98180705280820557</v>
      </c>
      <c r="Q57" s="430">
        <f>L27</f>
        <v>0.98354193468775197</v>
      </c>
      <c r="R57" s="403">
        <v>0.98499999999999999</v>
      </c>
    </row>
    <row r="58" spans="1:23" x14ac:dyDescent="0.3">
      <c r="A58" s="95" t="s">
        <v>41</v>
      </c>
      <c r="B58" s="441">
        <v>26</v>
      </c>
      <c r="C58" s="82"/>
      <c r="D58" s="552"/>
      <c r="E58" s="553"/>
      <c r="F58" s="553"/>
      <c r="G58" s="553"/>
      <c r="H58" s="553"/>
      <c r="I58" s="55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4200</v>
      </c>
      <c r="Q58" s="394">
        <f>E26</f>
        <v>33785</v>
      </c>
      <c r="R58" s="395"/>
    </row>
    <row r="59" spans="1:23" x14ac:dyDescent="0.3">
      <c r="A59" s="95" t="s">
        <v>43</v>
      </c>
      <c r="B59" s="441">
        <v>22</v>
      </c>
      <c r="C59" s="82"/>
      <c r="D59" s="552" t="s">
        <v>331</v>
      </c>
      <c r="E59" s="553"/>
      <c r="F59" s="553"/>
      <c r="G59" s="553"/>
      <c r="H59" s="553"/>
      <c r="I59" s="553"/>
      <c r="J59" s="97">
        <v>6</v>
      </c>
      <c r="K59" s="391"/>
      <c r="L59" s="509"/>
      <c r="M59" s="510"/>
      <c r="N59" s="510"/>
      <c r="O59" s="400" t="s">
        <v>14</v>
      </c>
      <c r="P59" s="401">
        <f>F16</f>
        <v>4.0548916475024767E-3</v>
      </c>
      <c r="Q59" s="430">
        <f>F26</f>
        <v>3.6283866239529795E-3</v>
      </c>
      <c r="R59" s="404">
        <v>1.5E-3</v>
      </c>
    </row>
    <row r="60" spans="1:23" x14ac:dyDescent="0.3">
      <c r="A60" s="95" t="s">
        <v>45</v>
      </c>
      <c r="B60" s="441">
        <v>0</v>
      </c>
      <c r="C60" s="82"/>
      <c r="D60" s="552" t="s">
        <v>331</v>
      </c>
      <c r="E60" s="553"/>
      <c r="F60" s="553"/>
      <c r="G60" s="553"/>
      <c r="H60" s="553"/>
      <c r="I60" s="553"/>
      <c r="J60" s="97">
        <v>60</v>
      </c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</f>
        <v>20160</v>
      </c>
      <c r="R60" s="406"/>
    </row>
    <row r="61" spans="1:23" x14ac:dyDescent="0.3">
      <c r="A61" s="95" t="s">
        <v>47</v>
      </c>
      <c r="B61" s="441">
        <v>3</v>
      </c>
      <c r="C61" s="82"/>
      <c r="D61" s="552" t="s">
        <v>332</v>
      </c>
      <c r="E61" s="553"/>
      <c r="F61" s="553"/>
      <c r="G61" s="553"/>
      <c r="H61" s="553"/>
      <c r="I61" s="553"/>
      <c r="J61" s="97">
        <v>54</v>
      </c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</f>
        <v>7200</v>
      </c>
      <c r="R61" s="395"/>
    </row>
    <row r="62" spans="1:23" x14ac:dyDescent="0.3">
      <c r="A62" s="95" t="s">
        <v>49</v>
      </c>
      <c r="B62" s="441">
        <v>18</v>
      </c>
      <c r="C62" s="82"/>
      <c r="D62" s="552" t="s">
        <v>333</v>
      </c>
      <c r="E62" s="553"/>
      <c r="F62" s="553"/>
      <c r="G62" s="553"/>
      <c r="H62" s="553"/>
      <c r="I62" s="553"/>
      <c r="J62" s="97">
        <v>17</v>
      </c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</f>
        <v>7200</v>
      </c>
      <c r="R62" s="399"/>
    </row>
    <row r="63" spans="1:23" x14ac:dyDescent="0.3">
      <c r="A63" s="95" t="s">
        <v>51</v>
      </c>
      <c r="B63" s="441">
        <v>20</v>
      </c>
      <c r="C63" s="82"/>
      <c r="D63" s="552" t="s">
        <v>334</v>
      </c>
      <c r="E63" s="553"/>
      <c r="F63" s="553"/>
      <c r="G63" s="553"/>
      <c r="H63" s="553"/>
      <c r="I63" s="553"/>
      <c r="J63" s="97">
        <v>17</v>
      </c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</f>
        <v>0</v>
      </c>
      <c r="R63" s="399"/>
    </row>
    <row r="64" spans="1:23" x14ac:dyDescent="0.3">
      <c r="A64" s="95" t="s">
        <v>53</v>
      </c>
      <c r="B64" s="441">
        <v>18</v>
      </c>
      <c r="C64" s="82"/>
      <c r="D64" s="552" t="s">
        <v>321</v>
      </c>
      <c r="E64" s="553"/>
      <c r="F64" s="553"/>
      <c r="G64" s="553"/>
      <c r="H64" s="553"/>
      <c r="I64" s="553"/>
      <c r="J64" s="97">
        <v>20</v>
      </c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41">
        <v>13</v>
      </c>
      <c r="C65" s="82"/>
      <c r="D65" s="552" t="s">
        <v>335</v>
      </c>
      <c r="E65" s="553"/>
      <c r="F65" s="553"/>
      <c r="G65" s="553"/>
      <c r="H65" s="553"/>
      <c r="I65" s="553"/>
      <c r="J65" s="97">
        <v>27</v>
      </c>
      <c r="K65" s="391"/>
      <c r="L65" s="466" t="s">
        <v>46</v>
      </c>
      <c r="M65" s="467"/>
      <c r="N65" s="467"/>
      <c r="O65" s="106" t="s">
        <v>28</v>
      </c>
      <c r="P65" s="126">
        <f>SUM(P66:P68)</f>
        <v>213</v>
      </c>
      <c r="Q65" s="100">
        <f>'1'!Q65+'2'!P65+'3'!P65+'4'!P65+'5'!P65+'6'!P65+'7'!P65+'8'!P65+'9'!P65+'10'!P65+'11'!P65+'12'!P65+'13'!P65+'14'!P65</f>
        <v>1606</v>
      </c>
      <c r="R65" s="395"/>
      <c r="S65" s="171" t="s">
        <v>56</v>
      </c>
      <c r="T65" s="172"/>
      <c r="U65" s="173" t="s">
        <v>151</v>
      </c>
      <c r="V65" s="174"/>
      <c r="W65" s="181">
        <f>+'13'!W65+'14'!V65</f>
        <v>8</v>
      </c>
    </row>
    <row r="66" spans="1:23" x14ac:dyDescent="0.3">
      <c r="A66" s="95" t="s">
        <v>57</v>
      </c>
      <c r="B66" s="441">
        <v>9</v>
      </c>
      <c r="C66" s="82"/>
      <c r="D66" s="552" t="s">
        <v>336</v>
      </c>
      <c r="E66" s="553"/>
      <c r="F66" s="553"/>
      <c r="G66" s="553"/>
      <c r="H66" s="553"/>
      <c r="I66" s="553"/>
      <c r="J66" s="97">
        <v>38</v>
      </c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</f>
        <v>0</v>
      </c>
      <c r="R66" s="399"/>
      <c r="S66" s="377" t="s">
        <v>58</v>
      </c>
      <c r="T66" s="175"/>
      <c r="U66" s="176" t="s">
        <v>151</v>
      </c>
      <c r="V66" s="177">
        <v>1</v>
      </c>
      <c r="W66" s="182">
        <f>+'13'!W66+'14'!V66</f>
        <v>6</v>
      </c>
    </row>
    <row r="67" spans="1:23" x14ac:dyDescent="0.3">
      <c r="A67" s="95" t="s">
        <v>59</v>
      </c>
      <c r="B67" s="441">
        <v>27</v>
      </c>
      <c r="C67" s="82"/>
      <c r="D67" s="552"/>
      <c r="E67" s="553"/>
      <c r="F67" s="553"/>
      <c r="G67" s="553"/>
      <c r="H67" s="553"/>
      <c r="I67" s="553"/>
      <c r="J67" s="97"/>
      <c r="K67" s="391"/>
      <c r="L67" s="502" t="s">
        <v>50</v>
      </c>
      <c r="M67" s="498"/>
      <c r="N67" s="498"/>
      <c r="O67" s="408" t="s">
        <v>28</v>
      </c>
      <c r="P67" s="138">
        <v>181</v>
      </c>
      <c r="Q67" s="99">
        <f>'1'!Q67+'2'!P67+'3'!P67+'4'!P67+'5'!P67+'6'!P67+'7'!P67+'8'!P67+'9'!P67+'10'!P67+'11'!P67+'12'!P67+'13'!P67+'14'!P67</f>
        <v>1399</v>
      </c>
      <c r="R67" s="399"/>
      <c r="S67" s="377" t="s">
        <v>60</v>
      </c>
      <c r="T67" s="175"/>
      <c r="U67" s="176" t="s">
        <v>151</v>
      </c>
      <c r="V67" s="177"/>
      <c r="W67" s="182">
        <f>+'13'!W67+'14'!V67</f>
        <v>0</v>
      </c>
    </row>
    <row r="68" spans="1:23" x14ac:dyDescent="0.3">
      <c r="A68" s="95" t="s">
        <v>61</v>
      </c>
      <c r="B68" s="441">
        <v>27</v>
      </c>
      <c r="C68" s="82"/>
      <c r="D68" s="552"/>
      <c r="E68" s="553"/>
      <c r="F68" s="553"/>
      <c r="G68" s="553"/>
      <c r="H68" s="553"/>
      <c r="I68" s="553"/>
      <c r="J68" s="97"/>
      <c r="K68" s="391"/>
      <c r="L68" s="468" t="s">
        <v>52</v>
      </c>
      <c r="M68" s="469"/>
      <c r="N68" s="469"/>
      <c r="O68" s="85" t="s">
        <v>28</v>
      </c>
      <c r="P68" s="141">
        <v>32</v>
      </c>
      <c r="Q68" s="86">
        <f>'1'!Q68+'2'!P68+'3'!P68+'4'!P68+'5'!P68+'6'!P68+'7'!P68+'8'!P68+'9'!P68+'10'!P68+'11'!P68+'12'!P68+'13'!P68+'14'!P68</f>
        <v>207</v>
      </c>
      <c r="R68" s="409"/>
      <c r="S68" s="377" t="s">
        <v>62</v>
      </c>
      <c r="T68" s="175"/>
      <c r="U68" s="176" t="s">
        <v>151</v>
      </c>
      <c r="V68" s="177">
        <v>1</v>
      </c>
      <c r="W68" s="182">
        <f>+'13'!W68+'14'!V68</f>
        <v>2</v>
      </c>
    </row>
    <row r="69" spans="1:23" x14ac:dyDescent="0.3">
      <c r="A69" s="95" t="s">
        <v>63</v>
      </c>
      <c r="B69" s="441">
        <v>26</v>
      </c>
      <c r="C69" s="82"/>
      <c r="D69" s="552"/>
      <c r="E69" s="553"/>
      <c r="F69" s="553"/>
      <c r="G69" s="553"/>
      <c r="H69" s="553"/>
      <c r="I69" s="553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117</v>
      </c>
      <c r="Q69" s="100">
        <f>'1'!Q69+'2'!P69+'3'!P69+'4'!P69+'5'!P69+'6'!P69+'7'!P69+'8'!P69+'9'!P69+'10'!P69+'11'!P69+'12'!P69+'13'!P69+'14'!P69</f>
        <v>729</v>
      </c>
      <c r="R69" s="395"/>
      <c r="S69" s="376" t="s">
        <v>64</v>
      </c>
      <c r="T69" s="178"/>
      <c r="U69" s="179" t="s">
        <v>151</v>
      </c>
      <c r="V69" s="180"/>
      <c r="W69" s="183">
        <f>+'13'!W69+'14'!V69</f>
        <v>0</v>
      </c>
    </row>
    <row r="70" spans="1:23" x14ac:dyDescent="0.3">
      <c r="A70" s="95" t="s">
        <v>65</v>
      </c>
      <c r="B70" s="441">
        <v>27</v>
      </c>
      <c r="C70" s="82"/>
      <c r="D70" s="552" t="s">
        <v>337</v>
      </c>
      <c r="E70" s="553"/>
      <c r="F70" s="553"/>
      <c r="G70" s="553"/>
      <c r="H70" s="553"/>
      <c r="I70" s="553"/>
      <c r="J70" s="97">
        <v>1</v>
      </c>
      <c r="K70" s="407"/>
      <c r="L70" s="497" t="s">
        <v>56</v>
      </c>
      <c r="M70" s="498"/>
      <c r="N70" s="498"/>
      <c r="O70" s="408" t="s">
        <v>28</v>
      </c>
      <c r="P70" s="138">
        <v>71</v>
      </c>
      <c r="Q70" s="429">
        <f>'1'!Q70+'2'!P70+'3'!P70+'4'!P70+'5'!P70+'6'!P70+'7'!P70+'8'!P70+'9'!P70+'10'!P70+'11'!P70+'12'!P70+'13'!P70+'14'!P70</f>
        <v>378</v>
      </c>
      <c r="R70" s="399">
        <f>T55*30</f>
        <v>270</v>
      </c>
    </row>
    <row r="71" spans="1:23" x14ac:dyDescent="0.3">
      <c r="A71" s="95" t="s">
        <v>67</v>
      </c>
      <c r="B71" s="441">
        <v>28</v>
      </c>
      <c r="C71" s="82"/>
      <c r="D71" s="552"/>
      <c r="E71" s="553"/>
      <c r="F71" s="553"/>
      <c r="G71" s="553"/>
      <c r="H71" s="553"/>
      <c r="I71" s="553"/>
      <c r="J71" s="97"/>
      <c r="K71" s="391"/>
      <c r="L71" s="497" t="s">
        <v>58</v>
      </c>
      <c r="M71" s="498"/>
      <c r="N71" s="498"/>
      <c r="O71" s="408" t="s">
        <v>28</v>
      </c>
      <c r="P71" s="138">
        <v>21</v>
      </c>
      <c r="Q71" s="429">
        <f>'1'!Q71+'2'!P71+'3'!P71+'4'!P71+'5'!P71+'6'!P71+'7'!P71+'8'!P71+'9'!P71+'10'!P71+'11'!P71+'12'!P71+'13'!P71+'14'!P71</f>
        <v>283</v>
      </c>
      <c r="R71" s="399">
        <f>T55*25</f>
        <v>225</v>
      </c>
    </row>
    <row r="72" spans="1:23" x14ac:dyDescent="0.3">
      <c r="A72" s="95" t="s">
        <v>69</v>
      </c>
      <c r="B72" s="441">
        <v>25</v>
      </c>
      <c r="C72" s="82"/>
      <c r="D72" s="552" t="s">
        <v>285</v>
      </c>
      <c r="E72" s="553"/>
      <c r="F72" s="553"/>
      <c r="G72" s="553"/>
      <c r="H72" s="553"/>
      <c r="I72" s="553"/>
      <c r="J72" s="97">
        <v>3</v>
      </c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</f>
        <v>19</v>
      </c>
      <c r="R72" s="399">
        <f>T55*10</f>
        <v>90</v>
      </c>
    </row>
    <row r="73" spans="1:23" x14ac:dyDescent="0.3">
      <c r="A73" s="95" t="s">
        <v>71</v>
      </c>
      <c r="B73" s="441">
        <v>28</v>
      </c>
      <c r="C73" s="82"/>
      <c r="D73" s="552"/>
      <c r="E73" s="553"/>
      <c r="F73" s="553"/>
      <c r="G73" s="553"/>
      <c r="H73" s="553"/>
      <c r="I73" s="553"/>
      <c r="J73" s="97"/>
      <c r="K73" s="391"/>
      <c r="L73" s="497" t="s">
        <v>62</v>
      </c>
      <c r="M73" s="498"/>
      <c r="N73" s="498"/>
      <c r="O73" s="408" t="s">
        <v>28</v>
      </c>
      <c r="P73" s="138">
        <v>25</v>
      </c>
      <c r="Q73" s="99">
        <f>'1'!Q73+'2'!P73+'3'!P73+'4'!P73+'5'!P73+'6'!P73+'7'!P73+'8'!P73+'9'!P73+'10'!P73+'11'!P73+'12'!P73+'13'!P73+'14'!P73</f>
        <v>49</v>
      </c>
      <c r="R73" s="399"/>
    </row>
    <row r="74" spans="1:23" x14ac:dyDescent="0.3">
      <c r="A74" s="95" t="s">
        <v>73</v>
      </c>
      <c r="B74" s="441">
        <v>27</v>
      </c>
      <c r="C74" s="82"/>
      <c r="D74" s="552"/>
      <c r="E74" s="553"/>
      <c r="F74" s="553"/>
      <c r="G74" s="553"/>
      <c r="H74" s="553"/>
      <c r="I74" s="553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</f>
        <v>0</v>
      </c>
      <c r="R74" s="409"/>
    </row>
    <row r="75" spans="1:23" x14ac:dyDescent="0.3">
      <c r="A75" s="95" t="s">
        <v>75</v>
      </c>
      <c r="B75" s="441">
        <v>27</v>
      </c>
      <c r="C75" s="82"/>
      <c r="D75" s="552"/>
      <c r="E75" s="553"/>
      <c r="F75" s="553"/>
      <c r="G75" s="553"/>
      <c r="H75" s="553"/>
      <c r="I75" s="55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</f>
        <v>12960</v>
      </c>
      <c r="R75" s="406"/>
    </row>
    <row r="76" spans="1:23" x14ac:dyDescent="0.3">
      <c r="A76" s="95" t="s">
        <v>77</v>
      </c>
      <c r="B76" s="441">
        <v>11</v>
      </c>
      <c r="C76" s="82"/>
      <c r="D76" s="552" t="s">
        <v>338</v>
      </c>
      <c r="E76" s="553"/>
      <c r="F76" s="553"/>
      <c r="G76" s="553"/>
      <c r="H76" s="553"/>
      <c r="I76" s="553"/>
      <c r="J76" s="97">
        <v>33</v>
      </c>
      <c r="K76" s="391"/>
      <c r="L76" s="489" t="s">
        <v>68</v>
      </c>
      <c r="M76" s="490"/>
      <c r="N76" s="490"/>
      <c r="O76" s="405" t="s">
        <v>28</v>
      </c>
      <c r="P76" s="94">
        <f>P65+P69</f>
        <v>330</v>
      </c>
      <c r="Q76" s="94">
        <f>'1'!Q76+'2'!P76+'3'!P76+'4'!P76+'5'!P76+'6'!P76+'7'!P76+'8'!P76+'9'!P76+'10'!P76+'11'!P76+'12'!P76+'13'!P76+'14'!P76</f>
        <v>2335</v>
      </c>
      <c r="R76" s="406"/>
    </row>
    <row r="77" spans="1:23" x14ac:dyDescent="0.3">
      <c r="A77" s="95" t="s">
        <v>79</v>
      </c>
      <c r="B77" s="441">
        <v>27</v>
      </c>
      <c r="C77" s="82"/>
      <c r="D77" s="552"/>
      <c r="E77" s="553"/>
      <c r="F77" s="553"/>
      <c r="G77" s="553"/>
      <c r="H77" s="553"/>
      <c r="I77" s="553"/>
      <c r="J77" s="97"/>
      <c r="K77" s="391"/>
      <c r="L77" s="486" t="s">
        <v>70</v>
      </c>
      <c r="M77" s="487"/>
      <c r="N77" s="488"/>
      <c r="O77" s="405" t="s">
        <v>28</v>
      </c>
      <c r="P77" s="142">
        <v>330</v>
      </c>
      <c r="Q77" s="94">
        <f>'1'!Q77+'2'!P77+'3'!P77+'4'!P77+'5'!P77+'6'!P77+'7'!P77+'8'!P77+'9'!P77+'10'!P77+'11'!P77+'12'!P77+'13'!P77+'14'!P77</f>
        <v>2336</v>
      </c>
      <c r="R77" s="406"/>
    </row>
    <row r="78" spans="1:23" x14ac:dyDescent="0.3">
      <c r="A78" s="109" t="s">
        <v>82</v>
      </c>
      <c r="B78" s="442">
        <v>13</v>
      </c>
      <c r="C78" s="443">
        <v>1</v>
      </c>
      <c r="D78" s="552" t="s">
        <v>339</v>
      </c>
      <c r="E78" s="553"/>
      <c r="F78" s="553"/>
      <c r="G78" s="553"/>
      <c r="H78" s="553"/>
      <c r="I78" s="553"/>
      <c r="J78" s="97">
        <v>29</v>
      </c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'1'!Q78+'2'!P78+'3'!P78+'4'!P78+'5'!P78+'6'!P78+'7'!P78+'8'!P78+'9'!P78+'10'!P78+'11'!P78+'12'!P78+'13'!P78+'14'!P78</f>
        <v>1</v>
      </c>
      <c r="R78" s="406"/>
    </row>
    <row r="79" spans="1:23" x14ac:dyDescent="0.3">
      <c r="A79" s="114"/>
      <c r="B79" s="115">
        <f>SUM(B55:B78)</f>
        <v>492</v>
      </c>
      <c r="C79" s="116">
        <f>SUM(C55:C78)</f>
        <v>2</v>
      </c>
      <c r="D79" s="470"/>
      <c r="E79" s="471"/>
      <c r="F79" s="471"/>
      <c r="G79" s="471"/>
      <c r="H79" s="471"/>
      <c r="I79" s="472"/>
      <c r="J79" s="117">
        <f>SUM(J55:J78)</f>
        <v>330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1110</v>
      </c>
      <c r="Q79" s="94">
        <f>'1'!Q79+'2'!P79+'3'!P79+'4'!P79+'5'!P79+'6'!P79+'7'!P79+'8'!P79+'9'!P79+'10'!P79+'11'!P79+'12'!P79+'13'!P79+'14'!P79</f>
        <v>10624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0.77083333333333337</v>
      </c>
      <c r="Q80" s="431">
        <f>Q79/Q75</f>
        <v>0.81975308641975309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0.77083333333333337</v>
      </c>
      <c r="Q81" s="165">
        <f>Q79/Q60</f>
        <v>0.526984126984127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55.988432432432433</v>
      </c>
      <c r="Q82" s="150">
        <f>(C26/1000)/(Q79/60)</f>
        <v>52.586413780120481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43.15775</v>
      </c>
      <c r="Q83" s="113">
        <f>(C26/1000)/(Q75/60)</f>
        <v>43.107875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33395</v>
      </c>
      <c r="Q84" s="100">
        <f>'1'!Q84+'2'!P84+'3'!P84+'4'!P84+'5'!P84+'6'!P84+'7'!P84+'8'!P84+'9'!P84+'10'!P84+'11'!P84+'12'!P84+'13'!P84+'14'!P84</f>
        <v>313409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32.838647631821679</v>
      </c>
      <c r="Q85" s="124">
        <f>Q84/(K27/1000)</f>
        <v>34.222222950178832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181.52</v>
      </c>
      <c r="Q86" s="100">
        <f>'1'!Q86+'2'!P86+'3'!P86+'4'!P86+'5'!P86+'6'!P86+'7'!P86+'8'!P86+'9'!P86+'10'!P86+'11'!P86+'12'!P86+'13'!P86+'14'!P86</f>
        <v>1767.78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180.66940842513446</v>
      </c>
      <c r="Q87" s="124">
        <f>(Q86*1000)/(K26/1000)</f>
        <v>194.1048467907116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90</v>
      </c>
      <c r="Q88" s="100">
        <f>'1'!Q88+'2'!P88+'3'!P88+'4'!P88+'5'!P88+'6'!P88+'7'!P88+'8'!P88+'9'!P88+'10'!P88+'11'!P88+'12'!P88+'13'!P88+'14'!P88</f>
        <v>1187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8.9578265525904047E-2</v>
      </c>
      <c r="Q89" s="124">
        <f>Q88/(K26/1000)</f>
        <v>0.13033434767933491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8" priority="1" operator="lessThan">
      <formula>0.0018</formula>
    </cfRule>
  </conditionalFormatting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46" zoomScaleNormal="100" workbookViewId="0">
      <selection activeCell="R59" sqref="R59"/>
    </sheetView>
  </sheetViews>
  <sheetFormatPr defaultRowHeight="16.5" x14ac:dyDescent="0.3"/>
  <cols>
    <col min="1" max="1" width="8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'14'!A3:Q3+1</f>
        <v>46037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319</v>
      </c>
      <c r="B7" s="15">
        <v>271</v>
      </c>
      <c r="C7" s="15">
        <v>567474</v>
      </c>
      <c r="D7" s="16"/>
      <c r="E7" s="17"/>
      <c r="F7" s="18"/>
      <c r="G7" s="19" t="s">
        <v>1</v>
      </c>
      <c r="H7" s="20">
        <v>7.5</v>
      </c>
      <c r="I7" s="21" t="s">
        <v>318</v>
      </c>
      <c r="J7" s="22">
        <v>271</v>
      </c>
      <c r="K7" s="17">
        <v>561288</v>
      </c>
      <c r="L7" s="23">
        <f t="shared" ref="L7:L16" si="0">K7/C7</f>
        <v>0.98909906004504167</v>
      </c>
      <c r="M7" s="17"/>
      <c r="N7" s="22"/>
      <c r="O7" s="134"/>
      <c r="P7" s="134"/>
      <c r="Q7" s="134"/>
    </row>
    <row r="8" spans="1:17" x14ac:dyDescent="0.3">
      <c r="A8" s="24" t="s">
        <v>236</v>
      </c>
      <c r="B8" s="25">
        <v>293</v>
      </c>
      <c r="C8" s="25">
        <v>620867</v>
      </c>
      <c r="D8" s="26">
        <v>1</v>
      </c>
      <c r="E8" s="27">
        <v>2119</v>
      </c>
      <c r="F8" s="28">
        <f>E8/C8</f>
        <v>3.4129692832764505E-3</v>
      </c>
      <c r="G8" s="29" t="s">
        <v>1</v>
      </c>
      <c r="H8" s="30">
        <v>5.5</v>
      </c>
      <c r="I8" s="31" t="s">
        <v>237</v>
      </c>
      <c r="J8" s="32">
        <v>292</v>
      </c>
      <c r="K8" s="33">
        <v>612456</v>
      </c>
      <c r="L8" s="34">
        <f t="shared" si="0"/>
        <v>0.98645281517619721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564</v>
      </c>
      <c r="C16" s="48">
        <f>SUM(C7:C15)</f>
        <v>1188341</v>
      </c>
      <c r="D16" s="49">
        <f>SUM(D7:D15)</f>
        <v>1</v>
      </c>
      <c r="E16" s="50">
        <f>SUM(E7:E15)</f>
        <v>2119</v>
      </c>
      <c r="F16" s="51">
        <f>E16/C16</f>
        <v>1.7831582012233862E-3</v>
      </c>
      <c r="G16" s="52"/>
      <c r="H16" s="2"/>
      <c r="I16" s="2"/>
      <c r="J16" s="53">
        <f>SUM(J7:J15)</f>
        <v>563</v>
      </c>
      <c r="K16" s="53">
        <f>SUM(K7:K15)</f>
        <v>1173744</v>
      </c>
      <c r="L16" s="51">
        <f t="shared" si="0"/>
        <v>0.98771648878562635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1173744</v>
      </c>
      <c r="L17" s="51">
        <f>K17/C16</f>
        <v>0.98771648878562635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'14'!B22+'15'!B16</f>
        <v>3814</v>
      </c>
      <c r="C22" s="57">
        <f>'14'!C22+'15'!C16</f>
        <v>8064771</v>
      </c>
      <c r="D22" s="57">
        <f>'14'!D22+'15'!D16</f>
        <v>11</v>
      </c>
      <c r="E22" s="57">
        <f>'14'!E22+'15'!E16</f>
        <v>23271</v>
      </c>
      <c r="F22" s="423">
        <f>E22/C22</f>
        <v>2.885512806253271E-3</v>
      </c>
      <c r="G22" s="58" t="s">
        <v>1</v>
      </c>
      <c r="H22" s="59"/>
      <c r="I22" s="59"/>
      <c r="J22" s="57">
        <f>'14'!J22+'15'!J16</f>
        <v>3782</v>
      </c>
      <c r="K22" s="57">
        <f>'14'!K22+'15'!K16</f>
        <v>7901375</v>
      </c>
      <c r="L22" s="60">
        <f>K22/C22</f>
        <v>0.97973953631169441</v>
      </c>
      <c r="M22" s="57">
        <f>'14'!M22+'15'!M16</f>
        <v>21</v>
      </c>
      <c r="N22" s="57">
        <f>'14'!N22+'15'!N16</f>
        <v>43047</v>
      </c>
      <c r="O22" s="135"/>
      <c r="P22" s="135"/>
      <c r="Q22" s="135"/>
    </row>
    <row r="23" spans="1:17" x14ac:dyDescent="0.3">
      <c r="A23" s="521"/>
      <c r="B23" s="61">
        <f>'14'!B23</f>
        <v>1160</v>
      </c>
      <c r="C23" s="61">
        <f>'14'!C23</f>
        <v>2434871</v>
      </c>
      <c r="D23" s="61">
        <f>'14'!D23</f>
        <v>6</v>
      </c>
      <c r="E23" s="61">
        <f>'14'!E23</f>
        <v>12633</v>
      </c>
      <c r="F23" s="424">
        <f>E23/C23</f>
        <v>5.1883652152413823E-3</v>
      </c>
      <c r="G23" s="381" t="s">
        <v>195</v>
      </c>
      <c r="H23" s="59"/>
      <c r="I23" s="59"/>
      <c r="J23" s="61">
        <f>'14'!J23</f>
        <v>1150</v>
      </c>
      <c r="K23" s="61">
        <f>'14'!K23</f>
        <v>2379715</v>
      </c>
      <c r="L23" s="382">
        <f t="shared" ref="L23:L24" si="1">K23/C23</f>
        <v>0.97734746522505711</v>
      </c>
      <c r="M23" s="61">
        <f>'14'!M23</f>
        <v>4</v>
      </c>
      <c r="N23" s="61">
        <f>'14'!N23</f>
        <v>7662</v>
      </c>
      <c r="O23" s="135"/>
      <c r="P23" s="135"/>
      <c r="Q23" s="135"/>
    </row>
    <row r="24" spans="1:17" x14ac:dyDescent="0.3">
      <c r="A24" s="521"/>
      <c r="B24" s="61">
        <f>'14'!B24</f>
        <v>0</v>
      </c>
      <c r="C24" s="61">
        <f>'14'!C24</f>
        <v>0</v>
      </c>
      <c r="D24" s="61">
        <f>'14'!D24</f>
        <v>0</v>
      </c>
      <c r="E24" s="61">
        <f>'14'!E24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'14'!J24</f>
        <v>0</v>
      </c>
      <c r="K24" s="61">
        <f>'14'!K24</f>
        <v>0</v>
      </c>
      <c r="L24" s="382" t="e">
        <f t="shared" si="1"/>
        <v>#DIV/0!</v>
      </c>
      <c r="M24" s="61">
        <f>'14'!M24</f>
        <v>0</v>
      </c>
      <c r="N24" s="61">
        <f>'14'!N24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4974</v>
      </c>
      <c r="C26" s="68">
        <f>SUM(C21:C25)</f>
        <v>10499642</v>
      </c>
      <c r="D26" s="49">
        <f>SUM(D21:D25)</f>
        <v>17</v>
      </c>
      <c r="E26" s="69">
        <f>SUM(E22:E25)</f>
        <v>35904</v>
      </c>
      <c r="F26" s="51">
        <f>E26/C26</f>
        <v>3.4195451616350347E-3</v>
      </c>
      <c r="G26" s="51"/>
      <c r="H26" s="70"/>
      <c r="I26" s="70"/>
      <c r="J26" s="71">
        <f>SUM(J22:J25)</f>
        <v>4932</v>
      </c>
      <c r="K26" s="68">
        <f>SUM(K22:K25)</f>
        <v>10281090</v>
      </c>
      <c r="L26" s="51">
        <f>K26/C26</f>
        <v>0.97918481411080494</v>
      </c>
      <c r="M26" s="71">
        <f>SUM(M22:M25)</f>
        <v>25</v>
      </c>
      <c r="N26" s="54">
        <f>SUM(N22:N25)</f>
        <v>50709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10331799</v>
      </c>
      <c r="L27" s="51">
        <f>K27/C26</f>
        <v>0.98401440734836487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'14'!A30</f>
        <v>BIC</v>
      </c>
      <c r="B30" s="307" t="str">
        <f>'14'!B30</f>
        <v>P.6</v>
      </c>
      <c r="C30" s="307" t="str">
        <f>'14'!C30</f>
        <v>BjTPG280</v>
      </c>
      <c r="D30" s="308">
        <f>'14'!D30</f>
        <v>239</v>
      </c>
      <c r="E30" s="308">
        <f>'14'!E30</f>
        <v>497038</v>
      </c>
      <c r="F30" s="79"/>
      <c r="G30" s="307" t="str">
        <f>'14'!G30</f>
        <v>WR</v>
      </c>
      <c r="H30" s="309">
        <f>'14'!H30</f>
        <v>18</v>
      </c>
      <c r="I30" s="309">
        <f>'14'!I30</f>
        <v>8</v>
      </c>
      <c r="J30" s="170">
        <f>'14'!J30</f>
        <v>68</v>
      </c>
      <c r="K30" s="310">
        <f>'14'!K30</f>
        <v>140152</v>
      </c>
      <c r="L30" s="79"/>
      <c r="M30" s="307" t="str">
        <f>'14'!M30</f>
        <v>WR</v>
      </c>
      <c r="N30" s="309">
        <f>'14'!N30</f>
        <v>0</v>
      </c>
      <c r="O30" s="309">
        <f>'14'!O30</f>
        <v>0</v>
      </c>
      <c r="P30" s="170">
        <f>'14'!P30</f>
        <v>0</v>
      </c>
      <c r="Q30" s="310">
        <f>'14'!Q30</f>
        <v>0</v>
      </c>
    </row>
    <row r="31" spans="1:17" x14ac:dyDescent="0.3">
      <c r="A31" s="307" t="str">
        <f>'14'!A31</f>
        <v>WR</v>
      </c>
      <c r="B31" s="307">
        <f>'14'!B31</f>
        <v>6.5</v>
      </c>
      <c r="C31" s="307">
        <f>'14'!C31</f>
        <v>8</v>
      </c>
      <c r="D31" s="308">
        <f>'14'!D31</f>
        <v>144</v>
      </c>
      <c r="E31" s="308">
        <f>'14'!E31</f>
        <v>301505</v>
      </c>
      <c r="F31" s="135"/>
      <c r="G31" s="307" t="str">
        <f>'14'!G31</f>
        <v>WR</v>
      </c>
      <c r="H31" s="309">
        <f>'14'!H31</f>
        <v>7.5</v>
      </c>
      <c r="I31" s="309">
        <f>'14'!I31</f>
        <v>8</v>
      </c>
      <c r="J31" s="170">
        <f>'14'!J31</f>
        <v>96</v>
      </c>
      <c r="K31" s="310">
        <f>'14'!K31</f>
        <v>200884</v>
      </c>
      <c r="L31" s="135"/>
      <c r="M31" s="307" t="str">
        <f>'14'!M31</f>
        <v>WR</v>
      </c>
      <c r="N31" s="309">
        <f>'14'!N31</f>
        <v>0</v>
      </c>
      <c r="O31" s="309">
        <f>'14'!O31</f>
        <v>0</v>
      </c>
      <c r="P31" s="170">
        <f>'14'!P31</f>
        <v>0</v>
      </c>
      <c r="Q31" s="310">
        <f>'14'!Q31</f>
        <v>0</v>
      </c>
    </row>
    <row r="32" spans="1:17" x14ac:dyDescent="0.3">
      <c r="A32" s="307" t="str">
        <f>'14'!A32</f>
        <v>WR</v>
      </c>
      <c r="B32" s="307">
        <f>'14'!B32</f>
        <v>6.5</v>
      </c>
      <c r="C32" s="307">
        <f>'14'!C32</f>
        <v>10</v>
      </c>
      <c r="D32" s="308">
        <f>'14'!D32</f>
        <v>48</v>
      </c>
      <c r="E32" s="308">
        <f>'14'!E32</f>
        <v>99149</v>
      </c>
      <c r="F32" s="135"/>
      <c r="G32" s="307" t="str">
        <f>'14'!G32</f>
        <v>WR</v>
      </c>
      <c r="H32" s="309">
        <f>'14'!H32</f>
        <v>7.5</v>
      </c>
      <c r="I32" s="309">
        <f>'14'!I32</f>
        <v>15</v>
      </c>
      <c r="J32" s="310">
        <f>'14'!J32+J7</f>
        <v>474</v>
      </c>
      <c r="K32" s="310">
        <f>'14'!K32+K7</f>
        <v>981938</v>
      </c>
      <c r="L32" s="135"/>
      <c r="M32" s="307" t="str">
        <f>'14'!M32</f>
        <v>WR</v>
      </c>
      <c r="N32" s="309">
        <f>'14'!N32</f>
        <v>0</v>
      </c>
      <c r="O32" s="309">
        <f>'14'!O32</f>
        <v>0</v>
      </c>
      <c r="P32" s="170">
        <f>'14'!P32</f>
        <v>0</v>
      </c>
      <c r="Q32" s="310">
        <f>'14'!Q32</f>
        <v>0</v>
      </c>
    </row>
    <row r="33" spans="1:17" x14ac:dyDescent="0.3">
      <c r="A33" s="307" t="str">
        <f>'14'!A33</f>
        <v>WR</v>
      </c>
      <c r="B33" s="307">
        <f>'14'!B33</f>
        <v>6.5</v>
      </c>
      <c r="C33" s="307">
        <f>'14'!C33</f>
        <v>15</v>
      </c>
      <c r="D33" s="308">
        <f>'14'!D33</f>
        <v>6</v>
      </c>
      <c r="E33" s="308">
        <f>'14'!E33</f>
        <v>12304</v>
      </c>
      <c r="F33" s="135"/>
      <c r="G33" s="307" t="str">
        <f>'14'!G33</f>
        <v>WR</v>
      </c>
      <c r="H33" s="309">
        <f>'14'!H33</f>
        <v>0</v>
      </c>
      <c r="I33" s="309">
        <f>'14'!I33</f>
        <v>0</v>
      </c>
      <c r="J33" s="170">
        <f>'14'!J33</f>
        <v>0</v>
      </c>
      <c r="K33" s="310">
        <f>'14'!K33</f>
        <v>0</v>
      </c>
      <c r="L33" s="135"/>
      <c r="M33" s="307" t="str">
        <f>'14'!M33</f>
        <v>WR</v>
      </c>
      <c r="N33" s="309">
        <f>'14'!N33</f>
        <v>0</v>
      </c>
      <c r="O33" s="309">
        <f>'14'!O33</f>
        <v>0</v>
      </c>
      <c r="P33" s="170">
        <f>'14'!P33</f>
        <v>0</v>
      </c>
      <c r="Q33" s="310">
        <f>'14'!Q33</f>
        <v>0</v>
      </c>
    </row>
    <row r="34" spans="1:17" x14ac:dyDescent="0.3">
      <c r="A34" s="307" t="str">
        <f>'14'!A34</f>
        <v>WR</v>
      </c>
      <c r="B34" s="307">
        <f>'14'!B34</f>
        <v>5.5</v>
      </c>
      <c r="C34" s="307">
        <f>'14'!C34</f>
        <v>6</v>
      </c>
      <c r="D34" s="308">
        <f>'14'!D34+J8</f>
        <v>772</v>
      </c>
      <c r="E34" s="308">
        <f>'14'!E34+K8</f>
        <v>1620018</v>
      </c>
      <c r="F34" s="135"/>
      <c r="G34" s="307" t="str">
        <f>'14'!G34</f>
        <v>WR</v>
      </c>
      <c r="H34" s="309">
        <f>'14'!H34</f>
        <v>0</v>
      </c>
      <c r="I34" s="309">
        <f>'14'!I34</f>
        <v>0</v>
      </c>
      <c r="J34" s="170">
        <f>'14'!J34</f>
        <v>0</v>
      </c>
      <c r="K34" s="310">
        <f>'14'!K34</f>
        <v>0</v>
      </c>
      <c r="L34" s="135"/>
      <c r="M34" s="307" t="str">
        <f>'14'!M34</f>
        <v>WR</v>
      </c>
      <c r="N34" s="309">
        <f>'14'!N34</f>
        <v>0</v>
      </c>
      <c r="O34" s="309">
        <f>'14'!O34</f>
        <v>0</v>
      </c>
      <c r="P34" s="170">
        <f>'14'!P34</f>
        <v>0</v>
      </c>
      <c r="Q34" s="310">
        <f>'14'!Q34</f>
        <v>0</v>
      </c>
    </row>
    <row r="35" spans="1:17" x14ac:dyDescent="0.3">
      <c r="A35" s="307" t="str">
        <f>'14'!A35</f>
        <v>WR</v>
      </c>
      <c r="B35" s="307">
        <f>'14'!B35</f>
        <v>5.5</v>
      </c>
      <c r="C35" s="307" t="str">
        <f>'14'!C35</f>
        <v>8.A</v>
      </c>
      <c r="D35" s="308">
        <f>'14'!D35</f>
        <v>75</v>
      </c>
      <c r="E35" s="308">
        <f>'14'!E35</f>
        <v>157414</v>
      </c>
      <c r="F35" s="135"/>
      <c r="G35" s="307" t="str">
        <f>'14'!G35</f>
        <v>WR</v>
      </c>
      <c r="H35" s="309">
        <f>'14'!H35</f>
        <v>0</v>
      </c>
      <c r="I35" s="309">
        <f>'14'!I35</f>
        <v>0</v>
      </c>
      <c r="J35" s="170">
        <f>'14'!J35</f>
        <v>0</v>
      </c>
      <c r="K35" s="310">
        <f>'14'!K35</f>
        <v>0</v>
      </c>
      <c r="L35" s="135"/>
      <c r="M35" s="307" t="str">
        <f>'14'!M35</f>
        <v>WR</v>
      </c>
      <c r="N35" s="309">
        <f>'14'!N35</f>
        <v>0</v>
      </c>
      <c r="O35" s="309">
        <f>'14'!O35</f>
        <v>0</v>
      </c>
      <c r="P35" s="170">
        <f>'14'!P35</f>
        <v>0</v>
      </c>
      <c r="Q35" s="310">
        <f>'14'!Q35</f>
        <v>0</v>
      </c>
    </row>
    <row r="36" spans="1:17" x14ac:dyDescent="0.3">
      <c r="A36" s="307" t="str">
        <f>'14'!A36</f>
        <v>WR</v>
      </c>
      <c r="B36" s="307">
        <f>'14'!B36</f>
        <v>5.5</v>
      </c>
      <c r="C36" s="307" t="str">
        <f>'14'!C36</f>
        <v>22.A</v>
      </c>
      <c r="D36" s="308">
        <f>'14'!D36</f>
        <v>284</v>
      </c>
      <c r="E36" s="308">
        <f>'14'!E36</f>
        <v>593345</v>
      </c>
      <c r="F36" s="135"/>
      <c r="G36" s="307" t="str">
        <f>'14'!G36</f>
        <v>WR</v>
      </c>
      <c r="H36" s="309">
        <f>'14'!H36</f>
        <v>0</v>
      </c>
      <c r="I36" s="309">
        <f>'14'!I36</f>
        <v>0</v>
      </c>
      <c r="J36" s="170">
        <f>'14'!J36</f>
        <v>0</v>
      </c>
      <c r="K36" s="310">
        <f>'14'!K36</f>
        <v>0</v>
      </c>
      <c r="L36" s="135"/>
      <c r="M36" s="307" t="str">
        <f>'14'!M36</f>
        <v>WR</v>
      </c>
      <c r="N36" s="309">
        <f>'14'!N36</f>
        <v>0</v>
      </c>
      <c r="O36" s="309">
        <f>'14'!O36</f>
        <v>0</v>
      </c>
      <c r="P36" s="170">
        <f>'14'!P36</f>
        <v>0</v>
      </c>
      <c r="Q36" s="310">
        <f>'14'!Q36</f>
        <v>0</v>
      </c>
    </row>
    <row r="37" spans="1:17" x14ac:dyDescent="0.3">
      <c r="A37" s="307" t="str">
        <f>'14'!A37</f>
        <v>WR</v>
      </c>
      <c r="B37" s="307">
        <f>'14'!B37</f>
        <v>5.5</v>
      </c>
      <c r="C37" s="307" t="str">
        <f>'14'!C37</f>
        <v>Y.11</v>
      </c>
      <c r="D37" s="308">
        <f>'14'!D37</f>
        <v>526</v>
      </c>
      <c r="E37" s="308">
        <f>'14'!E37</f>
        <v>1102590</v>
      </c>
      <c r="F37" s="135"/>
      <c r="G37" s="307" t="str">
        <f>'14'!G37</f>
        <v>WR</v>
      </c>
      <c r="H37" s="309">
        <f>'14'!H37</f>
        <v>0</v>
      </c>
      <c r="I37" s="309">
        <f>'14'!I37</f>
        <v>0</v>
      </c>
      <c r="J37" s="170">
        <f>'14'!J37</f>
        <v>0</v>
      </c>
      <c r="K37" s="310">
        <f>'14'!K37</f>
        <v>0</v>
      </c>
      <c r="L37" s="135"/>
      <c r="M37" s="307" t="str">
        <f>'14'!M37</f>
        <v>WR</v>
      </c>
      <c r="N37" s="309">
        <f>'14'!N37</f>
        <v>0</v>
      </c>
      <c r="O37" s="309">
        <f>'14'!O37</f>
        <v>0</v>
      </c>
      <c r="P37" s="170">
        <f>'14'!P37</f>
        <v>0</v>
      </c>
      <c r="Q37" s="310">
        <f>'14'!Q37</f>
        <v>0</v>
      </c>
    </row>
    <row r="38" spans="1:17" x14ac:dyDescent="0.3">
      <c r="A38" s="307" t="str">
        <f>'14'!A38</f>
        <v>WR</v>
      </c>
      <c r="B38" s="307">
        <f>'14'!B38</f>
        <v>5.5</v>
      </c>
      <c r="C38" s="307" t="str">
        <f>'14'!C38</f>
        <v>67.A</v>
      </c>
      <c r="D38" s="308">
        <f>'14'!D38</f>
        <v>72</v>
      </c>
      <c r="E38" s="308">
        <f>'14'!E38</f>
        <v>152182</v>
      </c>
      <c r="F38" s="135"/>
      <c r="G38" s="307" t="str">
        <f>'14'!G38</f>
        <v>WR</v>
      </c>
      <c r="H38" s="309">
        <f>'14'!H38</f>
        <v>0</v>
      </c>
      <c r="I38" s="309">
        <f>'14'!I38</f>
        <v>0</v>
      </c>
      <c r="J38" s="170">
        <f>'14'!J38</f>
        <v>0</v>
      </c>
      <c r="K38" s="310">
        <f>'14'!K38</f>
        <v>0</v>
      </c>
      <c r="L38" s="135"/>
      <c r="M38" s="307" t="str">
        <f>'14'!M38</f>
        <v>WR</v>
      </c>
      <c r="N38" s="309">
        <f>'14'!N38</f>
        <v>0</v>
      </c>
      <c r="O38" s="309">
        <f>'14'!O38</f>
        <v>0</v>
      </c>
      <c r="P38" s="170">
        <f>'14'!P38</f>
        <v>0</v>
      </c>
      <c r="Q38" s="310">
        <f>'14'!Q38</f>
        <v>0</v>
      </c>
    </row>
    <row r="39" spans="1:17" x14ac:dyDescent="0.3">
      <c r="A39" s="307" t="str">
        <f>'14'!A39</f>
        <v>BIC</v>
      </c>
      <c r="B39" s="307" t="str">
        <f>'14'!B39</f>
        <v>P.8</v>
      </c>
      <c r="C39" s="307" t="str">
        <f>'14'!C39</f>
        <v>BjTPG280</v>
      </c>
      <c r="D39" s="308">
        <f>'14'!D39</f>
        <v>240</v>
      </c>
      <c r="E39" s="308">
        <f>'14'!E39</f>
        <v>499780</v>
      </c>
      <c r="F39" s="135"/>
      <c r="G39" s="307" t="str">
        <f>'14'!G39</f>
        <v>WR</v>
      </c>
      <c r="H39" s="309">
        <f>'14'!H39</f>
        <v>0</v>
      </c>
      <c r="I39" s="309">
        <f>'14'!I39</f>
        <v>0</v>
      </c>
      <c r="J39" s="170">
        <f>'14'!J39</f>
        <v>0</v>
      </c>
      <c r="K39" s="310">
        <f>'14'!K39</f>
        <v>0</v>
      </c>
      <c r="L39" s="135"/>
      <c r="M39" s="307" t="str">
        <f>'14'!M39</f>
        <v>WR</v>
      </c>
      <c r="N39" s="309">
        <f>'14'!N39</f>
        <v>0</v>
      </c>
      <c r="O39" s="309">
        <f>'14'!O39</f>
        <v>0</v>
      </c>
      <c r="P39" s="170">
        <f>'14'!P39</f>
        <v>0</v>
      </c>
      <c r="Q39" s="310">
        <f>'14'!Q39</f>
        <v>0</v>
      </c>
    </row>
    <row r="40" spans="1:17" x14ac:dyDescent="0.3">
      <c r="A40" s="307" t="str">
        <f>'14'!A40</f>
        <v>BIC</v>
      </c>
      <c r="B40" s="307" t="str">
        <f>'14'!B40</f>
        <v>S.8</v>
      </c>
      <c r="C40" s="307" t="str">
        <f>'14'!C40</f>
        <v>BjTSG420</v>
      </c>
      <c r="D40" s="308">
        <f>'14'!D40</f>
        <v>335</v>
      </c>
      <c r="E40" s="308">
        <f>'14'!E40</f>
        <v>688721</v>
      </c>
      <c r="F40" s="135"/>
      <c r="G40" s="307" t="str">
        <f>'14'!G40</f>
        <v>WR</v>
      </c>
      <c r="H40" s="309">
        <f>'14'!H40</f>
        <v>0</v>
      </c>
      <c r="I40" s="309">
        <f>'14'!I40</f>
        <v>0</v>
      </c>
      <c r="J40" s="170">
        <f>'14'!J40</f>
        <v>0</v>
      </c>
      <c r="K40" s="310">
        <f>'14'!K40</f>
        <v>0</v>
      </c>
      <c r="L40" s="135"/>
      <c r="M40" s="307" t="str">
        <f>'14'!M40</f>
        <v>WR</v>
      </c>
      <c r="N40" s="309">
        <f>'14'!N40</f>
        <v>0</v>
      </c>
      <c r="O40" s="309">
        <f>'14'!O40</f>
        <v>0</v>
      </c>
      <c r="P40" s="170">
        <f>'14'!P40</f>
        <v>0</v>
      </c>
      <c r="Q40" s="310">
        <f>'14'!Q40</f>
        <v>0</v>
      </c>
    </row>
    <row r="41" spans="1:17" x14ac:dyDescent="0.3">
      <c r="A41" s="307" t="str">
        <f>'14'!A41</f>
        <v>BIC</v>
      </c>
      <c r="B41" s="307" t="str">
        <f>'14'!B41</f>
        <v>S.10</v>
      </c>
      <c r="C41" s="307" t="str">
        <f>'14'!C41</f>
        <v>BjTSG420</v>
      </c>
      <c r="D41" s="308">
        <f>'14'!D41</f>
        <v>144</v>
      </c>
      <c r="E41" s="308">
        <f>'14'!E41</f>
        <v>295842</v>
      </c>
      <c r="F41" s="135"/>
      <c r="G41" s="307" t="str">
        <f>'14'!G41</f>
        <v>WR</v>
      </c>
      <c r="H41" s="309">
        <f>'14'!H41</f>
        <v>0</v>
      </c>
      <c r="I41" s="309">
        <f>'14'!I41</f>
        <v>0</v>
      </c>
      <c r="J41" s="170">
        <f>'14'!J41</f>
        <v>0</v>
      </c>
      <c r="K41" s="310">
        <f>'14'!K41</f>
        <v>0</v>
      </c>
      <c r="L41" s="135"/>
      <c r="M41" s="307" t="str">
        <f>'14'!M41</f>
        <v>WR</v>
      </c>
      <c r="N41" s="309">
        <f>'14'!N41</f>
        <v>0</v>
      </c>
      <c r="O41" s="309">
        <f>'14'!O41</f>
        <v>0</v>
      </c>
      <c r="P41" s="170">
        <f>'14'!P41</f>
        <v>0</v>
      </c>
      <c r="Q41" s="310">
        <f>'14'!Q41</f>
        <v>0</v>
      </c>
    </row>
    <row r="42" spans="1:17" x14ac:dyDescent="0.3">
      <c r="A42" s="307" t="str">
        <f>'14'!A42</f>
        <v>WR</v>
      </c>
      <c r="B42" s="307">
        <f>'14'!B42</f>
        <v>5.5</v>
      </c>
      <c r="C42" s="307">
        <f>'14'!C42</f>
        <v>8</v>
      </c>
      <c r="D42" s="308">
        <f>'14'!D42</f>
        <v>287</v>
      </c>
      <c r="E42" s="308">
        <f>'14'!E42</f>
        <v>601921</v>
      </c>
      <c r="F42" s="135"/>
      <c r="G42" s="307" t="str">
        <f>'14'!G42</f>
        <v>WR</v>
      </c>
      <c r="H42" s="309">
        <f>'14'!H42</f>
        <v>0</v>
      </c>
      <c r="I42" s="309">
        <f>'14'!I42</f>
        <v>0</v>
      </c>
      <c r="J42" s="170">
        <f>'14'!J42</f>
        <v>0</v>
      </c>
      <c r="K42" s="310">
        <f>'14'!K42</f>
        <v>0</v>
      </c>
      <c r="L42" s="135"/>
      <c r="M42" s="307" t="str">
        <f>'14'!M42</f>
        <v>WR</v>
      </c>
      <c r="N42" s="309">
        <f>'14'!N42</f>
        <v>0</v>
      </c>
      <c r="O42" s="309">
        <f>'14'!O42</f>
        <v>0</v>
      </c>
      <c r="P42" s="170">
        <f>'14'!P42</f>
        <v>0</v>
      </c>
      <c r="Q42" s="310">
        <f>'14'!Q42</f>
        <v>0</v>
      </c>
    </row>
    <row r="43" spans="1:17" x14ac:dyDescent="0.3">
      <c r="A43" s="307" t="str">
        <f>'14'!A43</f>
        <v>WR</v>
      </c>
      <c r="B43" s="307">
        <f>'14'!B43</f>
        <v>5.5</v>
      </c>
      <c r="C43" s="307" t="str">
        <f>'14'!C43</f>
        <v>67.B</v>
      </c>
      <c r="D43" s="308">
        <f>'14'!D43</f>
        <v>144</v>
      </c>
      <c r="E43" s="308">
        <f>'14'!E43</f>
        <v>304535</v>
      </c>
      <c r="F43" s="135"/>
      <c r="G43" s="307" t="str">
        <f>'14'!G43</f>
        <v>WR</v>
      </c>
      <c r="H43" s="309">
        <f>'14'!H43</f>
        <v>0</v>
      </c>
      <c r="I43" s="309">
        <f>'14'!I43</f>
        <v>0</v>
      </c>
      <c r="J43" s="170">
        <f>'14'!J43</f>
        <v>0</v>
      </c>
      <c r="K43" s="310">
        <f>'14'!K43</f>
        <v>0</v>
      </c>
      <c r="L43" s="135"/>
      <c r="M43" s="307" t="str">
        <f>'14'!M43</f>
        <v>WR</v>
      </c>
      <c r="N43" s="309">
        <f>'14'!N43</f>
        <v>0</v>
      </c>
      <c r="O43" s="309">
        <f>'14'!O43</f>
        <v>0</v>
      </c>
      <c r="P43" s="170">
        <f>'14'!P43</f>
        <v>0</v>
      </c>
      <c r="Q43" s="310">
        <f>'14'!Q43</f>
        <v>0</v>
      </c>
    </row>
    <row r="44" spans="1:17" x14ac:dyDescent="0.3">
      <c r="A44" s="307" t="str">
        <f>'14'!A44</f>
        <v>BIC</v>
      </c>
      <c r="B44" s="307" t="str">
        <f>'14'!B44</f>
        <v>P.10</v>
      </c>
      <c r="C44" s="307" t="str">
        <f>'14'!C44</f>
        <v>BjTPG280</v>
      </c>
      <c r="D44" s="308">
        <f>'14'!D44</f>
        <v>144</v>
      </c>
      <c r="E44" s="308">
        <f>'14'!E44</f>
        <v>299930</v>
      </c>
      <c r="F44" s="135"/>
      <c r="G44" s="307" t="str">
        <f>'14'!G44</f>
        <v>WR</v>
      </c>
      <c r="H44" s="309">
        <f>'14'!H44</f>
        <v>0</v>
      </c>
      <c r="I44" s="309">
        <f>'14'!I44</f>
        <v>0</v>
      </c>
      <c r="J44" s="170">
        <f>'14'!J44</f>
        <v>0</v>
      </c>
      <c r="K44" s="310">
        <f>'14'!K44</f>
        <v>0</v>
      </c>
      <c r="L44" s="135"/>
      <c r="M44" s="307" t="str">
        <f>'14'!M44</f>
        <v>WR</v>
      </c>
      <c r="N44" s="309">
        <f>'14'!N44</f>
        <v>0</v>
      </c>
      <c r="O44" s="309">
        <f>'14'!O44</f>
        <v>0</v>
      </c>
      <c r="P44" s="170">
        <f>'14'!P44</f>
        <v>0</v>
      </c>
      <c r="Q44" s="310">
        <f>'14'!Q44</f>
        <v>0</v>
      </c>
    </row>
    <row r="45" spans="1:17" x14ac:dyDescent="0.3">
      <c r="A45" s="307" t="str">
        <f>'14'!A45</f>
        <v>BIC</v>
      </c>
      <c r="B45" s="307" t="str">
        <f>'14'!B45</f>
        <v>S.6</v>
      </c>
      <c r="C45" s="307" t="str">
        <f>'14'!C45</f>
        <v>BjTSG420</v>
      </c>
      <c r="D45" s="308">
        <f>'14'!D45</f>
        <v>48</v>
      </c>
      <c r="E45" s="308">
        <f>'14'!E45</f>
        <v>98404</v>
      </c>
      <c r="F45" s="135"/>
      <c r="G45" s="307" t="str">
        <f>'14'!G45</f>
        <v>WR</v>
      </c>
      <c r="H45" s="309">
        <f>'14'!H45</f>
        <v>0</v>
      </c>
      <c r="I45" s="309">
        <f>'14'!I45</f>
        <v>0</v>
      </c>
      <c r="J45" s="170">
        <f>'14'!J45</f>
        <v>0</v>
      </c>
      <c r="K45" s="310">
        <f>'14'!K45</f>
        <v>0</v>
      </c>
      <c r="L45" s="135"/>
      <c r="M45" s="307" t="str">
        <f>'14'!M45</f>
        <v>WR</v>
      </c>
      <c r="N45" s="309">
        <f>'14'!N45</f>
        <v>0</v>
      </c>
      <c r="O45" s="309">
        <f>'14'!O45</f>
        <v>0</v>
      </c>
      <c r="P45" s="170">
        <f>'14'!P45</f>
        <v>0</v>
      </c>
      <c r="Q45" s="310">
        <f>'14'!Q45</f>
        <v>0</v>
      </c>
    </row>
    <row r="46" spans="1:17" x14ac:dyDescent="0.3">
      <c r="A46" s="307" t="str">
        <f>'14'!A46</f>
        <v>WR</v>
      </c>
      <c r="B46" s="307">
        <f>'14'!B46</f>
        <v>17</v>
      </c>
      <c r="C46" s="307">
        <f>'14'!C46</f>
        <v>8</v>
      </c>
      <c r="D46" s="308">
        <f>'14'!D46</f>
        <v>91</v>
      </c>
      <c r="E46" s="308">
        <f>'14'!E46</f>
        <v>188048</v>
      </c>
      <c r="F46" s="135"/>
      <c r="G46" s="307" t="str">
        <f>'14'!G46</f>
        <v>WR</v>
      </c>
      <c r="H46" s="309">
        <f>'14'!H46</f>
        <v>0</v>
      </c>
      <c r="I46" s="309">
        <f>'14'!I46</f>
        <v>0</v>
      </c>
      <c r="J46" s="170">
        <f>'14'!J46</f>
        <v>0</v>
      </c>
      <c r="K46" s="310">
        <f>'14'!K46</f>
        <v>0</v>
      </c>
      <c r="L46" s="135"/>
      <c r="M46" s="307" t="str">
        <f>'14'!M46</f>
        <v>WR</v>
      </c>
      <c r="N46" s="309">
        <f>'14'!N46</f>
        <v>0</v>
      </c>
      <c r="O46" s="309">
        <f>'14'!O46</f>
        <v>0</v>
      </c>
      <c r="P46" s="170">
        <f>'14'!P46</f>
        <v>0</v>
      </c>
      <c r="Q46" s="310">
        <f>'14'!Q46</f>
        <v>0</v>
      </c>
    </row>
    <row r="47" spans="1:17" x14ac:dyDescent="0.3">
      <c r="A47" s="307" t="str">
        <f>'14'!A47</f>
        <v>WR</v>
      </c>
      <c r="B47" s="307">
        <f>'14'!B47</f>
        <v>8.5</v>
      </c>
      <c r="C47" s="307">
        <f>'14'!C47</f>
        <v>15</v>
      </c>
      <c r="D47" s="308">
        <f>'14'!D47</f>
        <v>432</v>
      </c>
      <c r="E47" s="308">
        <f>'14'!E47</f>
        <v>897401</v>
      </c>
      <c r="F47" s="135"/>
      <c r="G47" s="307" t="str">
        <f>'14'!G47</f>
        <v>WR</v>
      </c>
      <c r="H47" s="309">
        <f>'14'!H47</f>
        <v>0</v>
      </c>
      <c r="I47" s="309">
        <f>'14'!I47</f>
        <v>0</v>
      </c>
      <c r="J47" s="170">
        <f>'14'!J47</f>
        <v>0</v>
      </c>
      <c r="K47" s="310">
        <f>'14'!K47</f>
        <v>0</v>
      </c>
      <c r="L47" s="135"/>
      <c r="M47" s="307" t="str">
        <f>'14'!M47</f>
        <v>WR</v>
      </c>
      <c r="N47" s="309">
        <f>'14'!N47</f>
        <v>0</v>
      </c>
      <c r="O47" s="309">
        <f>'14'!O47</f>
        <v>0</v>
      </c>
      <c r="P47" s="170">
        <f>'14'!P47</f>
        <v>0</v>
      </c>
      <c r="Q47" s="310">
        <f>'14'!Q47</f>
        <v>0</v>
      </c>
    </row>
    <row r="48" spans="1:17" x14ac:dyDescent="0.3">
      <c r="A48" s="307" t="str">
        <f>'14'!A48</f>
        <v>WR</v>
      </c>
      <c r="B48" s="307">
        <f>'14'!B48</f>
        <v>6.5</v>
      </c>
      <c r="C48" s="307">
        <f>'14'!C48</f>
        <v>8</v>
      </c>
      <c r="D48" s="308">
        <f>'14'!D48</f>
        <v>144</v>
      </c>
      <c r="E48" s="308">
        <f>'14'!E48</f>
        <v>300807</v>
      </c>
      <c r="F48" s="135"/>
      <c r="G48" s="307" t="str">
        <f>'14'!G48</f>
        <v>WR</v>
      </c>
      <c r="H48" s="309">
        <f>'14'!H48</f>
        <v>0</v>
      </c>
      <c r="I48" s="309">
        <f>'14'!I48</f>
        <v>0</v>
      </c>
      <c r="J48" s="170">
        <f>'14'!J48</f>
        <v>0</v>
      </c>
      <c r="K48" s="310">
        <f>'14'!K48</f>
        <v>0</v>
      </c>
      <c r="L48" s="135"/>
      <c r="M48" s="307" t="str">
        <f>'14'!M48</f>
        <v>WR</v>
      </c>
      <c r="N48" s="309">
        <f>'14'!N48</f>
        <v>0</v>
      </c>
      <c r="O48" s="309">
        <f>'14'!O48</f>
        <v>0</v>
      </c>
      <c r="P48" s="170">
        <f>'14'!P48</f>
        <v>0</v>
      </c>
      <c r="Q48" s="310">
        <f>'14'!Q48</f>
        <v>0</v>
      </c>
    </row>
    <row r="49" spans="1:23" x14ac:dyDescent="0.3">
      <c r="A49" s="307" t="str">
        <f>'14'!A49</f>
        <v>WR</v>
      </c>
      <c r="B49" s="307">
        <f>'14'!B49</f>
        <v>6.5</v>
      </c>
      <c r="C49" s="307">
        <f>'14'!C49</f>
        <v>15</v>
      </c>
      <c r="D49" s="308">
        <f>'14'!D49</f>
        <v>119</v>
      </c>
      <c r="E49" s="308">
        <f>'14'!E49</f>
        <v>247182</v>
      </c>
      <c r="F49" s="3"/>
      <c r="G49" s="307" t="str">
        <f>'14'!G49</f>
        <v>WR</v>
      </c>
      <c r="H49" s="309">
        <f>'14'!H49</f>
        <v>0</v>
      </c>
      <c r="I49" s="309">
        <f>'14'!I49</f>
        <v>0</v>
      </c>
      <c r="J49" s="170">
        <f>'14'!J49</f>
        <v>0</v>
      </c>
      <c r="K49" s="310">
        <f>'14'!K49</f>
        <v>0</v>
      </c>
      <c r="L49" s="3"/>
      <c r="M49" s="307" t="str">
        <f>'14'!M49</f>
        <v>WR</v>
      </c>
      <c r="N49" s="309">
        <f>'14'!N49</f>
        <v>0</v>
      </c>
      <c r="O49" s="309">
        <f>'14'!O49</f>
        <v>0</v>
      </c>
      <c r="P49" s="170">
        <f>'14'!P49</f>
        <v>0</v>
      </c>
      <c r="Q49" s="310">
        <f>'14'!Q49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46037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353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40">
        <v>3</v>
      </c>
      <c r="C55" s="80"/>
      <c r="D55" s="544" t="s">
        <v>343</v>
      </c>
      <c r="E55" s="545"/>
      <c r="F55" s="545"/>
      <c r="G55" s="545"/>
      <c r="H55" s="545"/>
      <c r="I55" s="546"/>
      <c r="J55" s="97">
        <v>52</v>
      </c>
      <c r="K55" s="391"/>
      <c r="L55" s="466" t="s">
        <v>26</v>
      </c>
      <c r="M55" s="467"/>
      <c r="N55" s="467"/>
      <c r="O55" s="392" t="s">
        <v>13</v>
      </c>
      <c r="P55" s="393">
        <f>C16</f>
        <v>1188341</v>
      </c>
      <c r="Q55" s="394">
        <f>C26</f>
        <v>10499642</v>
      </c>
      <c r="R55" s="395"/>
      <c r="S55" s="388">
        <f>DAY(A52)</f>
        <v>15</v>
      </c>
      <c r="T55" s="383">
        <f>S55-U55</f>
        <v>10</v>
      </c>
      <c r="U55" s="383">
        <f>'14'!U55</f>
        <v>5</v>
      </c>
    </row>
    <row r="56" spans="1:23" x14ac:dyDescent="0.3">
      <c r="A56" s="95" t="s">
        <v>37</v>
      </c>
      <c r="B56" s="441">
        <v>28</v>
      </c>
      <c r="C56" s="82"/>
      <c r="D56" s="552"/>
      <c r="E56" s="553"/>
      <c r="F56" s="553"/>
      <c r="G56" s="553"/>
      <c r="H56" s="553"/>
      <c r="I56" s="55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1173744</v>
      </c>
      <c r="Q56" s="398">
        <f>K27</f>
        <v>10331799</v>
      </c>
      <c r="R56" s="399"/>
    </row>
    <row r="57" spans="1:23" x14ac:dyDescent="0.3">
      <c r="A57" s="95" t="s">
        <v>39</v>
      </c>
      <c r="B57" s="441">
        <v>27</v>
      </c>
      <c r="C57" s="82"/>
      <c r="D57" s="552"/>
      <c r="E57" s="553"/>
      <c r="F57" s="553"/>
      <c r="G57" s="553"/>
      <c r="H57" s="553"/>
      <c r="I57" s="553"/>
      <c r="J57" s="97"/>
      <c r="K57" s="391"/>
      <c r="L57" s="468" t="s">
        <v>19</v>
      </c>
      <c r="M57" s="469"/>
      <c r="N57" s="469"/>
      <c r="O57" s="400" t="s">
        <v>14</v>
      </c>
      <c r="P57" s="401">
        <f>L17</f>
        <v>0.98771648878562635</v>
      </c>
      <c r="Q57" s="430">
        <f>L27</f>
        <v>0.98401440734836487</v>
      </c>
      <c r="R57" s="403">
        <v>0.98499999999999999</v>
      </c>
    </row>
    <row r="58" spans="1:23" x14ac:dyDescent="0.3">
      <c r="A58" s="95" t="s">
        <v>41</v>
      </c>
      <c r="B58" s="441">
        <v>27</v>
      </c>
      <c r="C58" s="82"/>
      <c r="D58" s="552"/>
      <c r="E58" s="553"/>
      <c r="F58" s="553"/>
      <c r="G58" s="553"/>
      <c r="H58" s="553"/>
      <c r="I58" s="55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2119</v>
      </c>
      <c r="Q58" s="394">
        <f>E26</f>
        <v>35904</v>
      </c>
      <c r="R58" s="395"/>
    </row>
    <row r="59" spans="1:23" x14ac:dyDescent="0.3">
      <c r="A59" s="95" t="s">
        <v>43</v>
      </c>
      <c r="B59" s="441">
        <v>28</v>
      </c>
      <c r="C59" s="82"/>
      <c r="D59" s="552"/>
      <c r="E59" s="553"/>
      <c r="F59" s="553"/>
      <c r="G59" s="553"/>
      <c r="H59" s="553"/>
      <c r="I59" s="553"/>
      <c r="J59" s="97"/>
      <c r="K59" s="391"/>
      <c r="L59" s="509"/>
      <c r="M59" s="510"/>
      <c r="N59" s="510"/>
      <c r="O59" s="400" t="s">
        <v>14</v>
      </c>
      <c r="P59" s="401">
        <f>F16</f>
        <v>1.7831582012233862E-3</v>
      </c>
      <c r="Q59" s="430">
        <f>F26</f>
        <v>3.4195451616350347E-3</v>
      </c>
      <c r="R59" s="404">
        <v>1.5E-3</v>
      </c>
    </row>
    <row r="60" spans="1:23" x14ac:dyDescent="0.3">
      <c r="A60" s="95" t="s">
        <v>45</v>
      </c>
      <c r="B60" s="441">
        <v>27</v>
      </c>
      <c r="C60" s="82"/>
      <c r="D60" s="552"/>
      <c r="E60" s="553"/>
      <c r="F60" s="553"/>
      <c r="G60" s="553"/>
      <c r="H60" s="553"/>
      <c r="I60" s="553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</f>
        <v>21600</v>
      </c>
      <c r="R60" s="406"/>
    </row>
    <row r="61" spans="1:23" x14ac:dyDescent="0.3">
      <c r="A61" s="95" t="s">
        <v>47</v>
      </c>
      <c r="B61" s="441">
        <v>27</v>
      </c>
      <c r="C61" s="82"/>
      <c r="D61" s="552"/>
      <c r="E61" s="553"/>
      <c r="F61" s="553"/>
      <c r="G61" s="553"/>
      <c r="H61" s="553"/>
      <c r="I61" s="553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</f>
        <v>7200</v>
      </c>
      <c r="R61" s="395"/>
    </row>
    <row r="62" spans="1:23" x14ac:dyDescent="0.3">
      <c r="A62" s="95" t="s">
        <v>49</v>
      </c>
      <c r="B62" s="441">
        <v>28</v>
      </c>
      <c r="C62" s="82"/>
      <c r="D62" s="552"/>
      <c r="E62" s="553"/>
      <c r="F62" s="553"/>
      <c r="G62" s="553"/>
      <c r="H62" s="553"/>
      <c r="I62" s="553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</f>
        <v>7200</v>
      </c>
      <c r="R62" s="399"/>
    </row>
    <row r="63" spans="1:23" x14ac:dyDescent="0.3">
      <c r="A63" s="95" t="s">
        <v>51</v>
      </c>
      <c r="B63" s="441">
        <v>28</v>
      </c>
      <c r="C63" s="82"/>
      <c r="D63" s="552"/>
      <c r="E63" s="553"/>
      <c r="F63" s="553"/>
      <c r="G63" s="553"/>
      <c r="H63" s="553"/>
      <c r="I63" s="553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</f>
        <v>0</v>
      </c>
      <c r="R63" s="399"/>
    </row>
    <row r="64" spans="1:23" x14ac:dyDescent="0.3">
      <c r="A64" s="95" t="s">
        <v>53</v>
      </c>
      <c r="B64" s="441">
        <v>28</v>
      </c>
      <c r="C64" s="82"/>
      <c r="D64" s="552"/>
      <c r="E64" s="553"/>
      <c r="F64" s="553"/>
      <c r="G64" s="553"/>
      <c r="H64" s="553"/>
      <c r="I64" s="55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41">
        <v>20</v>
      </c>
      <c r="C65" s="82"/>
      <c r="D65" s="552" t="s">
        <v>344</v>
      </c>
      <c r="E65" s="553"/>
      <c r="F65" s="553"/>
      <c r="G65" s="553"/>
      <c r="H65" s="553"/>
      <c r="I65" s="553"/>
      <c r="J65" s="97">
        <v>15</v>
      </c>
      <c r="K65" s="391"/>
      <c r="L65" s="466" t="s">
        <v>46</v>
      </c>
      <c r="M65" s="467"/>
      <c r="N65" s="467"/>
      <c r="O65" s="106" t="s">
        <v>28</v>
      </c>
      <c r="P65" s="126">
        <f>SUM(P66:P68)</f>
        <v>69</v>
      </c>
      <c r="Q65" s="100">
        <f>'1'!Q65+'2'!P65+'3'!P65+'4'!P65+'5'!P65+'6'!P65+'7'!P65+'8'!P65+'9'!P65+'10'!P65+'11'!P65+'12'!P65+'13'!P65+'14'!P65+'15'!P65</f>
        <v>1675</v>
      </c>
      <c r="R65" s="395"/>
      <c r="S65" s="171" t="s">
        <v>56</v>
      </c>
      <c r="T65" s="172"/>
      <c r="U65" s="173" t="s">
        <v>151</v>
      </c>
      <c r="V65" s="174">
        <v>1</v>
      </c>
      <c r="W65" s="181">
        <f>+'14'!W65+'15'!V65</f>
        <v>9</v>
      </c>
    </row>
    <row r="66" spans="1:23" x14ac:dyDescent="0.3">
      <c r="A66" s="95" t="s">
        <v>57</v>
      </c>
      <c r="B66" s="441">
        <v>1</v>
      </c>
      <c r="C66" s="82">
        <v>1</v>
      </c>
      <c r="D66" s="552" t="s">
        <v>345</v>
      </c>
      <c r="E66" s="553"/>
      <c r="F66" s="553"/>
      <c r="G66" s="553"/>
      <c r="H66" s="553"/>
      <c r="I66" s="553"/>
      <c r="J66" s="97">
        <v>58</v>
      </c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+'14'!W66+'15'!V66</f>
        <v>6</v>
      </c>
    </row>
    <row r="67" spans="1:23" x14ac:dyDescent="0.3">
      <c r="A67" s="95" t="s">
        <v>59</v>
      </c>
      <c r="B67" s="441">
        <v>22</v>
      </c>
      <c r="C67" s="82"/>
      <c r="D67" s="552" t="s">
        <v>303</v>
      </c>
      <c r="E67" s="553"/>
      <c r="F67" s="553"/>
      <c r="G67" s="553"/>
      <c r="H67" s="553"/>
      <c r="I67" s="553"/>
      <c r="J67" s="97">
        <v>4</v>
      </c>
      <c r="K67" s="391"/>
      <c r="L67" s="502" t="s">
        <v>50</v>
      </c>
      <c r="M67" s="498"/>
      <c r="N67" s="498"/>
      <c r="O67" s="408" t="s">
        <v>28</v>
      </c>
      <c r="P67" s="138">
        <v>60</v>
      </c>
      <c r="Q67" s="99">
        <f>'1'!Q67+'2'!P67+'3'!P67+'4'!P67+'5'!P67+'6'!P67+'7'!P67+'8'!P67+'9'!P67+'10'!P67+'11'!P67+'12'!P67+'13'!P67+'14'!P67+'15'!P67</f>
        <v>1459</v>
      </c>
      <c r="R67" s="399"/>
      <c r="S67" s="377" t="s">
        <v>60</v>
      </c>
      <c r="T67" s="175"/>
      <c r="U67" s="176" t="s">
        <v>151</v>
      </c>
      <c r="V67" s="177"/>
      <c r="W67" s="182">
        <f>+'14'!W67+'15'!V67</f>
        <v>0</v>
      </c>
    </row>
    <row r="68" spans="1:23" x14ac:dyDescent="0.3">
      <c r="A68" s="95" t="s">
        <v>61</v>
      </c>
      <c r="B68" s="441">
        <v>24</v>
      </c>
      <c r="C68" s="82"/>
      <c r="D68" s="552"/>
      <c r="E68" s="553"/>
      <c r="F68" s="553"/>
      <c r="G68" s="553"/>
      <c r="H68" s="553"/>
      <c r="I68" s="553"/>
      <c r="J68" s="97"/>
      <c r="K68" s="391"/>
      <c r="L68" s="468" t="s">
        <v>52</v>
      </c>
      <c r="M68" s="469"/>
      <c r="N68" s="469"/>
      <c r="O68" s="85" t="s">
        <v>28</v>
      </c>
      <c r="P68" s="141">
        <v>9</v>
      </c>
      <c r="Q68" s="86">
        <f>'1'!Q68+'2'!P68+'3'!P68+'4'!P68+'5'!P68+'6'!P68+'7'!P68+'8'!P68+'9'!P68+'10'!P68+'11'!P68+'12'!P68+'13'!P68+'14'!P68+'15'!P68</f>
        <v>216</v>
      </c>
      <c r="R68" s="409"/>
      <c r="S68" s="377" t="s">
        <v>62</v>
      </c>
      <c r="T68" s="175"/>
      <c r="U68" s="176" t="s">
        <v>151</v>
      </c>
      <c r="V68" s="177"/>
      <c r="W68" s="182">
        <f>+'14'!W68+'15'!V68</f>
        <v>2</v>
      </c>
    </row>
    <row r="69" spans="1:23" x14ac:dyDescent="0.3">
      <c r="A69" s="95" t="s">
        <v>63</v>
      </c>
      <c r="B69" s="441">
        <v>25</v>
      </c>
      <c r="C69" s="82"/>
      <c r="D69" s="552"/>
      <c r="E69" s="553"/>
      <c r="F69" s="553"/>
      <c r="G69" s="553"/>
      <c r="H69" s="553"/>
      <c r="I69" s="553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60</v>
      </c>
      <c r="Q69" s="100">
        <f>'1'!Q69+'2'!P69+'3'!P69+'4'!P69+'5'!P69+'6'!P69+'7'!P69+'8'!P69+'9'!P69+'10'!P69+'11'!P69+'12'!P69+'13'!P69+'14'!P69+'15'!P69</f>
        <v>789</v>
      </c>
      <c r="R69" s="395"/>
      <c r="S69" s="376" t="s">
        <v>64</v>
      </c>
      <c r="T69" s="178"/>
      <c r="U69" s="179" t="s">
        <v>151</v>
      </c>
      <c r="V69" s="180"/>
      <c r="W69" s="183">
        <f>+'14'!W69+'15'!V69</f>
        <v>0</v>
      </c>
    </row>
    <row r="70" spans="1:23" x14ac:dyDescent="0.3">
      <c r="A70" s="95" t="s">
        <v>65</v>
      </c>
      <c r="B70" s="441">
        <v>25</v>
      </c>
      <c r="C70" s="82"/>
      <c r="D70" s="552"/>
      <c r="E70" s="553"/>
      <c r="F70" s="553"/>
      <c r="G70" s="553"/>
      <c r="H70" s="553"/>
      <c r="I70" s="553"/>
      <c r="J70" s="97"/>
      <c r="K70" s="407"/>
      <c r="L70" s="497" t="s">
        <v>56</v>
      </c>
      <c r="M70" s="498"/>
      <c r="N70" s="498"/>
      <c r="O70" s="408" t="s">
        <v>28</v>
      </c>
      <c r="P70" s="138">
        <v>13</v>
      </c>
      <c r="Q70" s="429">
        <f>'1'!Q70+'2'!P70+'3'!P70+'4'!P70+'5'!P70+'6'!P70+'7'!P70+'8'!P70+'9'!P70+'10'!P70+'11'!P70+'12'!P70+'13'!P70+'14'!P70+'15'!P70</f>
        <v>391</v>
      </c>
      <c r="R70" s="399">
        <f>T55*30</f>
        <v>300</v>
      </c>
    </row>
    <row r="71" spans="1:23" x14ac:dyDescent="0.3">
      <c r="A71" s="95" t="s">
        <v>67</v>
      </c>
      <c r="B71" s="441">
        <v>24</v>
      </c>
      <c r="C71" s="82"/>
      <c r="D71" s="552"/>
      <c r="E71" s="553"/>
      <c r="F71" s="553"/>
      <c r="G71" s="553"/>
      <c r="H71" s="553"/>
      <c r="I71" s="553"/>
      <c r="J71" s="97"/>
      <c r="K71" s="391"/>
      <c r="L71" s="497" t="s">
        <v>58</v>
      </c>
      <c r="M71" s="498"/>
      <c r="N71" s="498"/>
      <c r="O71" s="408" t="s">
        <v>28</v>
      </c>
      <c r="P71" s="138">
        <v>47</v>
      </c>
      <c r="Q71" s="429">
        <f>'1'!Q71+'2'!P71+'3'!P71+'4'!P71+'5'!P71+'6'!P71+'7'!P71+'8'!P71+'9'!P71+'10'!P71+'11'!P71+'12'!P71+'13'!P71+'14'!P71+'15'!P71</f>
        <v>330</v>
      </c>
      <c r="R71" s="399">
        <f>T55*25</f>
        <v>250</v>
      </c>
    </row>
    <row r="72" spans="1:23" x14ac:dyDescent="0.3">
      <c r="A72" s="95" t="s">
        <v>69</v>
      </c>
      <c r="B72" s="441">
        <v>24</v>
      </c>
      <c r="C72" s="82"/>
      <c r="D72" s="552"/>
      <c r="E72" s="553"/>
      <c r="F72" s="553"/>
      <c r="G72" s="553"/>
      <c r="H72" s="553"/>
      <c r="I72" s="553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</f>
        <v>19</v>
      </c>
      <c r="R72" s="399">
        <f>T55*10</f>
        <v>100</v>
      </c>
    </row>
    <row r="73" spans="1:23" x14ac:dyDescent="0.3">
      <c r="A73" s="95" t="s">
        <v>71</v>
      </c>
      <c r="B73" s="441">
        <v>24</v>
      </c>
      <c r="C73" s="82"/>
      <c r="D73" s="552"/>
      <c r="E73" s="553"/>
      <c r="F73" s="553"/>
      <c r="G73" s="553"/>
      <c r="H73" s="553"/>
      <c r="I73" s="553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</f>
        <v>49</v>
      </c>
      <c r="R73" s="399"/>
    </row>
    <row r="74" spans="1:23" x14ac:dyDescent="0.3">
      <c r="A74" s="95" t="s">
        <v>73</v>
      </c>
      <c r="B74" s="441">
        <v>25</v>
      </c>
      <c r="C74" s="82"/>
      <c r="D74" s="552"/>
      <c r="E74" s="553"/>
      <c r="F74" s="553"/>
      <c r="G74" s="553"/>
      <c r="H74" s="553"/>
      <c r="I74" s="553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</f>
        <v>0</v>
      </c>
      <c r="R74" s="409"/>
    </row>
    <row r="75" spans="1:23" x14ac:dyDescent="0.3">
      <c r="A75" s="95" t="s">
        <v>75</v>
      </c>
      <c r="B75" s="441">
        <v>25</v>
      </c>
      <c r="C75" s="82"/>
      <c r="D75" s="552"/>
      <c r="E75" s="553"/>
      <c r="F75" s="553"/>
      <c r="G75" s="553"/>
      <c r="H75" s="553"/>
      <c r="I75" s="55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</f>
        <v>14400</v>
      </c>
      <c r="R75" s="406"/>
    </row>
    <row r="76" spans="1:23" x14ac:dyDescent="0.3">
      <c r="A76" s="95" t="s">
        <v>77</v>
      </c>
      <c r="B76" s="441">
        <v>24</v>
      </c>
      <c r="C76" s="82"/>
      <c r="D76" s="552"/>
      <c r="E76" s="553"/>
      <c r="F76" s="553"/>
      <c r="G76" s="553"/>
      <c r="H76" s="553"/>
      <c r="I76" s="55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129</v>
      </c>
      <c r="Q76" s="94">
        <f>'1'!Q76+'2'!P76+'3'!P76+'4'!P76+'5'!P76+'6'!P76+'7'!P76+'8'!P76+'9'!P76+'10'!P76+'11'!P76+'12'!P76+'13'!P76+'14'!P76+'15'!P76</f>
        <v>2464</v>
      </c>
      <c r="R76" s="406"/>
    </row>
    <row r="77" spans="1:23" x14ac:dyDescent="0.3">
      <c r="A77" s="95" t="s">
        <v>79</v>
      </c>
      <c r="B77" s="441">
        <v>25</v>
      </c>
      <c r="C77" s="82"/>
      <c r="D77" s="552"/>
      <c r="E77" s="553"/>
      <c r="F77" s="553"/>
      <c r="G77" s="553"/>
      <c r="H77" s="553"/>
      <c r="I77" s="553"/>
      <c r="J77" s="97"/>
      <c r="K77" s="391"/>
      <c r="L77" s="486" t="s">
        <v>70</v>
      </c>
      <c r="M77" s="487"/>
      <c r="N77" s="488"/>
      <c r="O77" s="405" t="s">
        <v>28</v>
      </c>
      <c r="P77" s="142">
        <v>129</v>
      </c>
      <c r="Q77" s="94">
        <f>'1'!Q77+'2'!P77+'3'!P77+'4'!P77+'5'!P77+'6'!P77+'7'!P77+'8'!P77+'9'!P77+'10'!P77+'11'!P77+'12'!P77+'13'!P77+'14'!P77+'15'!P77</f>
        <v>2465</v>
      </c>
      <c r="R77" s="406"/>
    </row>
    <row r="78" spans="1:23" x14ac:dyDescent="0.3">
      <c r="A78" s="109" t="s">
        <v>82</v>
      </c>
      <c r="B78" s="442">
        <v>25</v>
      </c>
      <c r="C78" s="443"/>
      <c r="D78" s="552"/>
      <c r="E78" s="553"/>
      <c r="F78" s="553"/>
      <c r="G78" s="553"/>
      <c r="H78" s="553"/>
      <c r="I78" s="55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'1'!Q78+'2'!P78+'3'!P78+'4'!P78+'5'!P78+'6'!P78+'7'!P78+'8'!P78+'9'!P78+'10'!P78+'11'!P78+'12'!P78+'13'!P78+'14'!P78+'15'!P78</f>
        <v>1</v>
      </c>
      <c r="R78" s="406"/>
    </row>
    <row r="79" spans="1:23" x14ac:dyDescent="0.3">
      <c r="A79" s="114"/>
      <c r="B79" s="115">
        <f>SUM(B55:B78)</f>
        <v>564</v>
      </c>
      <c r="C79" s="116">
        <f>SUM(C55:C78)</f>
        <v>1</v>
      </c>
      <c r="D79" s="470"/>
      <c r="E79" s="471"/>
      <c r="F79" s="471"/>
      <c r="G79" s="471"/>
      <c r="H79" s="471"/>
      <c r="I79" s="472"/>
      <c r="J79" s="117">
        <f>SUM(J55:J78)</f>
        <v>129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1311</v>
      </c>
      <c r="Q79" s="94">
        <f>'1'!Q79+'2'!P79+'3'!P79+'4'!P79+'5'!P79+'6'!P79+'7'!P79+'8'!P79+'9'!P79+'10'!P79+'11'!P79+'12'!P79+'13'!P79+'14'!P79+'15'!P79</f>
        <v>11935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0.91041666666666665</v>
      </c>
      <c r="Q80" s="431">
        <f>Q79/Q75</f>
        <v>0.82881944444444444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0.91041666666666665</v>
      </c>
      <c r="Q81" s="165">
        <f>Q79/Q60</f>
        <v>0.55254629629629626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54.386315789473677</v>
      </c>
      <c r="Q82" s="150">
        <f>(C26/1000)/(Q79/60)</f>
        <v>52.78412400502723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49.514208333333329</v>
      </c>
      <c r="Q83" s="113">
        <f>(C26/1000)/(Q75/60)</f>
        <v>43.748508333333334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35959</v>
      </c>
      <c r="Q84" s="100">
        <f>'1'!Q84+'2'!P84+'3'!P84+'4'!P84+'5'!P84+'6'!P84+'7'!P84+'8'!P84+'9'!P84+'10'!P84+'11'!P84+'12'!P84+'13'!P84+'14'!P84+'15'!P84</f>
        <v>349368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30.636152346678664</v>
      </c>
      <c r="Q85" s="124">
        <f>Q84/(K27/1000)</f>
        <v>33.814827408082557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208.4</v>
      </c>
      <c r="Q86" s="100">
        <f>'1'!Q86+'2'!P86+'3'!P86+'4'!P86+'5'!P86+'6'!P86+'7'!P86+'8'!P86+'9'!P86+'10'!P86+'11'!P86+'12'!P86+'13'!P86+'14'!P86+'15'!P86</f>
        <v>1976.18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177.55149334096703</v>
      </c>
      <c r="Q87" s="124">
        <f>(Q86*1000)/(K26/1000)</f>
        <v>192.21502778401901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142</v>
      </c>
      <c r="Q88" s="100">
        <f>'1'!Q88+'2'!P88+'3'!P88+'4'!P88+'5'!P88+'6'!P88+'7'!P88+'8'!P88+'9'!P88+'10'!P88+'11'!P88+'12'!P88+'13'!P88+'14'!P88+'15'!P88</f>
        <v>1329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0.12098038413827888</v>
      </c>
      <c r="Q89" s="124">
        <f>Q88/(K26/1000)</f>
        <v>0.1292664493745313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7" priority="1" operator="lessThan">
      <formula>0.0018</formula>
    </cfRule>
  </conditionalFormatting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43" zoomScaleNormal="100" workbookViewId="0">
      <selection activeCell="R59" sqref="R59"/>
    </sheetView>
  </sheetViews>
  <sheetFormatPr defaultRowHeight="16.5" x14ac:dyDescent="0.3"/>
  <cols>
    <col min="1" max="1" width="8.71093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'15'!A3:Q3+1</f>
        <v>46038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236</v>
      </c>
      <c r="B7" s="15">
        <v>21</v>
      </c>
      <c r="C7" s="15">
        <v>44499</v>
      </c>
      <c r="D7" s="16"/>
      <c r="E7" s="17"/>
      <c r="F7" s="18"/>
      <c r="G7" s="19" t="s">
        <v>1</v>
      </c>
      <c r="H7" s="20">
        <v>5.5</v>
      </c>
      <c r="I7" s="21" t="s">
        <v>237</v>
      </c>
      <c r="J7" s="22">
        <v>21</v>
      </c>
      <c r="K7" s="17">
        <v>43944</v>
      </c>
      <c r="L7" s="23">
        <f t="shared" ref="L7:L16" si="0">K7/C7</f>
        <v>0.98752780961369924</v>
      </c>
      <c r="M7" s="17"/>
      <c r="N7" s="22"/>
      <c r="O7" s="134"/>
      <c r="P7" s="134"/>
      <c r="Q7" s="134"/>
    </row>
    <row r="8" spans="1:17" x14ac:dyDescent="0.3">
      <c r="A8" s="24" t="s">
        <v>340</v>
      </c>
      <c r="B8" s="25">
        <v>345</v>
      </c>
      <c r="C8" s="25">
        <v>722775</v>
      </c>
      <c r="D8" s="26"/>
      <c r="E8" s="27"/>
      <c r="F8" s="28"/>
      <c r="G8" s="29" t="s">
        <v>1</v>
      </c>
      <c r="H8" s="30">
        <v>5.5</v>
      </c>
      <c r="I8" s="31" t="s">
        <v>341</v>
      </c>
      <c r="J8" s="32">
        <v>343</v>
      </c>
      <c r="K8" s="33">
        <v>702158</v>
      </c>
      <c r="L8" s="34">
        <f t="shared" si="0"/>
        <v>0.97147521704541528</v>
      </c>
      <c r="M8" s="33">
        <v>2</v>
      </c>
      <c r="N8" s="32">
        <v>4090</v>
      </c>
      <c r="O8" s="446"/>
      <c r="P8" s="135"/>
      <c r="Q8" s="135"/>
    </row>
    <row r="9" spans="1:17" x14ac:dyDescent="0.3">
      <c r="A9" s="24" t="s">
        <v>342</v>
      </c>
      <c r="B9" s="25">
        <v>93</v>
      </c>
      <c r="C9" s="25">
        <v>195486</v>
      </c>
      <c r="D9" s="26"/>
      <c r="E9" s="27"/>
      <c r="F9" s="28"/>
      <c r="G9" s="29" t="s">
        <v>1</v>
      </c>
      <c r="H9" s="30">
        <v>5.5</v>
      </c>
      <c r="I9" s="31" t="s">
        <v>341</v>
      </c>
      <c r="J9" s="32">
        <v>93</v>
      </c>
      <c r="K9" s="33">
        <v>191127</v>
      </c>
      <c r="L9" s="34">
        <f t="shared" si="0"/>
        <v>0.97770172800098221</v>
      </c>
      <c r="M9" s="33"/>
      <c r="N9" s="32"/>
      <c r="O9" s="446"/>
      <c r="P9" s="135"/>
      <c r="Q9" s="135"/>
    </row>
    <row r="10" spans="1:17" x14ac:dyDescent="0.3">
      <c r="A10" s="35" t="s">
        <v>238</v>
      </c>
      <c r="B10" s="36">
        <v>54</v>
      </c>
      <c r="C10" s="36">
        <v>114156</v>
      </c>
      <c r="D10" s="37"/>
      <c r="E10" s="38"/>
      <c r="F10" s="18"/>
      <c r="G10" s="39" t="s">
        <v>1</v>
      </c>
      <c r="H10" s="40">
        <v>5.5</v>
      </c>
      <c r="I10" s="31" t="s">
        <v>239</v>
      </c>
      <c r="J10" s="41">
        <v>54</v>
      </c>
      <c r="K10" s="42">
        <v>111381</v>
      </c>
      <c r="L10" s="34">
        <f t="shared" si="0"/>
        <v>0.97569115946599394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513</v>
      </c>
      <c r="C16" s="48">
        <f>SUM(C7:C15)</f>
        <v>1076916</v>
      </c>
      <c r="D16" s="49">
        <f>SUM(D7:D15)</f>
        <v>0</v>
      </c>
      <c r="E16" s="50">
        <f>SUM(E7:E15)</f>
        <v>0</v>
      </c>
      <c r="F16" s="51">
        <f>E16/C16</f>
        <v>0</v>
      </c>
      <c r="G16" s="52"/>
      <c r="H16" s="2"/>
      <c r="I16" s="2"/>
      <c r="J16" s="53">
        <f>SUM(J7:J15)</f>
        <v>511</v>
      </c>
      <c r="K16" s="53">
        <f>SUM(K7:K15)</f>
        <v>1048610</v>
      </c>
      <c r="L16" s="51">
        <f t="shared" si="0"/>
        <v>0.97371568441735479</v>
      </c>
      <c r="M16" s="50">
        <f>SUM(M7:M15)</f>
        <v>2</v>
      </c>
      <c r="N16" s="54">
        <f>SUM(N7:N15)</f>
        <v>4090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1052700</v>
      </c>
      <c r="L17" s="51">
        <f>K17/C16</f>
        <v>0.97751356651772281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'15'!B22+'16'!B16</f>
        <v>4327</v>
      </c>
      <c r="C22" s="57">
        <f>'15'!C22+'16'!C16</f>
        <v>9141687</v>
      </c>
      <c r="D22" s="57">
        <f>'15'!D22+'16'!D16</f>
        <v>11</v>
      </c>
      <c r="E22" s="57">
        <f>'15'!E22+'16'!E16</f>
        <v>23271</v>
      </c>
      <c r="F22" s="423">
        <f>E22/C22</f>
        <v>2.5455914209270127E-3</v>
      </c>
      <c r="G22" s="58" t="s">
        <v>1</v>
      </c>
      <c r="H22" s="59"/>
      <c r="I22" s="59"/>
      <c r="J22" s="57">
        <f>'15'!J22+'16'!J16</f>
        <v>4293</v>
      </c>
      <c r="K22" s="57">
        <f>'15'!K22+'16'!K16</f>
        <v>8949985</v>
      </c>
      <c r="L22" s="60">
        <f>K22/C22</f>
        <v>0.97902990990612559</v>
      </c>
      <c r="M22" s="57">
        <f>'15'!M22+'16'!M16</f>
        <v>23</v>
      </c>
      <c r="N22" s="57">
        <f>'15'!N22+'16'!N16</f>
        <v>47137</v>
      </c>
      <c r="O22" s="135"/>
      <c r="P22" s="135"/>
      <c r="Q22" s="135"/>
    </row>
    <row r="23" spans="1:17" x14ac:dyDescent="0.3">
      <c r="A23" s="521"/>
      <c r="B23" s="61">
        <f>'15'!B23</f>
        <v>1160</v>
      </c>
      <c r="C23" s="61">
        <f>'15'!C23</f>
        <v>2434871</v>
      </c>
      <c r="D23" s="61">
        <f>'15'!D23</f>
        <v>6</v>
      </c>
      <c r="E23" s="61">
        <f>'15'!E23</f>
        <v>12633</v>
      </c>
      <c r="F23" s="424">
        <f>E23/C23</f>
        <v>5.1883652152413823E-3</v>
      </c>
      <c r="G23" s="381" t="s">
        <v>195</v>
      </c>
      <c r="H23" s="59"/>
      <c r="I23" s="59"/>
      <c r="J23" s="61">
        <f>'15'!J23</f>
        <v>1150</v>
      </c>
      <c r="K23" s="61">
        <f>'15'!K23</f>
        <v>2379715</v>
      </c>
      <c r="L23" s="382">
        <f t="shared" ref="L23:L24" si="1">K23/C23</f>
        <v>0.97734746522505711</v>
      </c>
      <c r="M23" s="61">
        <f>'15'!M23</f>
        <v>4</v>
      </c>
      <c r="N23" s="61">
        <f>'15'!N23</f>
        <v>7662</v>
      </c>
      <c r="O23" s="135"/>
      <c r="P23" s="135"/>
      <c r="Q23" s="135"/>
    </row>
    <row r="24" spans="1:17" x14ac:dyDescent="0.3">
      <c r="A24" s="521"/>
      <c r="B24" s="61">
        <f>'15'!B24</f>
        <v>0</v>
      </c>
      <c r="C24" s="61">
        <f>'15'!C24</f>
        <v>0</v>
      </c>
      <c r="D24" s="61">
        <f>'15'!D24</f>
        <v>0</v>
      </c>
      <c r="E24" s="61">
        <f>'15'!E24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'15'!J24</f>
        <v>0</v>
      </c>
      <c r="K24" s="61">
        <f>'15'!K24</f>
        <v>0</v>
      </c>
      <c r="L24" s="382" t="e">
        <f t="shared" si="1"/>
        <v>#DIV/0!</v>
      </c>
      <c r="M24" s="61">
        <f>'15'!M24</f>
        <v>0</v>
      </c>
      <c r="N24" s="61">
        <f>'15'!N24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5487</v>
      </c>
      <c r="C26" s="68">
        <f>SUM(C21:C25)</f>
        <v>11576558</v>
      </c>
      <c r="D26" s="49">
        <f>SUM(D21:D25)</f>
        <v>17</v>
      </c>
      <c r="E26" s="69">
        <f>SUM(E22:E25)</f>
        <v>35904</v>
      </c>
      <c r="F26" s="51">
        <f>E26/C26</f>
        <v>3.1014399962406786E-3</v>
      </c>
      <c r="G26" s="51"/>
      <c r="H26" s="70"/>
      <c r="I26" s="70"/>
      <c r="J26" s="71">
        <f>SUM(J22:J25)</f>
        <v>5443</v>
      </c>
      <c r="K26" s="68">
        <f>SUM(K22:K25)</f>
        <v>11329700</v>
      </c>
      <c r="L26" s="51">
        <f>K26/C26</f>
        <v>0.9786760451595371</v>
      </c>
      <c r="M26" s="71">
        <f>SUM(M22:M25)</f>
        <v>27</v>
      </c>
      <c r="N26" s="54">
        <f>SUM(N22:N25)</f>
        <v>54799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11384499</v>
      </c>
      <c r="L27" s="51">
        <f>K27/C26</f>
        <v>0.98340966287215936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'15'!A30</f>
        <v>BIC</v>
      </c>
      <c r="B30" s="307" t="str">
        <f>'15'!B30</f>
        <v>P.6</v>
      </c>
      <c r="C30" s="307" t="str">
        <f>'15'!C30</f>
        <v>BjTPG280</v>
      </c>
      <c r="D30" s="308">
        <f>'15'!D30</f>
        <v>239</v>
      </c>
      <c r="E30" s="308">
        <f>'15'!E30</f>
        <v>497038</v>
      </c>
      <c r="F30" s="79"/>
      <c r="G30" s="307" t="str">
        <f>'15'!G30</f>
        <v>WR</v>
      </c>
      <c r="H30" s="309">
        <f>'15'!H30</f>
        <v>18</v>
      </c>
      <c r="I30" s="309">
        <f>'15'!I30</f>
        <v>8</v>
      </c>
      <c r="J30" s="170">
        <f>'15'!J30</f>
        <v>68</v>
      </c>
      <c r="K30" s="310">
        <f>'15'!K30</f>
        <v>140152</v>
      </c>
      <c r="L30" s="79"/>
      <c r="M30" s="307" t="str">
        <f>'15'!M30</f>
        <v>WR</v>
      </c>
      <c r="N30" s="309">
        <f>'15'!N30</f>
        <v>0</v>
      </c>
      <c r="O30" s="309">
        <f>'15'!O30</f>
        <v>0</v>
      </c>
      <c r="P30" s="170">
        <f>'15'!P30</f>
        <v>0</v>
      </c>
      <c r="Q30" s="310">
        <f>'15'!Q30</f>
        <v>0</v>
      </c>
    </row>
    <row r="31" spans="1:17" x14ac:dyDescent="0.3">
      <c r="A31" s="307" t="str">
        <f>'15'!A31</f>
        <v>WR</v>
      </c>
      <c r="B31" s="307">
        <f>'15'!B31</f>
        <v>6.5</v>
      </c>
      <c r="C31" s="307">
        <f>'15'!C31</f>
        <v>8</v>
      </c>
      <c r="D31" s="308">
        <f>'15'!D31</f>
        <v>144</v>
      </c>
      <c r="E31" s="308">
        <f>'15'!E31</f>
        <v>301505</v>
      </c>
      <c r="F31" s="135"/>
      <c r="G31" s="307" t="str">
        <f>'15'!G31</f>
        <v>WR</v>
      </c>
      <c r="H31" s="309">
        <f>'15'!H31</f>
        <v>7.5</v>
      </c>
      <c r="I31" s="309">
        <f>'15'!I31</f>
        <v>8</v>
      </c>
      <c r="J31" s="170">
        <f>'15'!J31</f>
        <v>96</v>
      </c>
      <c r="K31" s="310">
        <f>'15'!K31</f>
        <v>200884</v>
      </c>
      <c r="L31" s="135"/>
      <c r="M31" s="307" t="str">
        <f>'15'!M31</f>
        <v>WR</v>
      </c>
      <c r="N31" s="309">
        <f>'15'!N31</f>
        <v>0</v>
      </c>
      <c r="O31" s="309">
        <f>'15'!O31</f>
        <v>0</v>
      </c>
      <c r="P31" s="170">
        <f>'15'!P31</f>
        <v>0</v>
      </c>
      <c r="Q31" s="310">
        <f>'15'!Q31</f>
        <v>0</v>
      </c>
    </row>
    <row r="32" spans="1:17" x14ac:dyDescent="0.3">
      <c r="A32" s="307" t="str">
        <f>'15'!A32</f>
        <v>WR</v>
      </c>
      <c r="B32" s="307">
        <f>'15'!B32</f>
        <v>6.5</v>
      </c>
      <c r="C32" s="307">
        <f>'15'!C32</f>
        <v>10</v>
      </c>
      <c r="D32" s="308">
        <f>'15'!D32</f>
        <v>48</v>
      </c>
      <c r="E32" s="308">
        <f>'15'!E32</f>
        <v>99149</v>
      </c>
      <c r="F32" s="135"/>
      <c r="G32" s="307" t="str">
        <f>'15'!G32</f>
        <v>WR</v>
      </c>
      <c r="H32" s="309">
        <f>'15'!H32</f>
        <v>7.5</v>
      </c>
      <c r="I32" s="309">
        <f>'15'!I32</f>
        <v>15</v>
      </c>
      <c r="J32" s="170">
        <f>'15'!J32</f>
        <v>474</v>
      </c>
      <c r="K32" s="310">
        <f>'15'!K32</f>
        <v>981938</v>
      </c>
      <c r="L32" s="135"/>
      <c r="M32" s="307" t="str">
        <f>'15'!M32</f>
        <v>WR</v>
      </c>
      <c r="N32" s="309">
        <f>'15'!N32</f>
        <v>0</v>
      </c>
      <c r="O32" s="309">
        <f>'15'!O32</f>
        <v>0</v>
      </c>
      <c r="P32" s="170">
        <f>'15'!P32</f>
        <v>0</v>
      </c>
      <c r="Q32" s="310">
        <f>'15'!Q32</f>
        <v>0</v>
      </c>
    </row>
    <row r="33" spans="1:17" x14ac:dyDescent="0.3">
      <c r="A33" s="307" t="str">
        <f>'15'!A33</f>
        <v>WR</v>
      </c>
      <c r="B33" s="307">
        <f>'15'!B33</f>
        <v>6.5</v>
      </c>
      <c r="C33" s="307">
        <f>'15'!C33</f>
        <v>15</v>
      </c>
      <c r="D33" s="308">
        <f>'15'!D33</f>
        <v>6</v>
      </c>
      <c r="E33" s="308">
        <f>'15'!E33</f>
        <v>12304</v>
      </c>
      <c r="F33" s="135"/>
      <c r="G33" s="307" t="str">
        <f>'15'!G33</f>
        <v>WR</v>
      </c>
      <c r="H33" s="309">
        <v>5.5</v>
      </c>
      <c r="I33" s="309">
        <v>22</v>
      </c>
      <c r="J33" s="310">
        <f>J8+J9</f>
        <v>436</v>
      </c>
      <c r="K33" s="310">
        <f>K8+K9</f>
        <v>893285</v>
      </c>
      <c r="L33" s="135"/>
      <c r="M33" s="307" t="str">
        <f>'15'!M33</f>
        <v>WR</v>
      </c>
      <c r="N33" s="309">
        <f>'15'!N33</f>
        <v>0</v>
      </c>
      <c r="O33" s="309">
        <f>'15'!O33</f>
        <v>0</v>
      </c>
      <c r="P33" s="170">
        <f>'15'!P33</f>
        <v>0</v>
      </c>
      <c r="Q33" s="310">
        <f>'15'!Q33</f>
        <v>0</v>
      </c>
    </row>
    <row r="34" spans="1:17" x14ac:dyDescent="0.3">
      <c r="A34" s="307" t="str">
        <f>'15'!A34</f>
        <v>WR</v>
      </c>
      <c r="B34" s="307">
        <f>'15'!B34</f>
        <v>5.5</v>
      </c>
      <c r="C34" s="307">
        <f>'15'!C34</f>
        <v>6</v>
      </c>
      <c r="D34" s="308">
        <f>'15'!D34+J7</f>
        <v>793</v>
      </c>
      <c r="E34" s="308">
        <f>'15'!E34+K7</f>
        <v>1663962</v>
      </c>
      <c r="F34" s="135"/>
      <c r="G34" s="307" t="str">
        <f>'15'!G34</f>
        <v>WR</v>
      </c>
      <c r="H34" s="309">
        <f>'15'!H34</f>
        <v>0</v>
      </c>
      <c r="I34" s="309">
        <f>'15'!I34</f>
        <v>0</v>
      </c>
      <c r="J34" s="170">
        <f>'15'!J34</f>
        <v>0</v>
      </c>
      <c r="K34" s="310">
        <f>'15'!K34</f>
        <v>0</v>
      </c>
      <c r="L34" s="135"/>
      <c r="M34" s="307" t="str">
        <f>'15'!M34</f>
        <v>WR</v>
      </c>
      <c r="N34" s="309">
        <f>'15'!N34</f>
        <v>0</v>
      </c>
      <c r="O34" s="309">
        <f>'15'!O34</f>
        <v>0</v>
      </c>
      <c r="P34" s="170">
        <f>'15'!P34</f>
        <v>0</v>
      </c>
      <c r="Q34" s="310">
        <f>'15'!Q34</f>
        <v>0</v>
      </c>
    </row>
    <row r="35" spans="1:17" x14ac:dyDescent="0.3">
      <c r="A35" s="307" t="str">
        <f>'15'!A35</f>
        <v>WR</v>
      </c>
      <c r="B35" s="307">
        <f>'15'!B35</f>
        <v>5.5</v>
      </c>
      <c r="C35" s="307" t="str">
        <f>'15'!C35</f>
        <v>8.A</v>
      </c>
      <c r="D35" s="308">
        <f>'15'!D35</f>
        <v>75</v>
      </c>
      <c r="E35" s="308">
        <f>'15'!E35</f>
        <v>157414</v>
      </c>
      <c r="F35" s="135"/>
      <c r="G35" s="307" t="str">
        <f>'15'!G35</f>
        <v>WR</v>
      </c>
      <c r="H35" s="309">
        <f>'15'!H35</f>
        <v>0</v>
      </c>
      <c r="I35" s="309">
        <f>'15'!I35</f>
        <v>0</v>
      </c>
      <c r="J35" s="170">
        <f>'15'!J35</f>
        <v>0</v>
      </c>
      <c r="K35" s="310">
        <f>'15'!K35</f>
        <v>0</v>
      </c>
      <c r="L35" s="135"/>
      <c r="M35" s="307" t="str">
        <f>'15'!M35</f>
        <v>WR</v>
      </c>
      <c r="N35" s="309">
        <f>'15'!N35</f>
        <v>0</v>
      </c>
      <c r="O35" s="309">
        <f>'15'!O35</f>
        <v>0</v>
      </c>
      <c r="P35" s="170">
        <f>'15'!P35</f>
        <v>0</v>
      </c>
      <c r="Q35" s="310">
        <f>'15'!Q35</f>
        <v>0</v>
      </c>
    </row>
    <row r="36" spans="1:17" x14ac:dyDescent="0.3">
      <c r="A36" s="307" t="str">
        <f>'15'!A36</f>
        <v>WR</v>
      </c>
      <c r="B36" s="307">
        <f>'15'!B36</f>
        <v>5.5</v>
      </c>
      <c r="C36" s="307" t="str">
        <f>'15'!C36</f>
        <v>22.A</v>
      </c>
      <c r="D36" s="308">
        <f>'15'!D36+J10</f>
        <v>338</v>
      </c>
      <c r="E36" s="308">
        <f>'15'!E36+K10</f>
        <v>704726</v>
      </c>
      <c r="F36" s="135"/>
      <c r="G36" s="307" t="str">
        <f>'15'!G36</f>
        <v>WR</v>
      </c>
      <c r="H36" s="309">
        <f>'15'!H36</f>
        <v>0</v>
      </c>
      <c r="I36" s="309">
        <f>'15'!I36</f>
        <v>0</v>
      </c>
      <c r="J36" s="170">
        <f>'15'!J36</f>
        <v>0</v>
      </c>
      <c r="K36" s="310">
        <f>'15'!K36</f>
        <v>0</v>
      </c>
      <c r="L36" s="135"/>
      <c r="M36" s="307" t="str">
        <f>'15'!M36</f>
        <v>WR</v>
      </c>
      <c r="N36" s="309">
        <f>'15'!N36</f>
        <v>0</v>
      </c>
      <c r="O36" s="309">
        <f>'15'!O36</f>
        <v>0</v>
      </c>
      <c r="P36" s="170">
        <f>'15'!P36</f>
        <v>0</v>
      </c>
      <c r="Q36" s="310">
        <f>'15'!Q36</f>
        <v>0</v>
      </c>
    </row>
    <row r="37" spans="1:17" x14ac:dyDescent="0.3">
      <c r="A37" s="307" t="str">
        <f>'15'!A37</f>
        <v>WR</v>
      </c>
      <c r="B37" s="307">
        <f>'15'!B37</f>
        <v>5.5</v>
      </c>
      <c r="C37" s="307" t="str">
        <f>'15'!C37</f>
        <v>Y.11</v>
      </c>
      <c r="D37" s="308">
        <f>'15'!D37</f>
        <v>526</v>
      </c>
      <c r="E37" s="308">
        <f>'15'!E37</f>
        <v>1102590</v>
      </c>
      <c r="F37" s="135"/>
      <c r="G37" s="307" t="str">
        <f>'15'!G37</f>
        <v>WR</v>
      </c>
      <c r="H37" s="309">
        <f>'15'!H37</f>
        <v>0</v>
      </c>
      <c r="I37" s="309">
        <f>'15'!I37</f>
        <v>0</v>
      </c>
      <c r="J37" s="170">
        <f>'15'!J37</f>
        <v>0</v>
      </c>
      <c r="K37" s="310">
        <f>'15'!K37</f>
        <v>0</v>
      </c>
      <c r="L37" s="135"/>
      <c r="M37" s="307" t="str">
        <f>'15'!M37</f>
        <v>WR</v>
      </c>
      <c r="N37" s="309">
        <f>'15'!N37</f>
        <v>0</v>
      </c>
      <c r="O37" s="309">
        <f>'15'!O37</f>
        <v>0</v>
      </c>
      <c r="P37" s="170">
        <f>'15'!P37</f>
        <v>0</v>
      </c>
      <c r="Q37" s="310">
        <f>'15'!Q37</f>
        <v>0</v>
      </c>
    </row>
    <row r="38" spans="1:17" x14ac:dyDescent="0.3">
      <c r="A38" s="307" t="str">
        <f>'15'!A38</f>
        <v>WR</v>
      </c>
      <c r="B38" s="307">
        <f>'15'!B38</f>
        <v>5.5</v>
      </c>
      <c r="C38" s="307" t="str">
        <f>'15'!C38</f>
        <v>67.A</v>
      </c>
      <c r="D38" s="308">
        <f>'15'!D38</f>
        <v>72</v>
      </c>
      <c r="E38" s="308">
        <f>'15'!E38</f>
        <v>152182</v>
      </c>
      <c r="F38" s="135"/>
      <c r="G38" s="307" t="str">
        <f>'15'!G38</f>
        <v>WR</v>
      </c>
      <c r="H38" s="309">
        <f>'15'!H38</f>
        <v>0</v>
      </c>
      <c r="I38" s="309">
        <f>'15'!I38</f>
        <v>0</v>
      </c>
      <c r="J38" s="170">
        <f>'15'!J38</f>
        <v>0</v>
      </c>
      <c r="K38" s="310">
        <f>'15'!K38</f>
        <v>0</v>
      </c>
      <c r="L38" s="135"/>
      <c r="M38" s="307" t="str">
        <f>'15'!M38</f>
        <v>WR</v>
      </c>
      <c r="N38" s="309">
        <f>'15'!N38</f>
        <v>0</v>
      </c>
      <c r="O38" s="309">
        <f>'15'!O38</f>
        <v>0</v>
      </c>
      <c r="P38" s="170">
        <f>'15'!P38</f>
        <v>0</v>
      </c>
      <c r="Q38" s="310">
        <f>'15'!Q38</f>
        <v>0</v>
      </c>
    </row>
    <row r="39" spans="1:17" x14ac:dyDescent="0.3">
      <c r="A39" s="307" t="str">
        <f>'15'!A39</f>
        <v>BIC</v>
      </c>
      <c r="B39" s="307" t="str">
        <f>'15'!B39</f>
        <v>P.8</v>
      </c>
      <c r="C39" s="307" t="str">
        <f>'15'!C39</f>
        <v>BjTPG280</v>
      </c>
      <c r="D39" s="308">
        <f>'15'!D39</f>
        <v>240</v>
      </c>
      <c r="E39" s="308">
        <f>'15'!E39</f>
        <v>499780</v>
      </c>
      <c r="F39" s="135"/>
      <c r="G39" s="307" t="str">
        <f>'15'!G39</f>
        <v>WR</v>
      </c>
      <c r="H39" s="309">
        <f>'15'!H39</f>
        <v>0</v>
      </c>
      <c r="I39" s="309">
        <f>'15'!I39</f>
        <v>0</v>
      </c>
      <c r="J39" s="170">
        <f>'15'!J39</f>
        <v>0</v>
      </c>
      <c r="K39" s="310">
        <f>'15'!K39</f>
        <v>0</v>
      </c>
      <c r="L39" s="135"/>
      <c r="M39" s="307" t="str">
        <f>'15'!M39</f>
        <v>WR</v>
      </c>
      <c r="N39" s="309">
        <f>'15'!N39</f>
        <v>0</v>
      </c>
      <c r="O39" s="309">
        <f>'15'!O39</f>
        <v>0</v>
      </c>
      <c r="P39" s="170">
        <f>'15'!P39</f>
        <v>0</v>
      </c>
      <c r="Q39" s="310">
        <f>'15'!Q39</f>
        <v>0</v>
      </c>
    </row>
    <row r="40" spans="1:17" x14ac:dyDescent="0.3">
      <c r="A40" s="307" t="str">
        <f>'15'!A40</f>
        <v>BIC</v>
      </c>
      <c r="B40" s="307" t="str">
        <f>'15'!B40</f>
        <v>S.8</v>
      </c>
      <c r="C40" s="307" t="str">
        <f>'15'!C40</f>
        <v>BjTSG420</v>
      </c>
      <c r="D40" s="308">
        <f>'15'!D40</f>
        <v>335</v>
      </c>
      <c r="E40" s="308">
        <f>'15'!E40</f>
        <v>688721</v>
      </c>
      <c r="F40" s="135"/>
      <c r="G40" s="307" t="str">
        <f>'15'!G40</f>
        <v>WR</v>
      </c>
      <c r="H40" s="309">
        <f>'15'!H40</f>
        <v>0</v>
      </c>
      <c r="I40" s="309">
        <f>'15'!I40</f>
        <v>0</v>
      </c>
      <c r="J40" s="170">
        <f>'15'!J40</f>
        <v>0</v>
      </c>
      <c r="K40" s="310">
        <f>'15'!K40</f>
        <v>0</v>
      </c>
      <c r="L40" s="135"/>
      <c r="M40" s="307" t="str">
        <f>'15'!M40</f>
        <v>WR</v>
      </c>
      <c r="N40" s="309">
        <f>'15'!N40</f>
        <v>0</v>
      </c>
      <c r="O40" s="309">
        <f>'15'!O40</f>
        <v>0</v>
      </c>
      <c r="P40" s="170">
        <f>'15'!P40</f>
        <v>0</v>
      </c>
      <c r="Q40" s="310">
        <f>'15'!Q40</f>
        <v>0</v>
      </c>
    </row>
    <row r="41" spans="1:17" x14ac:dyDescent="0.3">
      <c r="A41" s="307" t="str">
        <f>'15'!A41</f>
        <v>BIC</v>
      </c>
      <c r="B41" s="307" t="str">
        <f>'15'!B41</f>
        <v>S.10</v>
      </c>
      <c r="C41" s="307" t="str">
        <f>'15'!C41</f>
        <v>BjTSG420</v>
      </c>
      <c r="D41" s="308">
        <f>'15'!D41</f>
        <v>144</v>
      </c>
      <c r="E41" s="308">
        <f>'15'!E41</f>
        <v>295842</v>
      </c>
      <c r="F41" s="135"/>
      <c r="G41" s="307" t="str">
        <f>'15'!G41</f>
        <v>WR</v>
      </c>
      <c r="H41" s="309">
        <f>'15'!H41</f>
        <v>0</v>
      </c>
      <c r="I41" s="309">
        <f>'15'!I41</f>
        <v>0</v>
      </c>
      <c r="J41" s="170">
        <f>'15'!J41</f>
        <v>0</v>
      </c>
      <c r="K41" s="310">
        <f>'15'!K41</f>
        <v>0</v>
      </c>
      <c r="L41" s="135"/>
      <c r="M41" s="307" t="str">
        <f>'15'!M41</f>
        <v>WR</v>
      </c>
      <c r="N41" s="309">
        <f>'15'!N41</f>
        <v>0</v>
      </c>
      <c r="O41" s="309">
        <f>'15'!O41</f>
        <v>0</v>
      </c>
      <c r="P41" s="170">
        <f>'15'!P41</f>
        <v>0</v>
      </c>
      <c r="Q41" s="310">
        <f>'15'!Q41</f>
        <v>0</v>
      </c>
    </row>
    <row r="42" spans="1:17" x14ac:dyDescent="0.3">
      <c r="A42" s="307" t="str">
        <f>'15'!A42</f>
        <v>WR</v>
      </c>
      <c r="B42" s="307">
        <f>'15'!B42</f>
        <v>5.5</v>
      </c>
      <c r="C42" s="307">
        <f>'15'!C42</f>
        <v>8</v>
      </c>
      <c r="D42" s="308">
        <f>'15'!D42</f>
        <v>287</v>
      </c>
      <c r="E42" s="308">
        <f>'15'!E42</f>
        <v>601921</v>
      </c>
      <c r="F42" s="135"/>
      <c r="G42" s="307" t="str">
        <f>'15'!G42</f>
        <v>WR</v>
      </c>
      <c r="H42" s="309">
        <f>'15'!H42</f>
        <v>0</v>
      </c>
      <c r="I42" s="309">
        <f>'15'!I42</f>
        <v>0</v>
      </c>
      <c r="J42" s="170">
        <f>'15'!J42</f>
        <v>0</v>
      </c>
      <c r="K42" s="310">
        <f>'15'!K42</f>
        <v>0</v>
      </c>
      <c r="L42" s="135"/>
      <c r="M42" s="307" t="str">
        <f>'15'!M42</f>
        <v>WR</v>
      </c>
      <c r="N42" s="309">
        <f>'15'!N42</f>
        <v>0</v>
      </c>
      <c r="O42" s="309">
        <f>'15'!O42</f>
        <v>0</v>
      </c>
      <c r="P42" s="170">
        <f>'15'!P42</f>
        <v>0</v>
      </c>
      <c r="Q42" s="310">
        <f>'15'!Q42</f>
        <v>0</v>
      </c>
    </row>
    <row r="43" spans="1:17" x14ac:dyDescent="0.3">
      <c r="A43" s="307" t="str">
        <f>'15'!A43</f>
        <v>WR</v>
      </c>
      <c r="B43" s="307">
        <f>'15'!B43</f>
        <v>5.5</v>
      </c>
      <c r="C43" s="307" t="str">
        <f>'15'!C43</f>
        <v>67.B</v>
      </c>
      <c r="D43" s="308">
        <f>'15'!D43</f>
        <v>144</v>
      </c>
      <c r="E43" s="308">
        <f>'15'!E43</f>
        <v>304535</v>
      </c>
      <c r="F43" s="135"/>
      <c r="G43" s="307" t="str">
        <f>'15'!G43</f>
        <v>WR</v>
      </c>
      <c r="H43" s="309">
        <f>'15'!H43</f>
        <v>0</v>
      </c>
      <c r="I43" s="309">
        <f>'15'!I43</f>
        <v>0</v>
      </c>
      <c r="J43" s="170">
        <f>'15'!J43</f>
        <v>0</v>
      </c>
      <c r="K43" s="310">
        <f>'15'!K43</f>
        <v>0</v>
      </c>
      <c r="L43" s="135"/>
      <c r="M43" s="307" t="str">
        <f>'15'!M43</f>
        <v>WR</v>
      </c>
      <c r="N43" s="309">
        <f>'15'!N43</f>
        <v>0</v>
      </c>
      <c r="O43" s="309">
        <f>'15'!O43</f>
        <v>0</v>
      </c>
      <c r="P43" s="170">
        <f>'15'!P43</f>
        <v>0</v>
      </c>
      <c r="Q43" s="310">
        <f>'15'!Q43</f>
        <v>0</v>
      </c>
    </row>
    <row r="44" spans="1:17" x14ac:dyDescent="0.3">
      <c r="A44" s="307" t="str">
        <f>'15'!A44</f>
        <v>BIC</v>
      </c>
      <c r="B44" s="307" t="str">
        <f>'15'!B44</f>
        <v>P.10</v>
      </c>
      <c r="C44" s="307" t="str">
        <f>'15'!C44</f>
        <v>BjTPG280</v>
      </c>
      <c r="D44" s="308">
        <f>'15'!D44</f>
        <v>144</v>
      </c>
      <c r="E44" s="308">
        <f>'15'!E44</f>
        <v>299930</v>
      </c>
      <c r="F44" s="135"/>
      <c r="G44" s="307" t="str">
        <f>'15'!G44</f>
        <v>WR</v>
      </c>
      <c r="H44" s="309">
        <f>'15'!H44</f>
        <v>0</v>
      </c>
      <c r="I44" s="309">
        <f>'15'!I44</f>
        <v>0</v>
      </c>
      <c r="J44" s="170">
        <f>'15'!J44</f>
        <v>0</v>
      </c>
      <c r="K44" s="310">
        <f>'15'!K44</f>
        <v>0</v>
      </c>
      <c r="L44" s="135"/>
      <c r="M44" s="307" t="str">
        <f>'15'!M44</f>
        <v>WR</v>
      </c>
      <c r="N44" s="309">
        <f>'15'!N44</f>
        <v>0</v>
      </c>
      <c r="O44" s="309">
        <f>'15'!O44</f>
        <v>0</v>
      </c>
      <c r="P44" s="170">
        <f>'15'!P44</f>
        <v>0</v>
      </c>
      <c r="Q44" s="310">
        <f>'15'!Q44</f>
        <v>0</v>
      </c>
    </row>
    <row r="45" spans="1:17" x14ac:dyDescent="0.3">
      <c r="A45" s="307" t="str">
        <f>'15'!A45</f>
        <v>BIC</v>
      </c>
      <c r="B45" s="307" t="str">
        <f>'15'!B45</f>
        <v>S.6</v>
      </c>
      <c r="C45" s="307" t="str">
        <f>'15'!C45</f>
        <v>BjTSG420</v>
      </c>
      <c r="D45" s="308">
        <f>'15'!D45</f>
        <v>48</v>
      </c>
      <c r="E45" s="308">
        <f>'15'!E45</f>
        <v>98404</v>
      </c>
      <c r="F45" s="135"/>
      <c r="G45" s="307" t="str">
        <f>'15'!G45</f>
        <v>WR</v>
      </c>
      <c r="H45" s="309">
        <f>'15'!H45</f>
        <v>0</v>
      </c>
      <c r="I45" s="309">
        <f>'15'!I45</f>
        <v>0</v>
      </c>
      <c r="J45" s="170">
        <f>'15'!J45</f>
        <v>0</v>
      </c>
      <c r="K45" s="310">
        <f>'15'!K45</f>
        <v>0</v>
      </c>
      <c r="L45" s="135"/>
      <c r="M45" s="307" t="str">
        <f>'15'!M45</f>
        <v>WR</v>
      </c>
      <c r="N45" s="309">
        <f>'15'!N45</f>
        <v>0</v>
      </c>
      <c r="O45" s="309">
        <f>'15'!O45</f>
        <v>0</v>
      </c>
      <c r="P45" s="170">
        <f>'15'!P45</f>
        <v>0</v>
      </c>
      <c r="Q45" s="310">
        <f>'15'!Q45</f>
        <v>0</v>
      </c>
    </row>
    <row r="46" spans="1:17" x14ac:dyDescent="0.3">
      <c r="A46" s="307" t="str">
        <f>'15'!A46</f>
        <v>WR</v>
      </c>
      <c r="B46" s="307">
        <f>'15'!B46</f>
        <v>17</v>
      </c>
      <c r="C46" s="307">
        <f>'15'!C46</f>
        <v>8</v>
      </c>
      <c r="D46" s="308">
        <f>'15'!D46</f>
        <v>91</v>
      </c>
      <c r="E46" s="308">
        <f>'15'!E46</f>
        <v>188048</v>
      </c>
      <c r="F46" s="135"/>
      <c r="G46" s="307" t="str">
        <f>'15'!G46</f>
        <v>WR</v>
      </c>
      <c r="H46" s="309">
        <f>'15'!H46</f>
        <v>0</v>
      </c>
      <c r="I46" s="309">
        <f>'15'!I46</f>
        <v>0</v>
      </c>
      <c r="J46" s="170">
        <f>'15'!J46</f>
        <v>0</v>
      </c>
      <c r="K46" s="310">
        <f>'15'!K46</f>
        <v>0</v>
      </c>
      <c r="L46" s="135"/>
      <c r="M46" s="307" t="str">
        <f>'15'!M46</f>
        <v>WR</v>
      </c>
      <c r="N46" s="309">
        <f>'15'!N46</f>
        <v>0</v>
      </c>
      <c r="O46" s="309">
        <f>'15'!O46</f>
        <v>0</v>
      </c>
      <c r="P46" s="170">
        <f>'15'!P46</f>
        <v>0</v>
      </c>
      <c r="Q46" s="310">
        <f>'15'!Q46</f>
        <v>0</v>
      </c>
    </row>
    <row r="47" spans="1:17" x14ac:dyDescent="0.3">
      <c r="A47" s="307" t="str">
        <f>'15'!A47</f>
        <v>WR</v>
      </c>
      <c r="B47" s="307">
        <f>'15'!B47</f>
        <v>8.5</v>
      </c>
      <c r="C47" s="307">
        <f>'15'!C47</f>
        <v>15</v>
      </c>
      <c r="D47" s="308">
        <f>'15'!D47</f>
        <v>432</v>
      </c>
      <c r="E47" s="308">
        <f>'15'!E47</f>
        <v>897401</v>
      </c>
      <c r="F47" s="135"/>
      <c r="G47" s="307" t="str">
        <f>'15'!G47</f>
        <v>WR</v>
      </c>
      <c r="H47" s="309">
        <f>'15'!H47</f>
        <v>0</v>
      </c>
      <c r="I47" s="309">
        <f>'15'!I47</f>
        <v>0</v>
      </c>
      <c r="J47" s="170">
        <f>'15'!J47</f>
        <v>0</v>
      </c>
      <c r="K47" s="310">
        <f>'15'!K47</f>
        <v>0</v>
      </c>
      <c r="L47" s="135"/>
      <c r="M47" s="307" t="str">
        <f>'15'!M47</f>
        <v>WR</v>
      </c>
      <c r="N47" s="309">
        <f>'15'!N47</f>
        <v>0</v>
      </c>
      <c r="O47" s="309">
        <f>'15'!O47</f>
        <v>0</v>
      </c>
      <c r="P47" s="170">
        <f>'15'!P47</f>
        <v>0</v>
      </c>
      <c r="Q47" s="310">
        <f>'15'!Q47</f>
        <v>0</v>
      </c>
    </row>
    <row r="48" spans="1:17" x14ac:dyDescent="0.3">
      <c r="A48" s="307" t="str">
        <f>'15'!A48</f>
        <v>WR</v>
      </c>
      <c r="B48" s="307">
        <f>'15'!B48</f>
        <v>6.5</v>
      </c>
      <c r="C48" s="307">
        <f>'15'!C48</f>
        <v>8</v>
      </c>
      <c r="D48" s="308">
        <f>'15'!D48</f>
        <v>144</v>
      </c>
      <c r="E48" s="308">
        <f>'15'!E48</f>
        <v>300807</v>
      </c>
      <c r="F48" s="135"/>
      <c r="G48" s="307" t="str">
        <f>'15'!G48</f>
        <v>WR</v>
      </c>
      <c r="H48" s="309">
        <f>'15'!H48</f>
        <v>0</v>
      </c>
      <c r="I48" s="309">
        <f>'15'!I48</f>
        <v>0</v>
      </c>
      <c r="J48" s="170">
        <f>'15'!J48</f>
        <v>0</v>
      </c>
      <c r="K48" s="310">
        <f>'15'!K48</f>
        <v>0</v>
      </c>
      <c r="L48" s="135"/>
      <c r="M48" s="307" t="str">
        <f>'15'!M48</f>
        <v>WR</v>
      </c>
      <c r="N48" s="309">
        <f>'15'!N48</f>
        <v>0</v>
      </c>
      <c r="O48" s="309">
        <f>'15'!O48</f>
        <v>0</v>
      </c>
      <c r="P48" s="170">
        <f>'15'!P48</f>
        <v>0</v>
      </c>
      <c r="Q48" s="310">
        <f>'15'!Q48</f>
        <v>0</v>
      </c>
    </row>
    <row r="49" spans="1:23" x14ac:dyDescent="0.3">
      <c r="A49" s="307" t="str">
        <f>'15'!A49</f>
        <v>WR</v>
      </c>
      <c r="B49" s="307">
        <f>'15'!B49</f>
        <v>6.5</v>
      </c>
      <c r="C49" s="307">
        <f>'15'!C49</f>
        <v>15</v>
      </c>
      <c r="D49" s="308">
        <f>'15'!D49</f>
        <v>119</v>
      </c>
      <c r="E49" s="308">
        <f>'15'!E49</f>
        <v>247182</v>
      </c>
      <c r="F49" s="3"/>
      <c r="G49" s="307" t="str">
        <f>'15'!G49</f>
        <v>WR</v>
      </c>
      <c r="H49" s="309">
        <f>'15'!H49</f>
        <v>0</v>
      </c>
      <c r="I49" s="309">
        <f>'15'!I49</f>
        <v>0</v>
      </c>
      <c r="J49" s="170">
        <f>'15'!J49</f>
        <v>0</v>
      </c>
      <c r="K49" s="310">
        <f>'15'!K49</f>
        <v>0</v>
      </c>
      <c r="L49" s="3"/>
      <c r="M49" s="307" t="str">
        <f>'15'!M49</f>
        <v>WR</v>
      </c>
      <c r="N49" s="309">
        <f>'15'!N49</f>
        <v>0</v>
      </c>
      <c r="O49" s="309">
        <f>'15'!O49</f>
        <v>0</v>
      </c>
      <c r="P49" s="170">
        <f>'15'!P49</f>
        <v>0</v>
      </c>
      <c r="Q49" s="310">
        <f>'15'!Q49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46038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354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40">
        <v>12</v>
      </c>
      <c r="C55" s="80"/>
      <c r="D55" s="544" t="s">
        <v>346</v>
      </c>
      <c r="E55" s="545"/>
      <c r="F55" s="545"/>
      <c r="G55" s="545"/>
      <c r="H55" s="545"/>
      <c r="I55" s="546"/>
      <c r="J55" s="97">
        <v>30</v>
      </c>
      <c r="K55" s="391"/>
      <c r="L55" s="466" t="s">
        <v>26</v>
      </c>
      <c r="M55" s="467"/>
      <c r="N55" s="467"/>
      <c r="O55" s="392" t="s">
        <v>13</v>
      </c>
      <c r="P55" s="393">
        <f>C16</f>
        <v>1076916</v>
      </c>
      <c r="Q55" s="394">
        <f>C26</f>
        <v>11576558</v>
      </c>
      <c r="R55" s="395"/>
      <c r="S55" s="388">
        <f>DAY(A52)</f>
        <v>16</v>
      </c>
      <c r="T55" s="383">
        <f>S55-U55</f>
        <v>11</v>
      </c>
      <c r="U55" s="383">
        <f>'15'!U55</f>
        <v>5</v>
      </c>
    </row>
    <row r="56" spans="1:23" x14ac:dyDescent="0.3">
      <c r="A56" s="95" t="s">
        <v>37</v>
      </c>
      <c r="B56" s="441">
        <v>11</v>
      </c>
      <c r="C56" s="82"/>
      <c r="D56" s="544" t="s">
        <v>347</v>
      </c>
      <c r="E56" s="545"/>
      <c r="F56" s="545"/>
      <c r="G56" s="545"/>
      <c r="H56" s="545"/>
      <c r="I56" s="546"/>
      <c r="J56" s="97">
        <v>32</v>
      </c>
      <c r="K56" s="391"/>
      <c r="L56" s="502" t="s">
        <v>191</v>
      </c>
      <c r="M56" s="498"/>
      <c r="N56" s="498"/>
      <c r="O56" s="396" t="s">
        <v>13</v>
      </c>
      <c r="P56" s="397">
        <f>K17</f>
        <v>1052700</v>
      </c>
      <c r="Q56" s="398">
        <f>K27</f>
        <v>11384499</v>
      </c>
      <c r="R56" s="399"/>
    </row>
    <row r="57" spans="1:23" x14ac:dyDescent="0.3">
      <c r="A57" s="95" t="s">
        <v>39</v>
      </c>
      <c r="B57" s="441">
        <v>24</v>
      </c>
      <c r="C57" s="82"/>
      <c r="D57" s="544"/>
      <c r="E57" s="545"/>
      <c r="F57" s="545"/>
      <c r="G57" s="545"/>
      <c r="H57" s="545"/>
      <c r="I57" s="546"/>
      <c r="J57" s="97"/>
      <c r="K57" s="391"/>
      <c r="L57" s="468" t="s">
        <v>19</v>
      </c>
      <c r="M57" s="469"/>
      <c r="N57" s="469"/>
      <c r="O57" s="400" t="s">
        <v>14</v>
      </c>
      <c r="P57" s="401">
        <f>L17</f>
        <v>0.97751356651772281</v>
      </c>
      <c r="Q57" s="430">
        <f>L27</f>
        <v>0.98340966287215936</v>
      </c>
      <c r="R57" s="403">
        <v>0.98499999999999999</v>
      </c>
    </row>
    <row r="58" spans="1:23" x14ac:dyDescent="0.3">
      <c r="A58" s="95" t="s">
        <v>41</v>
      </c>
      <c r="B58" s="441">
        <v>23</v>
      </c>
      <c r="C58" s="82"/>
      <c r="D58" s="544"/>
      <c r="E58" s="545"/>
      <c r="F58" s="545"/>
      <c r="G58" s="545"/>
      <c r="H58" s="545"/>
      <c r="I58" s="546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35904</v>
      </c>
      <c r="R58" s="395"/>
    </row>
    <row r="59" spans="1:23" x14ac:dyDescent="0.3">
      <c r="A59" s="95" t="s">
        <v>43</v>
      </c>
      <c r="B59" s="441">
        <v>24</v>
      </c>
      <c r="C59" s="82"/>
      <c r="D59" s="544"/>
      <c r="E59" s="545"/>
      <c r="F59" s="545"/>
      <c r="G59" s="545"/>
      <c r="H59" s="545"/>
      <c r="I59" s="546"/>
      <c r="J59" s="97"/>
      <c r="K59" s="391"/>
      <c r="L59" s="509"/>
      <c r="M59" s="510"/>
      <c r="N59" s="510"/>
      <c r="O59" s="400" t="s">
        <v>14</v>
      </c>
      <c r="P59" s="401">
        <f>F16</f>
        <v>0</v>
      </c>
      <c r="Q59" s="430">
        <f>F26</f>
        <v>3.1014399962406786E-3</v>
      </c>
      <c r="R59" s="404">
        <v>1.5E-3</v>
      </c>
    </row>
    <row r="60" spans="1:23" x14ac:dyDescent="0.3">
      <c r="A60" s="95" t="s">
        <v>45</v>
      </c>
      <c r="B60" s="441">
        <v>24</v>
      </c>
      <c r="C60" s="82"/>
      <c r="D60" s="544"/>
      <c r="E60" s="545"/>
      <c r="F60" s="545"/>
      <c r="G60" s="545"/>
      <c r="H60" s="545"/>
      <c r="I60" s="546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</f>
        <v>23040</v>
      </c>
      <c r="R60" s="406"/>
    </row>
    <row r="61" spans="1:23" x14ac:dyDescent="0.3">
      <c r="A61" s="95" t="s">
        <v>47</v>
      </c>
      <c r="B61" s="441">
        <v>23</v>
      </c>
      <c r="C61" s="82"/>
      <c r="D61" s="544"/>
      <c r="E61" s="545"/>
      <c r="F61" s="545"/>
      <c r="G61" s="545"/>
      <c r="H61" s="545"/>
      <c r="I61" s="546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</f>
        <v>7200</v>
      </c>
      <c r="R61" s="395"/>
    </row>
    <row r="62" spans="1:23" x14ac:dyDescent="0.3">
      <c r="A62" s="95" t="s">
        <v>49</v>
      </c>
      <c r="B62" s="441">
        <v>24</v>
      </c>
      <c r="C62" s="82"/>
      <c r="D62" s="544"/>
      <c r="E62" s="545"/>
      <c r="F62" s="545"/>
      <c r="G62" s="545"/>
      <c r="H62" s="545"/>
      <c r="I62" s="546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</f>
        <v>7200</v>
      </c>
      <c r="R62" s="399"/>
    </row>
    <row r="63" spans="1:23" x14ac:dyDescent="0.3">
      <c r="A63" s="95" t="s">
        <v>51</v>
      </c>
      <c r="B63" s="441">
        <v>22</v>
      </c>
      <c r="C63" s="82"/>
      <c r="D63" s="544" t="s">
        <v>348</v>
      </c>
      <c r="E63" s="545"/>
      <c r="F63" s="545"/>
      <c r="G63" s="545"/>
      <c r="H63" s="545"/>
      <c r="I63" s="546"/>
      <c r="J63" s="97">
        <v>5</v>
      </c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</f>
        <v>0</v>
      </c>
      <c r="R63" s="399"/>
    </row>
    <row r="64" spans="1:23" x14ac:dyDescent="0.3">
      <c r="A64" s="95" t="s">
        <v>53</v>
      </c>
      <c r="B64" s="441">
        <v>24</v>
      </c>
      <c r="C64" s="82"/>
      <c r="D64" s="544"/>
      <c r="E64" s="545"/>
      <c r="F64" s="545"/>
      <c r="G64" s="545"/>
      <c r="H64" s="545"/>
      <c r="I64" s="546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41">
        <v>25</v>
      </c>
      <c r="C65" s="82"/>
      <c r="D65" s="544"/>
      <c r="E65" s="545"/>
      <c r="F65" s="545"/>
      <c r="G65" s="545"/>
      <c r="H65" s="545"/>
      <c r="I65" s="546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118</v>
      </c>
      <c r="Q65" s="100">
        <f>'1'!Q65+'2'!P65+'3'!P65+'4'!P65+'5'!P65+'6'!P65+'7'!P65+'8'!P65+'9'!P65+'10'!P65+'11'!P65+'12'!P65+'13'!P65+'14'!P65+'15'!P65+'16'!P65</f>
        <v>1793</v>
      </c>
      <c r="R65" s="395"/>
      <c r="S65" s="171" t="s">
        <v>56</v>
      </c>
      <c r="T65" s="172"/>
      <c r="U65" s="173" t="s">
        <v>151</v>
      </c>
      <c r="V65" s="174"/>
      <c r="W65" s="181">
        <f>+'15'!W65+'16'!V65</f>
        <v>9</v>
      </c>
    </row>
    <row r="66" spans="1:23" x14ac:dyDescent="0.3">
      <c r="A66" s="95" t="s">
        <v>57</v>
      </c>
      <c r="B66" s="441">
        <v>24</v>
      </c>
      <c r="C66" s="82"/>
      <c r="D66" s="544"/>
      <c r="E66" s="545"/>
      <c r="F66" s="545"/>
      <c r="G66" s="545"/>
      <c r="H66" s="545"/>
      <c r="I66" s="546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+'15'!W66+'16'!V66</f>
        <v>6</v>
      </c>
    </row>
    <row r="67" spans="1:23" x14ac:dyDescent="0.3">
      <c r="A67" s="95" t="s">
        <v>59</v>
      </c>
      <c r="B67" s="441">
        <v>9</v>
      </c>
      <c r="C67" s="82"/>
      <c r="D67" s="557" t="s">
        <v>349</v>
      </c>
      <c r="E67" s="558"/>
      <c r="F67" s="558"/>
      <c r="G67" s="558"/>
      <c r="H67" s="558"/>
      <c r="I67" s="559"/>
      <c r="J67" s="97">
        <v>37</v>
      </c>
      <c r="K67" s="391"/>
      <c r="L67" s="502" t="s">
        <v>50</v>
      </c>
      <c r="M67" s="498"/>
      <c r="N67" s="498"/>
      <c r="O67" s="408" t="s">
        <v>28</v>
      </c>
      <c r="P67" s="138">
        <v>93</v>
      </c>
      <c r="Q67" s="99">
        <f>'1'!Q67+'2'!P67+'3'!P67+'4'!P67+'5'!P67+'6'!P67+'7'!P67+'8'!P67+'9'!P67+'10'!P67+'11'!P67+'12'!P67+'13'!P67+'14'!P67+'15'!P67+'16'!P67</f>
        <v>1552</v>
      </c>
      <c r="R67" s="399"/>
      <c r="S67" s="377" t="s">
        <v>60</v>
      </c>
      <c r="T67" s="175"/>
      <c r="U67" s="176" t="s">
        <v>151</v>
      </c>
      <c r="V67" s="177"/>
      <c r="W67" s="182">
        <f>+'15'!W67+'16'!V67</f>
        <v>0</v>
      </c>
    </row>
    <row r="68" spans="1:23" x14ac:dyDescent="0.3">
      <c r="A68" s="95" t="s">
        <v>61</v>
      </c>
      <c r="B68" s="441">
        <v>10</v>
      </c>
      <c r="C68" s="82"/>
      <c r="D68" s="557" t="s">
        <v>352</v>
      </c>
      <c r="E68" s="558"/>
      <c r="F68" s="558"/>
      <c r="G68" s="558"/>
      <c r="H68" s="558"/>
      <c r="I68" s="559"/>
      <c r="J68" s="97">
        <v>38</v>
      </c>
      <c r="K68" s="391"/>
      <c r="L68" s="468" t="s">
        <v>52</v>
      </c>
      <c r="M68" s="469"/>
      <c r="N68" s="469"/>
      <c r="O68" s="85" t="s">
        <v>28</v>
      </c>
      <c r="P68" s="141">
        <v>25</v>
      </c>
      <c r="Q68" s="86">
        <f>'1'!Q68+'2'!P68+'3'!P68+'4'!P68+'5'!P68+'6'!P68+'7'!P68+'8'!P68+'9'!P68+'10'!P68+'11'!P68+'12'!P68+'13'!P68+'14'!P68+'15'!P68+'16'!P68</f>
        <v>241</v>
      </c>
      <c r="R68" s="409"/>
      <c r="S68" s="377" t="s">
        <v>62</v>
      </c>
      <c r="T68" s="175"/>
      <c r="U68" s="176" t="s">
        <v>151</v>
      </c>
      <c r="V68" s="177"/>
      <c r="W68" s="182">
        <f>+'15'!W68+'16'!V68</f>
        <v>2</v>
      </c>
    </row>
    <row r="69" spans="1:23" x14ac:dyDescent="0.3">
      <c r="A69" s="95" t="s">
        <v>63</v>
      </c>
      <c r="B69" s="441">
        <v>25</v>
      </c>
      <c r="C69" s="82"/>
      <c r="D69" s="557"/>
      <c r="E69" s="558"/>
      <c r="F69" s="558"/>
      <c r="G69" s="558"/>
      <c r="H69" s="558"/>
      <c r="I69" s="559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52</v>
      </c>
      <c r="Q69" s="100">
        <f>'1'!Q69+'2'!P69+'3'!P69+'4'!P69+'5'!P69+'6'!P69+'7'!P69+'8'!P69+'9'!P69+'10'!P69+'11'!P69+'12'!P69+'13'!P69+'14'!P69+'15'!P69+'16'!P69</f>
        <v>841</v>
      </c>
      <c r="R69" s="395"/>
      <c r="S69" s="376" t="s">
        <v>64</v>
      </c>
      <c r="T69" s="178"/>
      <c r="U69" s="179" t="s">
        <v>151</v>
      </c>
      <c r="V69" s="180"/>
      <c r="W69" s="183">
        <f>+'15'!W69+'16'!V69</f>
        <v>0</v>
      </c>
    </row>
    <row r="70" spans="1:23" x14ac:dyDescent="0.3">
      <c r="A70" s="95" t="s">
        <v>65</v>
      </c>
      <c r="B70" s="441">
        <v>25</v>
      </c>
      <c r="C70" s="82"/>
      <c r="D70" s="557"/>
      <c r="E70" s="558"/>
      <c r="F70" s="558"/>
      <c r="G70" s="558"/>
      <c r="H70" s="558"/>
      <c r="I70" s="559"/>
      <c r="J70" s="97"/>
      <c r="K70" s="407"/>
      <c r="L70" s="497" t="s">
        <v>56</v>
      </c>
      <c r="M70" s="498"/>
      <c r="N70" s="498"/>
      <c r="O70" s="408" t="s">
        <v>28</v>
      </c>
      <c r="P70" s="138">
        <v>47</v>
      </c>
      <c r="Q70" s="429">
        <f>'1'!Q70+'2'!P70+'3'!P70+'4'!P70+'5'!P70+'6'!P70+'7'!P70+'8'!P70+'9'!P70+'10'!P70+'11'!P70+'12'!P70+'13'!P70+'14'!P70+'15'!P70+'16'!P70</f>
        <v>438</v>
      </c>
      <c r="R70" s="399">
        <f>T55*30</f>
        <v>330</v>
      </c>
    </row>
    <row r="71" spans="1:23" x14ac:dyDescent="0.3">
      <c r="A71" s="95" t="s">
        <v>67</v>
      </c>
      <c r="B71" s="441">
        <v>25</v>
      </c>
      <c r="C71" s="82"/>
      <c r="D71" s="557"/>
      <c r="E71" s="558"/>
      <c r="F71" s="558"/>
      <c r="G71" s="558"/>
      <c r="H71" s="558"/>
      <c r="I71" s="559"/>
      <c r="J71" s="97"/>
      <c r="K71" s="391"/>
      <c r="L71" s="497" t="s">
        <v>58</v>
      </c>
      <c r="M71" s="498"/>
      <c r="N71" s="498"/>
      <c r="O71" s="408" t="s">
        <v>28</v>
      </c>
      <c r="P71" s="138">
        <v>5</v>
      </c>
      <c r="Q71" s="429">
        <f>'1'!Q71+'2'!P71+'3'!P71+'4'!P71+'5'!P71+'6'!P71+'7'!P71+'8'!P71+'9'!P71+'10'!P71+'11'!P71+'12'!P71+'13'!P71+'14'!P71+'15'!P71+'16'!P71</f>
        <v>335</v>
      </c>
      <c r="R71" s="399">
        <f>T55*25</f>
        <v>275</v>
      </c>
    </row>
    <row r="72" spans="1:23" x14ac:dyDescent="0.3">
      <c r="A72" s="95" t="s">
        <v>69</v>
      </c>
      <c r="B72" s="441">
        <v>24</v>
      </c>
      <c r="C72" s="82"/>
      <c r="D72" s="557"/>
      <c r="E72" s="558"/>
      <c r="F72" s="558"/>
      <c r="G72" s="558"/>
      <c r="H72" s="558"/>
      <c r="I72" s="559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</f>
        <v>19</v>
      </c>
      <c r="R72" s="399">
        <f>T55*10</f>
        <v>110</v>
      </c>
    </row>
    <row r="73" spans="1:23" x14ac:dyDescent="0.3">
      <c r="A73" s="95" t="s">
        <v>71</v>
      </c>
      <c r="B73" s="441">
        <v>17</v>
      </c>
      <c r="C73" s="82"/>
      <c r="D73" s="557" t="s">
        <v>350</v>
      </c>
      <c r="E73" s="558"/>
      <c r="F73" s="558"/>
      <c r="G73" s="558"/>
      <c r="H73" s="558"/>
      <c r="I73" s="559"/>
      <c r="J73" s="97">
        <v>19</v>
      </c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</f>
        <v>49</v>
      </c>
      <c r="R73" s="399"/>
    </row>
    <row r="74" spans="1:23" x14ac:dyDescent="0.3">
      <c r="A74" s="95" t="s">
        <v>73</v>
      </c>
      <c r="B74" s="441">
        <v>25</v>
      </c>
      <c r="C74" s="82"/>
      <c r="D74" s="557"/>
      <c r="E74" s="558"/>
      <c r="F74" s="558"/>
      <c r="G74" s="558"/>
      <c r="H74" s="558"/>
      <c r="I74" s="559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</f>
        <v>0</v>
      </c>
      <c r="R74" s="409"/>
    </row>
    <row r="75" spans="1:23" x14ac:dyDescent="0.3">
      <c r="A75" s="95" t="s">
        <v>75</v>
      </c>
      <c r="B75" s="441">
        <v>24</v>
      </c>
      <c r="C75" s="82"/>
      <c r="D75" s="557"/>
      <c r="E75" s="558"/>
      <c r="F75" s="558"/>
      <c r="G75" s="558"/>
      <c r="H75" s="558"/>
      <c r="I75" s="559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</f>
        <v>15840</v>
      </c>
      <c r="R75" s="406"/>
    </row>
    <row r="76" spans="1:23" x14ac:dyDescent="0.3">
      <c r="A76" s="95" t="s">
        <v>77</v>
      </c>
      <c r="B76" s="441">
        <v>21</v>
      </c>
      <c r="C76" s="82"/>
      <c r="D76" s="557" t="s">
        <v>351</v>
      </c>
      <c r="E76" s="558"/>
      <c r="F76" s="558"/>
      <c r="G76" s="558"/>
      <c r="H76" s="558"/>
      <c r="I76" s="559"/>
      <c r="J76" s="97">
        <v>9</v>
      </c>
      <c r="K76" s="391"/>
      <c r="L76" s="489" t="s">
        <v>68</v>
      </c>
      <c r="M76" s="490"/>
      <c r="N76" s="490"/>
      <c r="O76" s="405" t="s">
        <v>28</v>
      </c>
      <c r="P76" s="94">
        <f>P65+P69</f>
        <v>170</v>
      </c>
      <c r="Q76" s="94">
        <f>'1'!Q76+'2'!P76+'3'!P76+'4'!P76+'5'!P76+'6'!P76+'7'!P76+'8'!P76+'9'!P76+'10'!P76+'11'!P76+'12'!P76+'13'!P76+'14'!P76+'15'!P76+'16'!P76</f>
        <v>2634</v>
      </c>
      <c r="R76" s="406"/>
    </row>
    <row r="77" spans="1:23" x14ac:dyDescent="0.3">
      <c r="A77" s="95" t="s">
        <v>79</v>
      </c>
      <c r="B77" s="441">
        <v>24</v>
      </c>
      <c r="C77" s="82"/>
      <c r="D77" s="557"/>
      <c r="E77" s="558"/>
      <c r="F77" s="558"/>
      <c r="G77" s="558"/>
      <c r="H77" s="558"/>
      <c r="I77" s="559"/>
      <c r="J77" s="97"/>
      <c r="K77" s="391"/>
      <c r="L77" s="486" t="s">
        <v>70</v>
      </c>
      <c r="M77" s="487"/>
      <c r="N77" s="488"/>
      <c r="O77" s="405" t="s">
        <v>28</v>
      </c>
      <c r="P77" s="142">
        <v>177</v>
      </c>
      <c r="Q77" s="94">
        <f>'1'!Q77+'2'!P77+'3'!P77+'4'!P77+'5'!P77+'6'!P77+'7'!P77+'8'!P77+'9'!P77+'10'!P77+'11'!P77+'12'!P77+'13'!P77+'14'!P77+'15'!P77+'16'!P77</f>
        <v>2642</v>
      </c>
      <c r="R77" s="406"/>
    </row>
    <row r="78" spans="1:23" x14ac:dyDescent="0.3">
      <c r="A78" s="109" t="s">
        <v>82</v>
      </c>
      <c r="B78" s="442">
        <v>24</v>
      </c>
      <c r="C78" s="443"/>
      <c r="D78" s="560"/>
      <c r="E78" s="561"/>
      <c r="F78" s="561"/>
      <c r="G78" s="561"/>
      <c r="H78" s="561"/>
      <c r="I78" s="562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7</v>
      </c>
      <c r="Q78" s="94">
        <f>'1'!Q78+'2'!P78+'3'!P78+'4'!P78+'5'!P78+'6'!P78+'7'!P78+'8'!P78+'9'!P78+'10'!P78+'11'!P78+'12'!P78+'13'!P78+'14'!P78+'15'!P78+'16'!P78</f>
        <v>8</v>
      </c>
      <c r="R78" s="406"/>
    </row>
    <row r="79" spans="1:23" x14ac:dyDescent="0.3">
      <c r="A79" s="114"/>
      <c r="B79" s="115">
        <f>SUM(B55:B78)</f>
        <v>513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170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1263</v>
      </c>
      <c r="Q79" s="94">
        <f>'1'!Q79+'2'!P79+'3'!P79+'4'!P79+'5'!P79+'6'!P79+'7'!P79+'8'!P79+'9'!P79+'10'!P79+'11'!P79+'12'!P79+'13'!P79+'14'!P79+'15'!P79+'16'!P79</f>
        <v>13198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0.87708333333333333</v>
      </c>
      <c r="Q80" s="431">
        <f>Q79/Q75</f>
        <v>0.83320707070707067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0.87708333333333333</v>
      </c>
      <c r="Q81" s="165">
        <f>Q79/Q60</f>
        <v>0.57282986111111112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51.159904988123508</v>
      </c>
      <c r="Q82" s="150">
        <f>(C26/1000)/(Q79/60)</f>
        <v>52.62869222609487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44.871499999999997</v>
      </c>
      <c r="Q83" s="113">
        <f>(C26/1000)/(Q75/60)</f>
        <v>43.85059848484849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34217</v>
      </c>
      <c r="Q84" s="100">
        <f>'1'!Q84+'2'!P84+'3'!P84+'4'!P84+'5'!P84+'6'!P84+'7'!P84+'8'!P84+'9'!P84+'10'!P84+'11'!P84+'12'!P84+'13'!P84+'14'!P84+'15'!P84+'16'!P84</f>
        <v>383585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32.504037237579553</v>
      </c>
      <c r="Q85" s="124">
        <f>Q84/(K27/1000)</f>
        <v>33.693621476008737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206.22</v>
      </c>
      <c r="Q86" s="100">
        <f>'1'!Q86+'2'!P86+'3'!P86+'4'!P86+'5'!P86+'6'!P86+'7'!P86+'8'!P86+'9'!P86+'10'!P86+'11'!P86+'12'!P86+'13'!P86+'14'!P86+'15'!P86+'16'!P86</f>
        <v>2182.4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196.66034083214925</v>
      </c>
      <c r="Q87" s="124">
        <f>(Q86*1000)/(K26/1000)</f>
        <v>192.626459659126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121</v>
      </c>
      <c r="Q88" s="100">
        <f>'1'!Q88+'2'!P88+'3'!P88+'4'!P88+'5'!P88+'6'!P88+'7'!P88+'8'!P88+'9'!P88+'10'!P88+'11'!P88+'12'!P88+'13'!P88+'14'!P88+'15'!P88+'16'!P88</f>
        <v>1450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0.11539085074527232</v>
      </c>
      <c r="Q89" s="124">
        <f>Q88/(K26/1000)</f>
        <v>0.1279822060601781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conditionalFormatting sqref="Q59">
    <cfRule type="cellIs" dxfId="6" priority="1" operator="lessThan">
      <formula>0.0018</formula>
    </cfRule>
  </conditionalFormatting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52" zoomScaleNormal="100" workbookViewId="0">
      <selection activeCell="R59" sqref="R59"/>
    </sheetView>
  </sheetViews>
  <sheetFormatPr defaultRowHeight="16.5" x14ac:dyDescent="0.3"/>
  <cols>
    <col min="1" max="1" width="8.71093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'16'!A3:Q3+1</f>
        <v>46039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238</v>
      </c>
      <c r="B7" s="15">
        <v>333</v>
      </c>
      <c r="C7" s="15">
        <v>703962</v>
      </c>
      <c r="D7" s="16">
        <v>1</v>
      </c>
      <c r="E7" s="17">
        <v>2114</v>
      </c>
      <c r="F7" s="18">
        <f>E7/C7</f>
        <v>3.003003003003003E-3</v>
      </c>
      <c r="G7" s="19" t="s">
        <v>1</v>
      </c>
      <c r="H7" s="20">
        <v>5.5</v>
      </c>
      <c r="I7" s="21" t="s">
        <v>239</v>
      </c>
      <c r="J7" s="22">
        <v>331</v>
      </c>
      <c r="K7" s="17">
        <v>688430</v>
      </c>
      <c r="L7" s="23">
        <f t="shared" ref="L7:L16" si="0">K7/C7</f>
        <v>0.97793630906213691</v>
      </c>
      <c r="M7" s="17">
        <v>1</v>
      </c>
      <c r="N7" s="22">
        <v>2062</v>
      </c>
      <c r="O7" s="134"/>
      <c r="P7" s="134"/>
      <c r="Q7" s="134"/>
    </row>
    <row r="8" spans="1:17" x14ac:dyDescent="0.3">
      <c r="A8" s="24" t="s">
        <v>355</v>
      </c>
      <c r="B8" s="25">
        <v>50</v>
      </c>
      <c r="C8" s="25">
        <v>106950</v>
      </c>
      <c r="D8" s="26"/>
      <c r="E8" s="27"/>
      <c r="F8" s="28"/>
      <c r="G8" s="29" t="s">
        <v>1</v>
      </c>
      <c r="H8" s="30">
        <v>5.5</v>
      </c>
      <c r="I8" s="31" t="s">
        <v>356</v>
      </c>
      <c r="J8" s="32">
        <v>50</v>
      </c>
      <c r="K8" s="33">
        <v>104556</v>
      </c>
      <c r="L8" s="34">
        <f t="shared" si="0"/>
        <v>0.97761570827489486</v>
      </c>
      <c r="M8" s="33"/>
      <c r="N8" s="32"/>
      <c r="O8" s="135"/>
      <c r="P8" s="135"/>
      <c r="Q8" s="135"/>
    </row>
    <row r="9" spans="1:17" x14ac:dyDescent="0.3">
      <c r="A9" s="24" t="s">
        <v>221</v>
      </c>
      <c r="B9" s="25">
        <v>135</v>
      </c>
      <c r="C9" s="25">
        <v>286335</v>
      </c>
      <c r="D9" s="26"/>
      <c r="E9" s="27"/>
      <c r="F9" s="28"/>
      <c r="G9" s="29" t="s">
        <v>1</v>
      </c>
      <c r="H9" s="30">
        <v>5.5</v>
      </c>
      <c r="I9" s="31" t="s">
        <v>204</v>
      </c>
      <c r="J9" s="32">
        <v>135</v>
      </c>
      <c r="K9" s="33">
        <v>283200</v>
      </c>
      <c r="L9" s="34">
        <f t="shared" si="0"/>
        <v>0.98905128608098902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518</v>
      </c>
      <c r="C16" s="48">
        <f>SUM(C7:C15)</f>
        <v>1097247</v>
      </c>
      <c r="D16" s="49">
        <f>SUM(D7:D15)</f>
        <v>1</v>
      </c>
      <c r="E16" s="50">
        <f>SUM(E7:E15)</f>
        <v>2114</v>
      </c>
      <c r="F16" s="51">
        <f>E16/C16</f>
        <v>1.9266400363819633E-3</v>
      </c>
      <c r="G16" s="52"/>
      <c r="H16" s="2"/>
      <c r="I16" s="2"/>
      <c r="J16" s="53">
        <f>SUM(J7:J15)</f>
        <v>516</v>
      </c>
      <c r="K16" s="53">
        <f>SUM(K7:K15)</f>
        <v>1076186</v>
      </c>
      <c r="L16" s="51">
        <f t="shared" si="0"/>
        <v>0.98080559801029299</v>
      </c>
      <c r="M16" s="50">
        <f>SUM(M7:M15)</f>
        <v>1</v>
      </c>
      <c r="N16" s="54">
        <f>SUM(N7:N15)</f>
        <v>2062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1078248</v>
      </c>
      <c r="L17" s="51">
        <f>K17/C16</f>
        <v>0.982684846711816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'16'!B22+'17'!B16</f>
        <v>4845</v>
      </c>
      <c r="C22" s="57">
        <f>'16'!C22+'17'!C16</f>
        <v>10238934</v>
      </c>
      <c r="D22" s="57">
        <f>'16'!D22+'17'!D16</f>
        <v>12</v>
      </c>
      <c r="E22" s="57">
        <f>'16'!E22+'17'!E16</f>
        <v>25385</v>
      </c>
      <c r="F22" s="423">
        <f>E22/C22</f>
        <v>2.4792620012981819E-3</v>
      </c>
      <c r="G22" s="58" t="s">
        <v>1</v>
      </c>
      <c r="H22" s="59"/>
      <c r="I22" s="59"/>
      <c r="J22" s="57">
        <f>'16'!J22+'17'!J16</f>
        <v>4809</v>
      </c>
      <c r="K22" s="57">
        <f>'16'!K22+'17'!K16</f>
        <v>10026171</v>
      </c>
      <c r="L22" s="60">
        <f>K22/C22</f>
        <v>0.97922020007160904</v>
      </c>
      <c r="M22" s="57">
        <f>'16'!M22+'17'!M16</f>
        <v>24</v>
      </c>
      <c r="N22" s="57">
        <f>'16'!N22+'17'!N16</f>
        <v>49199</v>
      </c>
      <c r="O22" s="135"/>
      <c r="P22" s="135"/>
      <c r="Q22" s="135"/>
    </row>
    <row r="23" spans="1:17" x14ac:dyDescent="0.3">
      <c r="A23" s="521"/>
      <c r="B23" s="61">
        <f>'16'!B23</f>
        <v>1160</v>
      </c>
      <c r="C23" s="61">
        <f>'16'!C23</f>
        <v>2434871</v>
      </c>
      <c r="D23" s="61">
        <f>'16'!D23</f>
        <v>6</v>
      </c>
      <c r="E23" s="61">
        <f>'16'!E23</f>
        <v>12633</v>
      </c>
      <c r="F23" s="424">
        <f>E23/C23</f>
        <v>5.1883652152413823E-3</v>
      </c>
      <c r="G23" s="381" t="s">
        <v>195</v>
      </c>
      <c r="H23" s="59"/>
      <c r="I23" s="59"/>
      <c r="J23" s="61">
        <f>'16'!J23</f>
        <v>1150</v>
      </c>
      <c r="K23" s="61">
        <f>'16'!K23</f>
        <v>2379715</v>
      </c>
      <c r="L23" s="382">
        <f t="shared" ref="L23:L24" si="1">K23/C23</f>
        <v>0.97734746522505711</v>
      </c>
      <c r="M23" s="61">
        <f>'16'!M23</f>
        <v>4</v>
      </c>
      <c r="N23" s="61">
        <f>'16'!N23</f>
        <v>7662</v>
      </c>
      <c r="O23" s="135"/>
      <c r="P23" s="135"/>
      <c r="Q23" s="135"/>
    </row>
    <row r="24" spans="1:17" x14ac:dyDescent="0.3">
      <c r="A24" s="521"/>
      <c r="B24" s="61">
        <f>'16'!B24</f>
        <v>0</v>
      </c>
      <c r="C24" s="61">
        <f>'16'!C24</f>
        <v>0</v>
      </c>
      <c r="D24" s="61">
        <f>'16'!D24</f>
        <v>0</v>
      </c>
      <c r="E24" s="61">
        <f>'16'!E24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'16'!J24</f>
        <v>0</v>
      </c>
      <c r="K24" s="61">
        <f>'16'!K24</f>
        <v>0</v>
      </c>
      <c r="L24" s="382" t="e">
        <f t="shared" si="1"/>
        <v>#DIV/0!</v>
      </c>
      <c r="M24" s="61">
        <f>'16'!M24</f>
        <v>0</v>
      </c>
      <c r="N24" s="61">
        <f>'16'!N24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6005</v>
      </c>
      <c r="C26" s="68">
        <f>SUM(C21:C25)</f>
        <v>12673805</v>
      </c>
      <c r="D26" s="49">
        <f>SUM(D21:D25)</f>
        <v>18</v>
      </c>
      <c r="E26" s="69">
        <f>SUM(E22:E25)</f>
        <v>38018</v>
      </c>
      <c r="F26" s="51">
        <f>E26/C26</f>
        <v>2.9997305465880213E-3</v>
      </c>
      <c r="G26" s="51"/>
      <c r="H26" s="70"/>
      <c r="I26" s="70"/>
      <c r="J26" s="71">
        <f>SUM(J22:J25)</f>
        <v>5959</v>
      </c>
      <c r="K26" s="68">
        <f>SUM(K22:K25)</f>
        <v>12405886</v>
      </c>
      <c r="L26" s="51">
        <f>K26/C26</f>
        <v>0.97886041326973239</v>
      </c>
      <c r="M26" s="71">
        <f>SUM(M22:M25)</f>
        <v>28</v>
      </c>
      <c r="N26" s="54">
        <f>SUM(N22:N25)</f>
        <v>56861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12462747</v>
      </c>
      <c r="L27" s="51">
        <f>K27/C26</f>
        <v>0.98334691120780227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'16'!A30</f>
        <v>BIC</v>
      </c>
      <c r="B30" s="307" t="str">
        <f>'16'!B30</f>
        <v>P.6</v>
      </c>
      <c r="C30" s="307" t="str">
        <f>'16'!C30</f>
        <v>BjTPG280</v>
      </c>
      <c r="D30" s="308">
        <f>'16'!D30</f>
        <v>239</v>
      </c>
      <c r="E30" s="308">
        <f>'16'!E30</f>
        <v>497038</v>
      </c>
      <c r="F30" s="79"/>
      <c r="G30" s="307" t="str">
        <f>'16'!G30</f>
        <v>WR</v>
      </c>
      <c r="H30" s="309">
        <f>'16'!H30</f>
        <v>18</v>
      </c>
      <c r="I30" s="309">
        <f>'16'!I30</f>
        <v>8</v>
      </c>
      <c r="J30" s="170">
        <f>'16'!J30</f>
        <v>68</v>
      </c>
      <c r="K30" s="310">
        <f>'16'!K30</f>
        <v>140152</v>
      </c>
      <c r="L30" s="79"/>
      <c r="M30" s="307" t="str">
        <f>'16'!M30</f>
        <v>WR</v>
      </c>
      <c r="N30" s="309">
        <f>'16'!N30</f>
        <v>0</v>
      </c>
      <c r="O30" s="309">
        <f>'16'!O30</f>
        <v>0</v>
      </c>
      <c r="P30" s="170">
        <f>'16'!P30</f>
        <v>0</v>
      </c>
      <c r="Q30" s="310">
        <f>'16'!Q30</f>
        <v>0</v>
      </c>
    </row>
    <row r="31" spans="1:17" x14ac:dyDescent="0.3">
      <c r="A31" s="307" t="str">
        <f>'16'!A31</f>
        <v>WR</v>
      </c>
      <c r="B31" s="307">
        <f>'16'!B31</f>
        <v>6.5</v>
      </c>
      <c r="C31" s="307">
        <f>'16'!C31</f>
        <v>8</v>
      </c>
      <c r="D31" s="308">
        <f>'16'!D31</f>
        <v>144</v>
      </c>
      <c r="E31" s="308">
        <f>'16'!E31</f>
        <v>301505</v>
      </c>
      <c r="F31" s="135"/>
      <c r="G31" s="307" t="str">
        <f>'16'!G31</f>
        <v>WR</v>
      </c>
      <c r="H31" s="309">
        <f>'16'!H31</f>
        <v>7.5</v>
      </c>
      <c r="I31" s="309">
        <f>'16'!I31</f>
        <v>8</v>
      </c>
      <c r="J31" s="170">
        <f>'16'!J31</f>
        <v>96</v>
      </c>
      <c r="K31" s="310">
        <f>'16'!K31</f>
        <v>200884</v>
      </c>
      <c r="L31" s="135"/>
      <c r="M31" s="307" t="str">
        <f>'16'!M31</f>
        <v>WR</v>
      </c>
      <c r="N31" s="309">
        <f>'16'!N31</f>
        <v>0</v>
      </c>
      <c r="O31" s="309">
        <f>'16'!O31</f>
        <v>0</v>
      </c>
      <c r="P31" s="170">
        <f>'16'!P31</f>
        <v>0</v>
      </c>
      <c r="Q31" s="310">
        <f>'16'!Q31</f>
        <v>0</v>
      </c>
    </row>
    <row r="32" spans="1:17" x14ac:dyDescent="0.3">
      <c r="A32" s="307" t="str">
        <f>'16'!A32</f>
        <v>WR</v>
      </c>
      <c r="B32" s="307">
        <f>'16'!B32</f>
        <v>6.5</v>
      </c>
      <c r="C32" s="307">
        <f>'16'!C32</f>
        <v>10</v>
      </c>
      <c r="D32" s="308">
        <f>'16'!D32</f>
        <v>48</v>
      </c>
      <c r="E32" s="308">
        <f>'16'!E32</f>
        <v>99149</v>
      </c>
      <c r="F32" s="135"/>
      <c r="G32" s="307" t="str">
        <f>'16'!G32</f>
        <v>WR</v>
      </c>
      <c r="H32" s="309">
        <f>'16'!H32</f>
        <v>7.5</v>
      </c>
      <c r="I32" s="309">
        <f>'16'!I32</f>
        <v>15</v>
      </c>
      <c r="J32" s="170">
        <f>'16'!J32</f>
        <v>474</v>
      </c>
      <c r="K32" s="310">
        <f>'16'!K32</f>
        <v>981938</v>
      </c>
      <c r="L32" s="135"/>
      <c r="M32" s="307" t="str">
        <f>'16'!M32</f>
        <v>WR</v>
      </c>
      <c r="N32" s="309">
        <f>'16'!N32</f>
        <v>0</v>
      </c>
      <c r="O32" s="309">
        <f>'16'!O32</f>
        <v>0</v>
      </c>
      <c r="P32" s="170">
        <f>'16'!P32</f>
        <v>0</v>
      </c>
      <c r="Q32" s="310">
        <f>'16'!Q32</f>
        <v>0</v>
      </c>
    </row>
    <row r="33" spans="1:17" x14ac:dyDescent="0.3">
      <c r="A33" s="307" t="str">
        <f>'16'!A33</f>
        <v>WR</v>
      </c>
      <c r="B33" s="307">
        <f>'16'!B33</f>
        <v>6.5</v>
      </c>
      <c r="C33" s="307">
        <f>'16'!C33</f>
        <v>15</v>
      </c>
      <c r="D33" s="308">
        <f>'16'!D33</f>
        <v>6</v>
      </c>
      <c r="E33" s="308">
        <f>'16'!E33</f>
        <v>12304</v>
      </c>
      <c r="F33" s="135"/>
      <c r="G33" s="307" t="str">
        <f>'16'!G33</f>
        <v>WR</v>
      </c>
      <c r="H33" s="309">
        <f>'16'!H33</f>
        <v>5.5</v>
      </c>
      <c r="I33" s="309">
        <f>'16'!I33</f>
        <v>22</v>
      </c>
      <c r="J33" s="170">
        <f>'16'!J33</f>
        <v>436</v>
      </c>
      <c r="K33" s="310">
        <f>'16'!K33</f>
        <v>893285</v>
      </c>
      <c r="L33" s="135"/>
      <c r="M33" s="307" t="str">
        <f>'16'!M33</f>
        <v>WR</v>
      </c>
      <c r="N33" s="309">
        <f>'16'!N33</f>
        <v>0</v>
      </c>
      <c r="O33" s="309">
        <f>'16'!O33</f>
        <v>0</v>
      </c>
      <c r="P33" s="170">
        <f>'16'!P33</f>
        <v>0</v>
      </c>
      <c r="Q33" s="310">
        <f>'16'!Q33</f>
        <v>0</v>
      </c>
    </row>
    <row r="34" spans="1:17" x14ac:dyDescent="0.3">
      <c r="A34" s="307" t="str">
        <f>'16'!A34</f>
        <v>WR</v>
      </c>
      <c r="B34" s="307">
        <f>'16'!B34</f>
        <v>5.5</v>
      </c>
      <c r="C34" s="307">
        <f>'16'!C34</f>
        <v>6</v>
      </c>
      <c r="D34" s="308">
        <f>'16'!D34</f>
        <v>793</v>
      </c>
      <c r="E34" s="308">
        <f>'16'!E34</f>
        <v>1663962</v>
      </c>
      <c r="F34" s="135"/>
      <c r="G34" s="307" t="str">
        <f>'16'!G34</f>
        <v>WR</v>
      </c>
      <c r="H34" s="309">
        <v>5.5</v>
      </c>
      <c r="I34" s="309">
        <v>1045</v>
      </c>
      <c r="J34" s="310">
        <f>J8</f>
        <v>50</v>
      </c>
      <c r="K34" s="310">
        <f>K8</f>
        <v>104556</v>
      </c>
      <c r="L34" s="135"/>
      <c r="M34" s="307" t="str">
        <f>'16'!M34</f>
        <v>WR</v>
      </c>
      <c r="N34" s="309">
        <f>'16'!N34</f>
        <v>0</v>
      </c>
      <c r="O34" s="309">
        <f>'16'!O34</f>
        <v>0</v>
      </c>
      <c r="P34" s="170">
        <f>'16'!P34</f>
        <v>0</v>
      </c>
      <c r="Q34" s="310">
        <f>'16'!Q34</f>
        <v>0</v>
      </c>
    </row>
    <row r="35" spans="1:17" x14ac:dyDescent="0.3">
      <c r="A35" s="307" t="str">
        <f>'16'!A35</f>
        <v>WR</v>
      </c>
      <c r="B35" s="307">
        <f>'16'!B35</f>
        <v>5.5</v>
      </c>
      <c r="C35" s="307" t="str">
        <f>'16'!C35</f>
        <v>8.A</v>
      </c>
      <c r="D35" s="308">
        <f>'16'!D35</f>
        <v>75</v>
      </c>
      <c r="E35" s="308">
        <f>'16'!E35</f>
        <v>157414</v>
      </c>
      <c r="F35" s="135"/>
      <c r="G35" s="307" t="str">
        <f>'16'!G35</f>
        <v>WR</v>
      </c>
      <c r="H35" s="309">
        <f>'16'!H35</f>
        <v>0</v>
      </c>
      <c r="I35" s="309">
        <f>'16'!I35</f>
        <v>0</v>
      </c>
      <c r="J35" s="170">
        <f>'16'!J35</f>
        <v>0</v>
      </c>
      <c r="K35" s="310">
        <f>'16'!K35</f>
        <v>0</v>
      </c>
      <c r="L35" s="135"/>
      <c r="M35" s="307" t="str">
        <f>'16'!M35</f>
        <v>WR</v>
      </c>
      <c r="N35" s="309">
        <f>'16'!N35</f>
        <v>0</v>
      </c>
      <c r="O35" s="309">
        <f>'16'!O35</f>
        <v>0</v>
      </c>
      <c r="P35" s="170">
        <f>'16'!P35</f>
        <v>0</v>
      </c>
      <c r="Q35" s="310">
        <f>'16'!Q35</f>
        <v>0</v>
      </c>
    </row>
    <row r="36" spans="1:17" x14ac:dyDescent="0.3">
      <c r="A36" s="307" t="str">
        <f>'16'!A36</f>
        <v>WR</v>
      </c>
      <c r="B36" s="307">
        <f>'16'!B36</f>
        <v>5.5</v>
      </c>
      <c r="C36" s="307" t="str">
        <f>'16'!C36</f>
        <v>22.A</v>
      </c>
      <c r="D36" s="308">
        <f>'16'!D36+J7</f>
        <v>669</v>
      </c>
      <c r="E36" s="308">
        <f>'16'!E36+K7</f>
        <v>1393156</v>
      </c>
      <c r="F36" s="135"/>
      <c r="G36" s="307" t="str">
        <f>'16'!G36</f>
        <v>WR</v>
      </c>
      <c r="H36" s="309">
        <f>'16'!H36</f>
        <v>0</v>
      </c>
      <c r="I36" s="309">
        <f>'16'!I36</f>
        <v>0</v>
      </c>
      <c r="J36" s="170">
        <f>'16'!J36</f>
        <v>0</v>
      </c>
      <c r="K36" s="310">
        <f>'16'!K36</f>
        <v>0</v>
      </c>
      <c r="L36" s="135"/>
      <c r="M36" s="307" t="str">
        <f>'16'!M36</f>
        <v>WR</v>
      </c>
      <c r="N36" s="309">
        <f>'16'!N36</f>
        <v>0</v>
      </c>
      <c r="O36" s="309">
        <f>'16'!O36</f>
        <v>0</v>
      </c>
      <c r="P36" s="170">
        <f>'16'!P36</f>
        <v>0</v>
      </c>
      <c r="Q36" s="310">
        <f>'16'!Q36</f>
        <v>0</v>
      </c>
    </row>
    <row r="37" spans="1:17" x14ac:dyDescent="0.3">
      <c r="A37" s="307" t="str">
        <f>'16'!A37</f>
        <v>WR</v>
      </c>
      <c r="B37" s="307">
        <f>'16'!B37</f>
        <v>5.5</v>
      </c>
      <c r="C37" s="307" t="str">
        <f>'16'!C37</f>
        <v>Y.11</v>
      </c>
      <c r="D37" s="308">
        <f>'16'!D37</f>
        <v>526</v>
      </c>
      <c r="E37" s="308">
        <f>'16'!E37</f>
        <v>1102590</v>
      </c>
      <c r="F37" s="135"/>
      <c r="G37" s="307" t="str">
        <f>'16'!G37</f>
        <v>WR</v>
      </c>
      <c r="H37" s="309">
        <f>'16'!H37</f>
        <v>0</v>
      </c>
      <c r="I37" s="309">
        <f>'16'!I37</f>
        <v>0</v>
      </c>
      <c r="J37" s="170">
        <f>'16'!J37</f>
        <v>0</v>
      </c>
      <c r="K37" s="310">
        <f>'16'!K37</f>
        <v>0</v>
      </c>
      <c r="L37" s="135"/>
      <c r="M37" s="307" t="str">
        <f>'16'!M37</f>
        <v>WR</v>
      </c>
      <c r="N37" s="309">
        <f>'16'!N37</f>
        <v>0</v>
      </c>
      <c r="O37" s="309">
        <f>'16'!O37</f>
        <v>0</v>
      </c>
      <c r="P37" s="170">
        <f>'16'!P37</f>
        <v>0</v>
      </c>
      <c r="Q37" s="310">
        <f>'16'!Q37</f>
        <v>0</v>
      </c>
    </row>
    <row r="38" spans="1:17" x14ac:dyDescent="0.3">
      <c r="A38" s="307" t="str">
        <f>'16'!A38</f>
        <v>WR</v>
      </c>
      <c r="B38" s="307">
        <f>'16'!B38</f>
        <v>5.5</v>
      </c>
      <c r="C38" s="307" t="str">
        <f>'16'!C38</f>
        <v>67.A</v>
      </c>
      <c r="D38" s="308">
        <f>'16'!D38</f>
        <v>72</v>
      </c>
      <c r="E38" s="308">
        <f>'16'!E38</f>
        <v>152182</v>
      </c>
      <c r="F38" s="135"/>
      <c r="G38" s="307" t="str">
        <f>'16'!G38</f>
        <v>WR</v>
      </c>
      <c r="H38" s="309">
        <f>'16'!H38</f>
        <v>0</v>
      </c>
      <c r="I38" s="309">
        <f>'16'!I38</f>
        <v>0</v>
      </c>
      <c r="J38" s="170">
        <f>'16'!J38</f>
        <v>0</v>
      </c>
      <c r="K38" s="310">
        <f>'16'!K38</f>
        <v>0</v>
      </c>
      <c r="L38" s="135"/>
      <c r="M38" s="307" t="str">
        <f>'16'!M38</f>
        <v>WR</v>
      </c>
      <c r="N38" s="309">
        <f>'16'!N38</f>
        <v>0</v>
      </c>
      <c r="O38" s="309">
        <f>'16'!O38</f>
        <v>0</v>
      </c>
      <c r="P38" s="170">
        <f>'16'!P38</f>
        <v>0</v>
      </c>
      <c r="Q38" s="310">
        <f>'16'!Q38</f>
        <v>0</v>
      </c>
    </row>
    <row r="39" spans="1:17" x14ac:dyDescent="0.3">
      <c r="A39" s="307" t="str">
        <f>'16'!A39</f>
        <v>BIC</v>
      </c>
      <c r="B39" s="307" t="str">
        <f>'16'!B39</f>
        <v>P.8</v>
      </c>
      <c r="C39" s="307" t="str">
        <f>'16'!C39</f>
        <v>BjTPG280</v>
      </c>
      <c r="D39" s="308">
        <f>'16'!D39</f>
        <v>240</v>
      </c>
      <c r="E39" s="308">
        <f>'16'!E39</f>
        <v>499780</v>
      </c>
      <c r="F39" s="135"/>
      <c r="G39" s="307" t="str">
        <f>'16'!G39</f>
        <v>WR</v>
      </c>
      <c r="H39" s="309">
        <f>'16'!H39</f>
        <v>0</v>
      </c>
      <c r="I39" s="309">
        <f>'16'!I39</f>
        <v>0</v>
      </c>
      <c r="J39" s="170">
        <f>'16'!J39</f>
        <v>0</v>
      </c>
      <c r="K39" s="310">
        <f>'16'!K39</f>
        <v>0</v>
      </c>
      <c r="L39" s="135"/>
      <c r="M39" s="307" t="str">
        <f>'16'!M39</f>
        <v>WR</v>
      </c>
      <c r="N39" s="309">
        <f>'16'!N39</f>
        <v>0</v>
      </c>
      <c r="O39" s="309">
        <f>'16'!O39</f>
        <v>0</v>
      </c>
      <c r="P39" s="170">
        <f>'16'!P39</f>
        <v>0</v>
      </c>
      <c r="Q39" s="310">
        <f>'16'!Q39</f>
        <v>0</v>
      </c>
    </row>
    <row r="40" spans="1:17" x14ac:dyDescent="0.3">
      <c r="A40" s="307" t="str">
        <f>'16'!A40</f>
        <v>BIC</v>
      </c>
      <c r="B40" s="307" t="str">
        <f>'16'!B40</f>
        <v>S.8</v>
      </c>
      <c r="C40" s="307" t="str">
        <f>'16'!C40</f>
        <v>BjTSG420</v>
      </c>
      <c r="D40" s="308">
        <f>'16'!D40</f>
        <v>335</v>
      </c>
      <c r="E40" s="308">
        <f>'16'!E40</f>
        <v>688721</v>
      </c>
      <c r="F40" s="135"/>
      <c r="G40" s="307" t="str">
        <f>'16'!G40</f>
        <v>WR</v>
      </c>
      <c r="H40" s="309">
        <f>'16'!H40</f>
        <v>0</v>
      </c>
      <c r="I40" s="309">
        <f>'16'!I40</f>
        <v>0</v>
      </c>
      <c r="J40" s="170">
        <f>'16'!J40</f>
        <v>0</v>
      </c>
      <c r="K40" s="310">
        <f>'16'!K40</f>
        <v>0</v>
      </c>
      <c r="L40" s="135"/>
      <c r="M40" s="307" t="str">
        <f>'16'!M40</f>
        <v>WR</v>
      </c>
      <c r="N40" s="309">
        <f>'16'!N40</f>
        <v>0</v>
      </c>
      <c r="O40" s="309">
        <f>'16'!O40</f>
        <v>0</v>
      </c>
      <c r="P40" s="170">
        <f>'16'!P40</f>
        <v>0</v>
      </c>
      <c r="Q40" s="310">
        <f>'16'!Q40</f>
        <v>0</v>
      </c>
    </row>
    <row r="41" spans="1:17" x14ac:dyDescent="0.3">
      <c r="A41" s="307" t="str">
        <f>'16'!A41</f>
        <v>BIC</v>
      </c>
      <c r="B41" s="307" t="str">
        <f>'16'!B41</f>
        <v>S.10</v>
      </c>
      <c r="C41" s="307" t="str">
        <f>'16'!C41</f>
        <v>BjTSG420</v>
      </c>
      <c r="D41" s="308">
        <f>'16'!D41</f>
        <v>144</v>
      </c>
      <c r="E41" s="308">
        <f>'16'!E41</f>
        <v>295842</v>
      </c>
      <c r="F41" s="135"/>
      <c r="G41" s="307" t="str">
        <f>'16'!G41</f>
        <v>WR</v>
      </c>
      <c r="H41" s="309">
        <f>'16'!H41</f>
        <v>0</v>
      </c>
      <c r="I41" s="309">
        <f>'16'!I41</f>
        <v>0</v>
      </c>
      <c r="J41" s="170">
        <f>'16'!J41</f>
        <v>0</v>
      </c>
      <c r="K41" s="310">
        <f>'16'!K41</f>
        <v>0</v>
      </c>
      <c r="L41" s="135"/>
      <c r="M41" s="307" t="str">
        <f>'16'!M41</f>
        <v>WR</v>
      </c>
      <c r="N41" s="309">
        <f>'16'!N41</f>
        <v>0</v>
      </c>
      <c r="O41" s="309">
        <f>'16'!O41</f>
        <v>0</v>
      </c>
      <c r="P41" s="170">
        <f>'16'!P41</f>
        <v>0</v>
      </c>
      <c r="Q41" s="310">
        <f>'16'!Q41</f>
        <v>0</v>
      </c>
    </row>
    <row r="42" spans="1:17" x14ac:dyDescent="0.3">
      <c r="A42" s="307" t="str">
        <f>'16'!A42</f>
        <v>WR</v>
      </c>
      <c r="B42" s="307">
        <f>'16'!B42</f>
        <v>5.5</v>
      </c>
      <c r="C42" s="307">
        <f>'16'!C42</f>
        <v>8</v>
      </c>
      <c r="D42" s="308">
        <f>'16'!D42+J9</f>
        <v>422</v>
      </c>
      <c r="E42" s="308">
        <f>'16'!E42+K9</f>
        <v>885121</v>
      </c>
      <c r="F42" s="135"/>
      <c r="G42" s="307" t="str">
        <f>'16'!G42</f>
        <v>WR</v>
      </c>
      <c r="H42" s="309">
        <f>'16'!H42</f>
        <v>0</v>
      </c>
      <c r="I42" s="309">
        <f>'16'!I42</f>
        <v>0</v>
      </c>
      <c r="J42" s="170">
        <f>'16'!J42</f>
        <v>0</v>
      </c>
      <c r="K42" s="310">
        <f>'16'!K42</f>
        <v>0</v>
      </c>
      <c r="L42" s="135"/>
      <c r="M42" s="307" t="str">
        <f>'16'!M42</f>
        <v>WR</v>
      </c>
      <c r="N42" s="309">
        <f>'16'!N42</f>
        <v>0</v>
      </c>
      <c r="O42" s="309">
        <f>'16'!O42</f>
        <v>0</v>
      </c>
      <c r="P42" s="170">
        <f>'16'!P42</f>
        <v>0</v>
      </c>
      <c r="Q42" s="310">
        <f>'16'!Q42</f>
        <v>0</v>
      </c>
    </row>
    <row r="43" spans="1:17" x14ac:dyDescent="0.3">
      <c r="A43" s="307" t="str">
        <f>'16'!A43</f>
        <v>WR</v>
      </c>
      <c r="B43" s="307">
        <f>'16'!B43</f>
        <v>5.5</v>
      </c>
      <c r="C43" s="307" t="str">
        <f>'16'!C43</f>
        <v>67.B</v>
      </c>
      <c r="D43" s="308">
        <f>'16'!D43</f>
        <v>144</v>
      </c>
      <c r="E43" s="308">
        <f>'16'!E43</f>
        <v>304535</v>
      </c>
      <c r="F43" s="135"/>
      <c r="G43" s="307" t="str">
        <f>'16'!G43</f>
        <v>WR</v>
      </c>
      <c r="H43" s="309">
        <f>'16'!H43</f>
        <v>0</v>
      </c>
      <c r="I43" s="309">
        <f>'16'!I43</f>
        <v>0</v>
      </c>
      <c r="J43" s="170">
        <f>'16'!J43</f>
        <v>0</v>
      </c>
      <c r="K43" s="310">
        <f>'16'!K43</f>
        <v>0</v>
      </c>
      <c r="L43" s="135"/>
      <c r="M43" s="307" t="str">
        <f>'16'!M43</f>
        <v>WR</v>
      </c>
      <c r="N43" s="309">
        <f>'16'!N43</f>
        <v>0</v>
      </c>
      <c r="O43" s="309">
        <f>'16'!O43</f>
        <v>0</v>
      </c>
      <c r="P43" s="170">
        <f>'16'!P43</f>
        <v>0</v>
      </c>
      <c r="Q43" s="310">
        <f>'16'!Q43</f>
        <v>0</v>
      </c>
    </row>
    <row r="44" spans="1:17" x14ac:dyDescent="0.3">
      <c r="A44" s="307" t="str">
        <f>'16'!A44</f>
        <v>BIC</v>
      </c>
      <c r="B44" s="307" t="str">
        <f>'16'!B44</f>
        <v>P.10</v>
      </c>
      <c r="C44" s="307" t="str">
        <f>'16'!C44</f>
        <v>BjTPG280</v>
      </c>
      <c r="D44" s="308">
        <f>'16'!D44</f>
        <v>144</v>
      </c>
      <c r="E44" s="308">
        <f>'16'!E44</f>
        <v>299930</v>
      </c>
      <c r="F44" s="135"/>
      <c r="G44" s="307" t="str">
        <f>'16'!G44</f>
        <v>WR</v>
      </c>
      <c r="H44" s="309">
        <f>'16'!H44</f>
        <v>0</v>
      </c>
      <c r="I44" s="309">
        <f>'16'!I44</f>
        <v>0</v>
      </c>
      <c r="J44" s="170">
        <f>'16'!J44</f>
        <v>0</v>
      </c>
      <c r="K44" s="310">
        <f>'16'!K44</f>
        <v>0</v>
      </c>
      <c r="L44" s="135"/>
      <c r="M44" s="307" t="str">
        <f>'16'!M44</f>
        <v>WR</v>
      </c>
      <c r="N44" s="309">
        <f>'16'!N44</f>
        <v>0</v>
      </c>
      <c r="O44" s="309">
        <f>'16'!O44</f>
        <v>0</v>
      </c>
      <c r="P44" s="170">
        <f>'16'!P44</f>
        <v>0</v>
      </c>
      <c r="Q44" s="310">
        <f>'16'!Q44</f>
        <v>0</v>
      </c>
    </row>
    <row r="45" spans="1:17" x14ac:dyDescent="0.3">
      <c r="A45" s="307" t="str">
        <f>'16'!A45</f>
        <v>BIC</v>
      </c>
      <c r="B45" s="307" t="str">
        <f>'16'!B45</f>
        <v>S.6</v>
      </c>
      <c r="C45" s="307" t="str">
        <f>'16'!C45</f>
        <v>BjTSG420</v>
      </c>
      <c r="D45" s="308">
        <f>'16'!D45</f>
        <v>48</v>
      </c>
      <c r="E45" s="308">
        <f>'16'!E45</f>
        <v>98404</v>
      </c>
      <c r="F45" s="135"/>
      <c r="G45" s="307" t="str">
        <f>'16'!G45</f>
        <v>WR</v>
      </c>
      <c r="H45" s="309">
        <f>'16'!H45</f>
        <v>0</v>
      </c>
      <c r="I45" s="309">
        <f>'16'!I45</f>
        <v>0</v>
      </c>
      <c r="J45" s="170">
        <f>'16'!J45</f>
        <v>0</v>
      </c>
      <c r="K45" s="310">
        <f>'16'!K45</f>
        <v>0</v>
      </c>
      <c r="L45" s="135"/>
      <c r="M45" s="307" t="str">
        <f>'16'!M45</f>
        <v>WR</v>
      </c>
      <c r="N45" s="309">
        <f>'16'!N45</f>
        <v>0</v>
      </c>
      <c r="O45" s="309">
        <f>'16'!O45</f>
        <v>0</v>
      </c>
      <c r="P45" s="170">
        <f>'16'!P45</f>
        <v>0</v>
      </c>
      <c r="Q45" s="310">
        <f>'16'!Q45</f>
        <v>0</v>
      </c>
    </row>
    <row r="46" spans="1:17" x14ac:dyDescent="0.3">
      <c r="A46" s="307" t="str">
        <f>'16'!A46</f>
        <v>WR</v>
      </c>
      <c r="B46" s="307">
        <f>'16'!B46</f>
        <v>17</v>
      </c>
      <c r="C46" s="307">
        <f>'16'!C46</f>
        <v>8</v>
      </c>
      <c r="D46" s="308">
        <f>'16'!D46</f>
        <v>91</v>
      </c>
      <c r="E46" s="308">
        <f>'16'!E46</f>
        <v>188048</v>
      </c>
      <c r="F46" s="135"/>
      <c r="G46" s="307" t="str">
        <f>'16'!G46</f>
        <v>WR</v>
      </c>
      <c r="H46" s="309">
        <f>'16'!H46</f>
        <v>0</v>
      </c>
      <c r="I46" s="309">
        <f>'16'!I46</f>
        <v>0</v>
      </c>
      <c r="J46" s="170">
        <f>'16'!J46</f>
        <v>0</v>
      </c>
      <c r="K46" s="310">
        <f>'16'!K46</f>
        <v>0</v>
      </c>
      <c r="L46" s="135"/>
      <c r="M46" s="307" t="str">
        <f>'16'!M46</f>
        <v>WR</v>
      </c>
      <c r="N46" s="309">
        <f>'16'!N46</f>
        <v>0</v>
      </c>
      <c r="O46" s="309">
        <f>'16'!O46</f>
        <v>0</v>
      </c>
      <c r="P46" s="170">
        <f>'16'!P46</f>
        <v>0</v>
      </c>
      <c r="Q46" s="310">
        <f>'16'!Q46</f>
        <v>0</v>
      </c>
    </row>
    <row r="47" spans="1:17" x14ac:dyDescent="0.3">
      <c r="A47" s="307" t="str">
        <f>'16'!A47</f>
        <v>WR</v>
      </c>
      <c r="B47" s="307">
        <f>'16'!B47</f>
        <v>8.5</v>
      </c>
      <c r="C47" s="307">
        <f>'16'!C47</f>
        <v>15</v>
      </c>
      <c r="D47" s="308">
        <f>'16'!D47</f>
        <v>432</v>
      </c>
      <c r="E47" s="308">
        <f>'16'!E47</f>
        <v>897401</v>
      </c>
      <c r="F47" s="135"/>
      <c r="G47" s="307" t="str">
        <f>'16'!G47</f>
        <v>WR</v>
      </c>
      <c r="H47" s="309">
        <f>'16'!H47</f>
        <v>0</v>
      </c>
      <c r="I47" s="309">
        <f>'16'!I47</f>
        <v>0</v>
      </c>
      <c r="J47" s="170">
        <f>'16'!J47</f>
        <v>0</v>
      </c>
      <c r="K47" s="310">
        <f>'16'!K47</f>
        <v>0</v>
      </c>
      <c r="L47" s="135"/>
      <c r="M47" s="307" t="str">
        <f>'16'!M47</f>
        <v>WR</v>
      </c>
      <c r="N47" s="309">
        <f>'16'!N47</f>
        <v>0</v>
      </c>
      <c r="O47" s="309">
        <f>'16'!O47</f>
        <v>0</v>
      </c>
      <c r="P47" s="170">
        <f>'16'!P47</f>
        <v>0</v>
      </c>
      <c r="Q47" s="310">
        <f>'16'!Q47</f>
        <v>0</v>
      </c>
    </row>
    <row r="48" spans="1:17" x14ac:dyDescent="0.3">
      <c r="A48" s="307" t="str">
        <f>'16'!A48</f>
        <v>WR</v>
      </c>
      <c r="B48" s="307">
        <f>'16'!B48</f>
        <v>6.5</v>
      </c>
      <c r="C48" s="307">
        <f>'16'!C48</f>
        <v>8</v>
      </c>
      <c r="D48" s="308">
        <f>'16'!D48</f>
        <v>144</v>
      </c>
      <c r="E48" s="308">
        <f>'16'!E48</f>
        <v>300807</v>
      </c>
      <c r="F48" s="135"/>
      <c r="G48" s="307" t="str">
        <f>'16'!G48</f>
        <v>WR</v>
      </c>
      <c r="H48" s="309">
        <f>'16'!H48</f>
        <v>0</v>
      </c>
      <c r="I48" s="309">
        <f>'16'!I48</f>
        <v>0</v>
      </c>
      <c r="J48" s="170">
        <f>'16'!J48</f>
        <v>0</v>
      </c>
      <c r="K48" s="310">
        <f>'16'!K48</f>
        <v>0</v>
      </c>
      <c r="L48" s="135"/>
      <c r="M48" s="307" t="str">
        <f>'16'!M48</f>
        <v>WR</v>
      </c>
      <c r="N48" s="309">
        <f>'16'!N48</f>
        <v>0</v>
      </c>
      <c r="O48" s="309">
        <f>'16'!O48</f>
        <v>0</v>
      </c>
      <c r="P48" s="170">
        <f>'16'!P48</f>
        <v>0</v>
      </c>
      <c r="Q48" s="310">
        <f>'16'!Q48</f>
        <v>0</v>
      </c>
    </row>
    <row r="49" spans="1:23" x14ac:dyDescent="0.3">
      <c r="A49" s="307" t="str">
        <f>'16'!A49</f>
        <v>WR</v>
      </c>
      <c r="B49" s="307">
        <f>'16'!B49</f>
        <v>6.5</v>
      </c>
      <c r="C49" s="307">
        <f>'16'!C49</f>
        <v>15</v>
      </c>
      <c r="D49" s="308">
        <f>'16'!D49</f>
        <v>119</v>
      </c>
      <c r="E49" s="308">
        <f>'16'!E49</f>
        <v>247182</v>
      </c>
      <c r="F49" s="3"/>
      <c r="G49" s="307" t="str">
        <f>'16'!G49</f>
        <v>WR</v>
      </c>
      <c r="H49" s="309">
        <f>'16'!H49</f>
        <v>0</v>
      </c>
      <c r="I49" s="309">
        <f>'16'!I49</f>
        <v>0</v>
      </c>
      <c r="J49" s="170">
        <f>'16'!J49</f>
        <v>0</v>
      </c>
      <c r="K49" s="310">
        <f>'16'!K49</f>
        <v>0</v>
      </c>
      <c r="L49" s="3"/>
      <c r="M49" s="307" t="str">
        <f>'16'!M49</f>
        <v>WR</v>
      </c>
      <c r="N49" s="309">
        <f>'16'!N49</f>
        <v>0</v>
      </c>
      <c r="O49" s="309">
        <f>'16'!O49</f>
        <v>0</v>
      </c>
      <c r="P49" s="170">
        <f>'16'!P49</f>
        <v>0</v>
      </c>
      <c r="Q49" s="310">
        <f>'16'!Q49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46039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357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3">
        <v>25</v>
      </c>
      <c r="C55" s="80"/>
      <c r="D55" s="494"/>
      <c r="E55" s="495"/>
      <c r="F55" s="495"/>
      <c r="G55" s="495"/>
      <c r="H55" s="495"/>
      <c r="I55" s="496"/>
      <c r="J55" s="97"/>
      <c r="K55" s="391"/>
      <c r="L55" s="466" t="s">
        <v>26</v>
      </c>
      <c r="M55" s="467"/>
      <c r="N55" s="467"/>
      <c r="O55" s="392" t="s">
        <v>13</v>
      </c>
      <c r="P55" s="393">
        <f>C16</f>
        <v>1097247</v>
      </c>
      <c r="Q55" s="394">
        <f>C26</f>
        <v>12673805</v>
      </c>
      <c r="R55" s="395"/>
      <c r="S55" s="388">
        <f>DAY(A52)</f>
        <v>17</v>
      </c>
      <c r="T55" s="383">
        <f>S55-U55</f>
        <v>12</v>
      </c>
      <c r="U55" s="383">
        <f>'16'!U55</f>
        <v>5</v>
      </c>
    </row>
    <row r="56" spans="1:23" x14ac:dyDescent="0.3">
      <c r="A56" s="95" t="s">
        <v>37</v>
      </c>
      <c r="B56" s="97">
        <v>24</v>
      </c>
      <c r="C56" s="82"/>
      <c r="D56" s="463"/>
      <c r="E56" s="463"/>
      <c r="F56" s="463"/>
      <c r="G56" s="463"/>
      <c r="H56" s="463"/>
      <c r="I56" s="46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1078248</v>
      </c>
      <c r="Q56" s="398">
        <f>K27</f>
        <v>12462747</v>
      </c>
      <c r="R56" s="399"/>
    </row>
    <row r="57" spans="1:23" x14ac:dyDescent="0.3">
      <c r="A57" s="95" t="s">
        <v>39</v>
      </c>
      <c r="B57" s="97">
        <v>2</v>
      </c>
      <c r="C57" s="82"/>
      <c r="D57" s="463" t="s">
        <v>359</v>
      </c>
      <c r="E57" s="463"/>
      <c r="F57" s="463"/>
      <c r="G57" s="463"/>
      <c r="H57" s="463"/>
      <c r="I57" s="463"/>
      <c r="J57" s="97">
        <v>55</v>
      </c>
      <c r="K57" s="391"/>
      <c r="L57" s="468" t="s">
        <v>19</v>
      </c>
      <c r="M57" s="469"/>
      <c r="N57" s="469"/>
      <c r="O57" s="400" t="s">
        <v>14</v>
      </c>
      <c r="P57" s="401">
        <f>L17</f>
        <v>0.982684846711816</v>
      </c>
      <c r="Q57" s="430">
        <f>L27</f>
        <v>0.98334691120780227</v>
      </c>
      <c r="R57" s="403">
        <v>0.98499999999999999</v>
      </c>
    </row>
    <row r="58" spans="1:23" x14ac:dyDescent="0.3">
      <c r="A58" s="95" t="s">
        <v>41</v>
      </c>
      <c r="B58" s="97">
        <v>19</v>
      </c>
      <c r="C58" s="82"/>
      <c r="D58" s="463" t="s">
        <v>360</v>
      </c>
      <c r="E58" s="463"/>
      <c r="F58" s="463"/>
      <c r="G58" s="463"/>
      <c r="H58" s="463"/>
      <c r="I58" s="463"/>
      <c r="J58" s="97">
        <v>13</v>
      </c>
      <c r="K58" s="391"/>
      <c r="L58" s="507" t="s">
        <v>192</v>
      </c>
      <c r="M58" s="508"/>
      <c r="N58" s="508"/>
      <c r="O58" s="392" t="s">
        <v>13</v>
      </c>
      <c r="P58" s="393">
        <f>E16</f>
        <v>2114</v>
      </c>
      <c r="Q58" s="394">
        <f>E26</f>
        <v>38018</v>
      </c>
      <c r="R58" s="395"/>
    </row>
    <row r="59" spans="1:23" x14ac:dyDescent="0.3">
      <c r="A59" s="95" t="s">
        <v>43</v>
      </c>
      <c r="B59" s="97">
        <v>25</v>
      </c>
      <c r="C59" s="82"/>
      <c r="D59" s="463"/>
      <c r="E59" s="463"/>
      <c r="F59" s="463"/>
      <c r="G59" s="463"/>
      <c r="H59" s="463"/>
      <c r="I59" s="463"/>
      <c r="J59" s="97"/>
      <c r="K59" s="391"/>
      <c r="L59" s="509"/>
      <c r="M59" s="510"/>
      <c r="N59" s="510"/>
      <c r="O59" s="400" t="s">
        <v>14</v>
      </c>
      <c r="P59" s="401">
        <f>F16</f>
        <v>1.9266400363819633E-3</v>
      </c>
      <c r="Q59" s="430">
        <f>F26</f>
        <v>2.9997305465880213E-3</v>
      </c>
      <c r="R59" s="404">
        <v>1.5E-3</v>
      </c>
    </row>
    <row r="60" spans="1:23" x14ac:dyDescent="0.3">
      <c r="A60" s="95" t="s">
        <v>45</v>
      </c>
      <c r="B60" s="97">
        <v>19</v>
      </c>
      <c r="C60" s="82">
        <v>1</v>
      </c>
      <c r="D60" s="463" t="s">
        <v>361</v>
      </c>
      <c r="E60" s="543"/>
      <c r="F60" s="543"/>
      <c r="G60" s="543"/>
      <c r="H60" s="543"/>
      <c r="I60" s="543"/>
      <c r="J60" s="97">
        <v>12</v>
      </c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</f>
        <v>24480</v>
      </c>
      <c r="R60" s="406"/>
    </row>
    <row r="61" spans="1:23" x14ac:dyDescent="0.3">
      <c r="A61" s="95" t="s">
        <v>47</v>
      </c>
      <c r="B61" s="97">
        <v>22</v>
      </c>
      <c r="C61" s="82"/>
      <c r="D61" s="463" t="s">
        <v>361</v>
      </c>
      <c r="E61" s="543"/>
      <c r="F61" s="543"/>
      <c r="G61" s="543"/>
      <c r="H61" s="543"/>
      <c r="I61" s="543"/>
      <c r="J61" s="97">
        <v>6</v>
      </c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</f>
        <v>7200</v>
      </c>
      <c r="R61" s="395"/>
    </row>
    <row r="62" spans="1:23" x14ac:dyDescent="0.3">
      <c r="A62" s="95" t="s">
        <v>49</v>
      </c>
      <c r="B62" s="97">
        <v>19</v>
      </c>
      <c r="C62" s="82"/>
      <c r="D62" s="463" t="s">
        <v>362</v>
      </c>
      <c r="E62" s="543"/>
      <c r="F62" s="543"/>
      <c r="G62" s="543"/>
      <c r="H62" s="543"/>
      <c r="I62" s="543"/>
      <c r="J62" s="97">
        <v>14</v>
      </c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</f>
        <v>7200</v>
      </c>
      <c r="R62" s="399"/>
    </row>
    <row r="63" spans="1:23" x14ac:dyDescent="0.3">
      <c r="A63" s="95" t="s">
        <v>51</v>
      </c>
      <c r="B63" s="97">
        <v>24</v>
      </c>
      <c r="C63" s="82"/>
      <c r="D63" s="463" t="s">
        <v>362</v>
      </c>
      <c r="E63" s="543"/>
      <c r="F63" s="543"/>
      <c r="G63" s="543"/>
      <c r="H63" s="543"/>
      <c r="I63" s="543"/>
      <c r="J63" s="97">
        <v>3</v>
      </c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</f>
        <v>0</v>
      </c>
      <c r="R63" s="399"/>
    </row>
    <row r="64" spans="1:23" x14ac:dyDescent="0.3">
      <c r="A64" s="95" t="s">
        <v>53</v>
      </c>
      <c r="B64" s="97">
        <v>24</v>
      </c>
      <c r="C64" s="82"/>
      <c r="D64" s="463" t="s">
        <v>363</v>
      </c>
      <c r="E64" s="543"/>
      <c r="F64" s="543"/>
      <c r="G64" s="543"/>
      <c r="H64" s="543"/>
      <c r="I64" s="543"/>
      <c r="J64" s="97">
        <v>1</v>
      </c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7">
        <v>25</v>
      </c>
      <c r="C65" s="82"/>
      <c r="D65" s="463"/>
      <c r="E65" s="543"/>
      <c r="F65" s="543"/>
      <c r="G65" s="543"/>
      <c r="H65" s="543"/>
      <c r="I65" s="54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138</v>
      </c>
      <c r="Q65" s="100">
        <f>'1'!Q65+'2'!P65+'3'!P65+'4'!P65+'5'!P65+'6'!P65+'7'!P65+'8'!P65+'9'!P65+'10'!P65+'11'!P65+'12'!P65+'13'!P65+'14'!P65+'15'!P65+'16'!P65+'17'!P65</f>
        <v>1931</v>
      </c>
      <c r="R65" s="395"/>
      <c r="S65" s="171" t="s">
        <v>56</v>
      </c>
      <c r="T65" s="172"/>
      <c r="U65" s="173" t="s">
        <v>151</v>
      </c>
      <c r="V65" s="174"/>
      <c r="W65" s="181">
        <f>+'16'!W65+'17'!V65</f>
        <v>9</v>
      </c>
    </row>
    <row r="66" spans="1:23" x14ac:dyDescent="0.3">
      <c r="A66" s="95" t="s">
        <v>57</v>
      </c>
      <c r="B66" s="97">
        <v>25</v>
      </c>
      <c r="C66" s="82"/>
      <c r="D66" s="463"/>
      <c r="E66" s="543"/>
      <c r="F66" s="543"/>
      <c r="G66" s="543"/>
      <c r="H66" s="543"/>
      <c r="I66" s="543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</f>
        <v>0</v>
      </c>
      <c r="R66" s="399"/>
      <c r="S66" s="377" t="s">
        <v>58</v>
      </c>
      <c r="T66" s="175"/>
      <c r="U66" s="176" t="s">
        <v>151</v>
      </c>
      <c r="V66" s="177">
        <v>1</v>
      </c>
      <c r="W66" s="182">
        <f>+'16'!W66+'17'!V66</f>
        <v>7</v>
      </c>
    </row>
    <row r="67" spans="1:23" x14ac:dyDescent="0.3">
      <c r="A67" s="95" t="s">
        <v>59</v>
      </c>
      <c r="B67" s="97">
        <v>25</v>
      </c>
      <c r="C67" s="82"/>
      <c r="D67" s="463"/>
      <c r="E67" s="543"/>
      <c r="F67" s="543"/>
      <c r="G67" s="543"/>
      <c r="H67" s="543"/>
      <c r="I67" s="543"/>
      <c r="J67" s="97"/>
      <c r="K67" s="391"/>
      <c r="L67" s="502" t="s">
        <v>50</v>
      </c>
      <c r="M67" s="498"/>
      <c r="N67" s="498"/>
      <c r="O67" s="408" t="s">
        <v>28</v>
      </c>
      <c r="P67" s="138">
        <v>100</v>
      </c>
      <c r="Q67" s="99">
        <f>'1'!Q67+'2'!P67+'3'!P67+'4'!P67+'5'!P67+'6'!P67+'7'!P67+'8'!P67+'9'!P67+'10'!P67+'11'!P67+'12'!P67+'13'!P67+'14'!P67+'15'!P67+'16'!P67+'17'!P67</f>
        <v>1652</v>
      </c>
      <c r="R67" s="399"/>
      <c r="S67" s="377" t="s">
        <v>60</v>
      </c>
      <c r="T67" s="175"/>
      <c r="U67" s="176" t="s">
        <v>151</v>
      </c>
      <c r="V67" s="177"/>
      <c r="W67" s="182">
        <f>+'16'!W67+'17'!V67</f>
        <v>0</v>
      </c>
    </row>
    <row r="68" spans="1:23" x14ac:dyDescent="0.3">
      <c r="A68" s="95" t="s">
        <v>61</v>
      </c>
      <c r="B68" s="97">
        <v>25</v>
      </c>
      <c r="C68" s="82"/>
      <c r="D68" s="463"/>
      <c r="E68" s="543"/>
      <c r="F68" s="543"/>
      <c r="G68" s="543"/>
      <c r="H68" s="543"/>
      <c r="I68" s="543"/>
      <c r="J68" s="97"/>
      <c r="K68" s="391"/>
      <c r="L68" s="468" t="s">
        <v>52</v>
      </c>
      <c r="M68" s="469"/>
      <c r="N68" s="469"/>
      <c r="O68" s="85" t="s">
        <v>28</v>
      </c>
      <c r="P68" s="141">
        <v>38</v>
      </c>
      <c r="Q68" s="86">
        <f>'1'!Q68+'2'!P68+'3'!P68+'4'!P68+'5'!P68+'6'!P68+'7'!P68+'8'!P68+'9'!P68+'10'!P68+'11'!P68+'12'!P68+'13'!P68+'14'!P68+'15'!P68+'16'!P68+'17'!P68</f>
        <v>279</v>
      </c>
      <c r="R68" s="409"/>
      <c r="S68" s="377" t="s">
        <v>62</v>
      </c>
      <c r="T68" s="175"/>
      <c r="U68" s="176" t="s">
        <v>151</v>
      </c>
      <c r="V68" s="177"/>
      <c r="W68" s="182">
        <f>+'16'!W68+'17'!V68</f>
        <v>2</v>
      </c>
    </row>
    <row r="69" spans="1:23" x14ac:dyDescent="0.3">
      <c r="A69" s="95" t="s">
        <v>63</v>
      </c>
      <c r="B69" s="97">
        <v>12</v>
      </c>
      <c r="C69" s="82"/>
      <c r="D69" s="463" t="s">
        <v>364</v>
      </c>
      <c r="E69" s="543"/>
      <c r="F69" s="543"/>
      <c r="G69" s="543"/>
      <c r="H69" s="543"/>
      <c r="I69" s="543"/>
      <c r="J69" s="97">
        <v>29</v>
      </c>
      <c r="K69" s="391"/>
      <c r="L69" s="466" t="s">
        <v>54</v>
      </c>
      <c r="M69" s="467"/>
      <c r="N69" s="467"/>
      <c r="O69" s="106" t="s">
        <v>28</v>
      </c>
      <c r="P69" s="100">
        <f>SUM(P70:P74)</f>
        <v>35</v>
      </c>
      <c r="Q69" s="100">
        <f>'1'!Q69+'2'!P69+'3'!P69+'4'!P69+'5'!P69+'6'!P69+'7'!P69+'8'!P69+'9'!P69+'10'!P69+'11'!P69+'12'!P69+'13'!P69+'14'!P69+'15'!P69+'16'!P69+'17'!P69</f>
        <v>876</v>
      </c>
      <c r="R69" s="395"/>
      <c r="S69" s="376" t="s">
        <v>64</v>
      </c>
      <c r="T69" s="178"/>
      <c r="U69" s="179" t="s">
        <v>151</v>
      </c>
      <c r="V69" s="180"/>
      <c r="W69" s="183">
        <f>+'16'!W69+'17'!V69</f>
        <v>0</v>
      </c>
    </row>
    <row r="70" spans="1:23" x14ac:dyDescent="0.3">
      <c r="A70" s="95" t="s">
        <v>65</v>
      </c>
      <c r="B70" s="97">
        <v>18</v>
      </c>
      <c r="C70" s="82"/>
      <c r="D70" s="463" t="s">
        <v>365</v>
      </c>
      <c r="E70" s="543"/>
      <c r="F70" s="543"/>
      <c r="G70" s="543"/>
      <c r="H70" s="543"/>
      <c r="I70" s="543"/>
      <c r="J70" s="97">
        <v>17</v>
      </c>
      <c r="K70" s="407"/>
      <c r="L70" s="497" t="s">
        <v>56</v>
      </c>
      <c r="M70" s="498"/>
      <c r="N70" s="498"/>
      <c r="O70" s="408" t="s">
        <v>28</v>
      </c>
      <c r="P70" s="138">
        <v>17</v>
      </c>
      <c r="Q70" s="429">
        <f>'1'!Q70+'2'!P70+'3'!P70+'4'!P70+'5'!P70+'6'!P70+'7'!P70+'8'!P70+'9'!P70+'10'!P70+'11'!P70+'12'!P70+'13'!P70+'14'!P70+'15'!P70+'16'!P70+'17'!P70</f>
        <v>455</v>
      </c>
      <c r="R70" s="399">
        <f>T55*30</f>
        <v>360</v>
      </c>
    </row>
    <row r="71" spans="1:23" x14ac:dyDescent="0.3">
      <c r="A71" s="95" t="s">
        <v>67</v>
      </c>
      <c r="B71" s="97">
        <v>20</v>
      </c>
      <c r="C71" s="82"/>
      <c r="D71" s="463" t="s">
        <v>366</v>
      </c>
      <c r="E71" s="543"/>
      <c r="F71" s="543"/>
      <c r="G71" s="543"/>
      <c r="H71" s="543"/>
      <c r="I71" s="543"/>
      <c r="J71" s="97">
        <v>9</v>
      </c>
      <c r="K71" s="391"/>
      <c r="L71" s="497" t="s">
        <v>58</v>
      </c>
      <c r="M71" s="498"/>
      <c r="N71" s="498"/>
      <c r="O71" s="408" t="s">
        <v>28</v>
      </c>
      <c r="P71" s="138">
        <v>18</v>
      </c>
      <c r="Q71" s="429">
        <f>'1'!Q71+'2'!P71+'3'!P71+'4'!P71+'5'!P71+'6'!P71+'7'!P71+'8'!P71+'9'!P71+'10'!P71+'11'!P71+'12'!P71+'13'!P71+'14'!P71+'15'!P71+'16'!P71+'17'!P71</f>
        <v>353</v>
      </c>
      <c r="R71" s="399">
        <f>T55*25</f>
        <v>300</v>
      </c>
    </row>
    <row r="72" spans="1:23" x14ac:dyDescent="0.3">
      <c r="A72" s="95" t="s">
        <v>69</v>
      </c>
      <c r="B72" s="97">
        <v>23</v>
      </c>
      <c r="C72" s="82"/>
      <c r="D72" s="463"/>
      <c r="E72" s="543"/>
      <c r="F72" s="543"/>
      <c r="G72" s="543"/>
      <c r="H72" s="543"/>
      <c r="I72" s="543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</f>
        <v>19</v>
      </c>
      <c r="R72" s="399">
        <f>T55*10</f>
        <v>120</v>
      </c>
    </row>
    <row r="73" spans="1:23" x14ac:dyDescent="0.3">
      <c r="A73" s="95" t="s">
        <v>71</v>
      </c>
      <c r="B73" s="97">
        <v>18</v>
      </c>
      <c r="C73" s="82"/>
      <c r="D73" s="463" t="s">
        <v>367</v>
      </c>
      <c r="E73" s="543"/>
      <c r="F73" s="543"/>
      <c r="G73" s="543"/>
      <c r="H73" s="543"/>
      <c r="I73" s="543"/>
      <c r="J73" s="97">
        <v>14</v>
      </c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</f>
        <v>49</v>
      </c>
      <c r="R73" s="399"/>
    </row>
    <row r="74" spans="1:23" x14ac:dyDescent="0.3">
      <c r="A74" s="95" t="s">
        <v>73</v>
      </c>
      <c r="B74" s="97">
        <v>24</v>
      </c>
      <c r="C74" s="82"/>
      <c r="D74" s="463"/>
      <c r="E74" s="543"/>
      <c r="F74" s="543"/>
      <c r="G74" s="543"/>
      <c r="H74" s="543"/>
      <c r="I74" s="543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</f>
        <v>0</v>
      </c>
      <c r="R74" s="409"/>
    </row>
    <row r="75" spans="1:23" x14ac:dyDescent="0.3">
      <c r="A75" s="95" t="s">
        <v>75</v>
      </c>
      <c r="B75" s="97">
        <v>25</v>
      </c>
      <c r="C75" s="82"/>
      <c r="D75" s="463"/>
      <c r="E75" s="543"/>
      <c r="F75" s="543"/>
      <c r="G75" s="543"/>
      <c r="H75" s="543"/>
      <c r="I75" s="54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</f>
        <v>17280</v>
      </c>
      <c r="R75" s="406"/>
    </row>
    <row r="76" spans="1:23" x14ac:dyDescent="0.3">
      <c r="A76" s="95" t="s">
        <v>77</v>
      </c>
      <c r="B76" s="97">
        <v>25</v>
      </c>
      <c r="C76" s="82"/>
      <c r="D76" s="463"/>
      <c r="E76" s="543"/>
      <c r="F76" s="543"/>
      <c r="G76" s="543"/>
      <c r="H76" s="543"/>
      <c r="I76" s="54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173</v>
      </c>
      <c r="Q76" s="94">
        <f>'1'!Q76+'2'!P76+'3'!P76+'4'!P76+'5'!P76+'6'!P76+'7'!P76+'8'!P76+'9'!P76+'10'!P76+'11'!P76+'12'!P76+'13'!P76+'14'!P76+'15'!P76+'16'!P76+'17'!P76</f>
        <v>2807</v>
      </c>
      <c r="R76" s="406"/>
    </row>
    <row r="77" spans="1:23" x14ac:dyDescent="0.3">
      <c r="A77" s="95" t="s">
        <v>79</v>
      </c>
      <c r="B77" s="97">
        <v>25</v>
      </c>
      <c r="C77" s="82"/>
      <c r="D77" s="463"/>
      <c r="E77" s="543"/>
      <c r="F77" s="543"/>
      <c r="G77" s="543"/>
      <c r="H77" s="543"/>
      <c r="I77" s="543"/>
      <c r="J77" s="97"/>
      <c r="K77" s="391"/>
      <c r="L77" s="486" t="s">
        <v>70</v>
      </c>
      <c r="M77" s="487"/>
      <c r="N77" s="488"/>
      <c r="O77" s="405" t="s">
        <v>28</v>
      </c>
      <c r="P77" s="142">
        <v>185</v>
      </c>
      <c r="Q77" s="94">
        <f>'1'!Q77+'2'!P77+'3'!P77+'4'!P77+'5'!P77+'6'!P77+'7'!P77+'8'!P77+'9'!P77+'10'!P77+'11'!P77+'12'!P77+'13'!P77+'14'!P77+'15'!P77+'16'!P77+'17'!P77</f>
        <v>2827</v>
      </c>
      <c r="R77" s="406"/>
    </row>
    <row r="78" spans="1:23" x14ac:dyDescent="0.3">
      <c r="A78" s="109" t="s">
        <v>82</v>
      </c>
      <c r="B78" s="436">
        <v>25</v>
      </c>
      <c r="C78" s="443"/>
      <c r="D78" s="463"/>
      <c r="E78" s="543"/>
      <c r="F78" s="543"/>
      <c r="G78" s="543"/>
      <c r="H78" s="543"/>
      <c r="I78" s="54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12</v>
      </c>
      <c r="Q78" s="94">
        <f>'1'!Q78+'2'!P78+'3'!P78+'4'!P78+'5'!P78+'6'!P78+'7'!P78+'8'!P78+'9'!P78+'10'!P78+'11'!P78+'12'!P78+'13'!P78+'14'!P78+'15'!P78+'16'!P78+'17'!P78</f>
        <v>20</v>
      </c>
      <c r="R78" s="406"/>
    </row>
    <row r="79" spans="1:23" x14ac:dyDescent="0.3">
      <c r="A79" s="114"/>
      <c r="B79" s="115">
        <f>SUM(B55:B78)</f>
        <v>518</v>
      </c>
      <c r="C79" s="116">
        <f>SUM(C55:C78)</f>
        <v>1</v>
      </c>
      <c r="D79" s="470"/>
      <c r="E79" s="471"/>
      <c r="F79" s="471"/>
      <c r="G79" s="471"/>
      <c r="H79" s="471"/>
      <c r="I79" s="472"/>
      <c r="J79" s="117">
        <f>SUM(J55:J78)</f>
        <v>173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1255</v>
      </c>
      <c r="Q79" s="94">
        <f>'1'!Q79+'2'!P79+'3'!P79+'4'!P79+'5'!P79+'6'!P79+'7'!P79+'8'!P79+'9'!P79+'10'!P79+'11'!P79+'12'!P79+'13'!P79+'14'!P79+'15'!P79+'16'!P79+'17'!P79</f>
        <v>14453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0.87152777777777779</v>
      </c>
      <c r="Q80" s="431">
        <f>Q79/Q75</f>
        <v>0.836400462962963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0.87152777777777779</v>
      </c>
      <c r="Q81" s="165">
        <f>Q79/Q60</f>
        <v>0.59040032679738563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52.458023904382472</v>
      </c>
      <c r="Q82" s="150">
        <f>(C26/1000)/(Q79/60)</f>
        <v>52.613872552411266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45.718625000000003</v>
      </c>
      <c r="Q83" s="113">
        <f>(C26/1000)/(Q75/60)</f>
        <v>44.006267361111114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34243</v>
      </c>
      <c r="Q84" s="100">
        <f>'1'!Q84+'2'!P84+'3'!P84+'4'!P84+'5'!P84+'6'!P84+'7'!P84+'8'!P84+'9'!P84+'10'!P84+'11'!P84+'12'!P84+'13'!P84+'14'!P84+'15'!P84+'16'!P84+'17'!P84</f>
        <v>417828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31.758000014838885</v>
      </c>
      <c r="Q85" s="124">
        <f>Q84/(K27/1000)</f>
        <v>33.526155991131013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215.76</v>
      </c>
      <c r="Q86" s="100">
        <f>'1'!Q86+'2'!P86+'3'!P86+'4'!P86+'5'!P86+'6'!P86+'7'!P86+'8'!P86+'9'!P86+'10'!P86+'11'!P86+'12'!P86+'13'!P86+'14'!P86+'15'!P86+'16'!P86+'17'!P86</f>
        <v>2398.16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200.48578963116043</v>
      </c>
      <c r="Q87" s="124">
        <f>(Q86*1000)/(K26/1000)</f>
        <v>193.30824094304913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152</v>
      </c>
      <c r="Q88" s="100">
        <f>'1'!Q88+'2'!P88+'3'!P88+'4'!P88+'5'!P88+'6'!P88+'7'!P88+'8'!P88+'9'!P88+'10'!P88+'11'!P88+'12'!P88+'13'!P88+'14'!P88+'15'!P88+'16'!P88+'17'!P88</f>
        <v>1602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0.14123952550953089</v>
      </c>
      <c r="Q89" s="124">
        <f>Q88/(K26/1000)</f>
        <v>0.12913225222285615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52" zoomScaleNormal="100" workbookViewId="0">
      <selection activeCell="R59" sqref="R59"/>
    </sheetView>
  </sheetViews>
  <sheetFormatPr defaultRowHeight="16.5" x14ac:dyDescent="0.3"/>
  <cols>
    <col min="1" max="1" width="8.71093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'17'!A3:Q3+1</f>
        <v>46040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221</v>
      </c>
      <c r="B7" s="15">
        <v>22</v>
      </c>
      <c r="C7" s="15">
        <v>46662</v>
      </c>
      <c r="D7" s="16"/>
      <c r="E7" s="17"/>
      <c r="F7" s="18"/>
      <c r="G7" s="19" t="s">
        <v>1</v>
      </c>
      <c r="H7" s="20">
        <v>5.5</v>
      </c>
      <c r="I7" s="21" t="s">
        <v>204</v>
      </c>
      <c r="J7" s="22">
        <v>22</v>
      </c>
      <c r="K7" s="17">
        <v>46135</v>
      </c>
      <c r="L7" s="23">
        <f t="shared" ref="L7:L16" si="0">K7/C7</f>
        <v>0.98870601345848874</v>
      </c>
      <c r="M7" s="17"/>
      <c r="N7" s="22"/>
      <c r="O7" s="134"/>
      <c r="P7" s="134"/>
      <c r="Q7" s="134"/>
    </row>
    <row r="8" spans="1:17" x14ac:dyDescent="0.3">
      <c r="A8" s="24" t="s">
        <v>319</v>
      </c>
      <c r="B8" s="25">
        <v>269</v>
      </c>
      <c r="C8" s="25">
        <v>563286</v>
      </c>
      <c r="D8" s="26"/>
      <c r="E8" s="27"/>
      <c r="F8" s="28"/>
      <c r="G8" s="29" t="s">
        <v>1</v>
      </c>
      <c r="H8" s="30">
        <v>9.5</v>
      </c>
      <c r="I8" s="31" t="s">
        <v>318</v>
      </c>
      <c r="J8" s="32">
        <v>269</v>
      </c>
      <c r="K8" s="33">
        <v>555674</v>
      </c>
      <c r="L8" s="34">
        <f t="shared" si="0"/>
        <v>0.9864864385054839</v>
      </c>
      <c r="M8" s="33"/>
      <c r="N8" s="32"/>
      <c r="O8" s="135"/>
      <c r="P8" s="135"/>
      <c r="Q8" s="135"/>
    </row>
    <row r="9" spans="1:17" x14ac:dyDescent="0.3">
      <c r="A9" s="24" t="s">
        <v>221</v>
      </c>
      <c r="B9" s="25">
        <v>144</v>
      </c>
      <c r="C9" s="25">
        <v>305424</v>
      </c>
      <c r="D9" s="26">
        <v>1</v>
      </c>
      <c r="E9" s="27">
        <v>2121</v>
      </c>
      <c r="F9" s="28">
        <f>E9/C9</f>
        <v>6.9444444444444441E-3</v>
      </c>
      <c r="G9" s="29" t="s">
        <v>1</v>
      </c>
      <c r="H9" s="30">
        <v>12</v>
      </c>
      <c r="I9" s="31" t="s">
        <v>204</v>
      </c>
      <c r="J9" s="32">
        <v>143</v>
      </c>
      <c r="K9" s="33">
        <v>298814</v>
      </c>
      <c r="L9" s="34">
        <f t="shared" si="0"/>
        <v>0.97835795484310339</v>
      </c>
      <c r="M9" s="33"/>
      <c r="N9" s="32"/>
      <c r="O9" s="135"/>
      <c r="P9" s="135"/>
      <c r="Q9" s="135"/>
    </row>
    <row r="10" spans="1:17" x14ac:dyDescent="0.3">
      <c r="A10" s="35" t="s">
        <v>236</v>
      </c>
      <c r="B10" s="36">
        <v>46</v>
      </c>
      <c r="C10" s="36">
        <v>97474</v>
      </c>
      <c r="D10" s="37"/>
      <c r="E10" s="38"/>
      <c r="F10" s="18"/>
      <c r="G10" s="39" t="s">
        <v>1</v>
      </c>
      <c r="H10" s="40">
        <v>5.5</v>
      </c>
      <c r="I10" s="31" t="s">
        <v>237</v>
      </c>
      <c r="J10" s="41">
        <v>46</v>
      </c>
      <c r="K10" s="42">
        <v>96002</v>
      </c>
      <c r="L10" s="34">
        <f t="shared" si="0"/>
        <v>0.98489853704577635</v>
      </c>
      <c r="M10" s="33"/>
      <c r="N10" s="32"/>
      <c r="O10" s="135"/>
      <c r="P10" s="135"/>
      <c r="Q10" s="135"/>
    </row>
    <row r="11" spans="1:17" x14ac:dyDescent="0.3">
      <c r="A11" s="35" t="s">
        <v>240</v>
      </c>
      <c r="B11" s="36">
        <v>33</v>
      </c>
      <c r="C11" s="36">
        <v>69927</v>
      </c>
      <c r="D11" s="37"/>
      <c r="E11" s="38"/>
      <c r="F11" s="18"/>
      <c r="G11" s="39" t="s">
        <v>1</v>
      </c>
      <c r="H11" s="40">
        <v>5.5</v>
      </c>
      <c r="I11" s="31" t="s">
        <v>241</v>
      </c>
      <c r="J11" s="41">
        <v>33</v>
      </c>
      <c r="K11" s="42">
        <v>68856</v>
      </c>
      <c r="L11" s="34">
        <f t="shared" si="0"/>
        <v>0.98468402762881291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514</v>
      </c>
      <c r="C16" s="48">
        <f>SUM(C7:C15)</f>
        <v>1082773</v>
      </c>
      <c r="D16" s="49">
        <f>SUM(D7:D15)</f>
        <v>1</v>
      </c>
      <c r="E16" s="50">
        <f>SUM(E7:E15)</f>
        <v>2121</v>
      </c>
      <c r="F16" s="51">
        <f>E16/C16</f>
        <v>1.9588593361674145E-3</v>
      </c>
      <c r="G16" s="52"/>
      <c r="H16" s="2"/>
      <c r="I16" s="2"/>
      <c r="J16" s="53">
        <f>SUM(J7:J15)</f>
        <v>513</v>
      </c>
      <c r="K16" s="53">
        <f>SUM(K7:K15)</f>
        <v>1065481</v>
      </c>
      <c r="L16" s="51">
        <f t="shared" si="0"/>
        <v>0.984029893615744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1065481</v>
      </c>
      <c r="L17" s="51">
        <f>K17/C16</f>
        <v>0.984029893615744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'17'!B22+'18'!B16</f>
        <v>5359</v>
      </c>
      <c r="C22" s="57">
        <f>'17'!C22+'18'!C16</f>
        <v>11321707</v>
      </c>
      <c r="D22" s="57">
        <f>'17'!D22+'18'!D16</f>
        <v>13</v>
      </c>
      <c r="E22" s="57">
        <f>'17'!E22+'18'!E16</f>
        <v>27506</v>
      </c>
      <c r="F22" s="423">
        <f>E22/C22</f>
        <v>2.429492301823391E-3</v>
      </c>
      <c r="G22" s="58" t="s">
        <v>1</v>
      </c>
      <c r="H22" s="59"/>
      <c r="I22" s="59"/>
      <c r="J22" s="57">
        <f>'17'!J22+'18'!J16</f>
        <v>5322</v>
      </c>
      <c r="K22" s="57">
        <f>'17'!K22+'18'!K16</f>
        <v>11091652</v>
      </c>
      <c r="L22" s="60">
        <f>K22/C22</f>
        <v>0.97968018426903292</v>
      </c>
      <c r="M22" s="57">
        <f>'17'!M22+'18'!M16</f>
        <v>24</v>
      </c>
      <c r="N22" s="57">
        <f>'17'!N22+'18'!N16</f>
        <v>49199</v>
      </c>
      <c r="O22" s="135"/>
      <c r="P22" s="135"/>
      <c r="Q22" s="135"/>
    </row>
    <row r="23" spans="1:17" x14ac:dyDescent="0.3">
      <c r="A23" s="521"/>
      <c r="B23" s="61">
        <f>'17'!B23</f>
        <v>1160</v>
      </c>
      <c r="C23" s="61">
        <f>'17'!C23</f>
        <v>2434871</v>
      </c>
      <c r="D23" s="61">
        <f>'17'!D23</f>
        <v>6</v>
      </c>
      <c r="E23" s="61">
        <f>'17'!E23</f>
        <v>12633</v>
      </c>
      <c r="F23" s="424">
        <f>E23/C23</f>
        <v>5.1883652152413823E-3</v>
      </c>
      <c r="G23" s="381" t="s">
        <v>195</v>
      </c>
      <c r="H23" s="59"/>
      <c r="I23" s="59"/>
      <c r="J23" s="61">
        <f>'17'!J23</f>
        <v>1150</v>
      </c>
      <c r="K23" s="61">
        <f>'17'!K23</f>
        <v>2379715</v>
      </c>
      <c r="L23" s="382">
        <f t="shared" ref="L23:L24" si="1">K23/C23</f>
        <v>0.97734746522505711</v>
      </c>
      <c r="M23" s="61">
        <f>'17'!M23</f>
        <v>4</v>
      </c>
      <c r="N23" s="61">
        <f>'17'!N23</f>
        <v>7662</v>
      </c>
      <c r="O23" s="135"/>
      <c r="P23" s="135"/>
      <c r="Q23" s="135"/>
    </row>
    <row r="24" spans="1:17" x14ac:dyDescent="0.3">
      <c r="A24" s="521"/>
      <c r="B24" s="61">
        <f>'17'!B24</f>
        <v>0</v>
      </c>
      <c r="C24" s="61">
        <f>'17'!C24</f>
        <v>0</v>
      </c>
      <c r="D24" s="61">
        <f>'17'!D24</f>
        <v>0</v>
      </c>
      <c r="E24" s="61">
        <f>'17'!E24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'17'!J24</f>
        <v>0</v>
      </c>
      <c r="K24" s="61">
        <f>'17'!K24</f>
        <v>0</v>
      </c>
      <c r="L24" s="382" t="e">
        <f t="shared" si="1"/>
        <v>#DIV/0!</v>
      </c>
      <c r="M24" s="61">
        <f>'17'!M24</f>
        <v>0</v>
      </c>
      <c r="N24" s="61">
        <f>'17'!N24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6519</v>
      </c>
      <c r="C26" s="68">
        <f>SUM(C21:C25)</f>
        <v>13756578</v>
      </c>
      <c r="D26" s="49">
        <f>SUM(D21:D25)</f>
        <v>19</v>
      </c>
      <c r="E26" s="69">
        <f>SUM(E22:E25)</f>
        <v>40139</v>
      </c>
      <c r="F26" s="51">
        <f>E26/C26</f>
        <v>2.9178041225077921E-3</v>
      </c>
      <c r="G26" s="51"/>
      <c r="H26" s="70"/>
      <c r="I26" s="70"/>
      <c r="J26" s="71">
        <f>SUM(J22:J25)</f>
        <v>6472</v>
      </c>
      <c r="K26" s="68">
        <f>SUM(K22:K25)</f>
        <v>13471367</v>
      </c>
      <c r="L26" s="51">
        <f>K26/C26</f>
        <v>0.9792673003416984</v>
      </c>
      <c r="M26" s="71">
        <f>SUM(M22:M25)</f>
        <v>28</v>
      </c>
      <c r="N26" s="54">
        <f>SUM(N22:N25)</f>
        <v>56861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13528228</v>
      </c>
      <c r="L27" s="51">
        <f>K27/C26</f>
        <v>0.98340066839296802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'17'!A30</f>
        <v>BIC</v>
      </c>
      <c r="B30" s="307" t="str">
        <f>'17'!B30</f>
        <v>P.6</v>
      </c>
      <c r="C30" s="307" t="str">
        <f>'17'!C30</f>
        <v>BjTPG280</v>
      </c>
      <c r="D30" s="308">
        <f>'17'!D30</f>
        <v>239</v>
      </c>
      <c r="E30" s="308">
        <f>'17'!E30</f>
        <v>497038</v>
      </c>
      <c r="F30" s="79"/>
      <c r="G30" s="307" t="str">
        <f>'17'!G30</f>
        <v>WR</v>
      </c>
      <c r="H30" s="309">
        <f>'17'!H30</f>
        <v>18</v>
      </c>
      <c r="I30" s="309">
        <f>'17'!I30</f>
        <v>8</v>
      </c>
      <c r="J30" s="170">
        <f>'17'!J30</f>
        <v>68</v>
      </c>
      <c r="K30" s="310">
        <f>'17'!K30</f>
        <v>140152</v>
      </c>
      <c r="L30" s="79"/>
      <c r="M30" s="307" t="str">
        <f>'17'!M30</f>
        <v>WR</v>
      </c>
      <c r="N30" s="309">
        <f>'17'!N30</f>
        <v>0</v>
      </c>
      <c r="O30" s="309">
        <f>'17'!O30</f>
        <v>0</v>
      </c>
      <c r="P30" s="170">
        <f>'17'!P30</f>
        <v>0</v>
      </c>
      <c r="Q30" s="310">
        <f>'17'!Q30</f>
        <v>0</v>
      </c>
    </row>
    <row r="31" spans="1:17" x14ac:dyDescent="0.3">
      <c r="A31" s="307" t="str">
        <f>'17'!A31</f>
        <v>WR</v>
      </c>
      <c r="B31" s="307">
        <f>'17'!B31</f>
        <v>6.5</v>
      </c>
      <c r="C31" s="307">
        <f>'17'!C31</f>
        <v>8</v>
      </c>
      <c r="D31" s="308">
        <f>'17'!D31</f>
        <v>144</v>
      </c>
      <c r="E31" s="308">
        <f>'17'!E31</f>
        <v>301505</v>
      </c>
      <c r="F31" s="135"/>
      <c r="G31" s="307" t="str">
        <f>'17'!G31</f>
        <v>WR</v>
      </c>
      <c r="H31" s="309">
        <f>'17'!H31</f>
        <v>7.5</v>
      </c>
      <c r="I31" s="309">
        <f>'17'!I31</f>
        <v>8</v>
      </c>
      <c r="J31" s="170">
        <f>'17'!J31</f>
        <v>96</v>
      </c>
      <c r="K31" s="310">
        <f>'17'!K31</f>
        <v>200884</v>
      </c>
      <c r="L31" s="135"/>
      <c r="M31" s="307" t="str">
        <f>'17'!M31</f>
        <v>WR</v>
      </c>
      <c r="N31" s="309">
        <f>'17'!N31</f>
        <v>0</v>
      </c>
      <c r="O31" s="309">
        <f>'17'!O31</f>
        <v>0</v>
      </c>
      <c r="P31" s="170">
        <f>'17'!P31</f>
        <v>0</v>
      </c>
      <c r="Q31" s="310">
        <f>'17'!Q31</f>
        <v>0</v>
      </c>
    </row>
    <row r="32" spans="1:17" x14ac:dyDescent="0.3">
      <c r="A32" s="307" t="str">
        <f>'17'!A32</f>
        <v>WR</v>
      </c>
      <c r="B32" s="307">
        <f>'17'!B32</f>
        <v>6.5</v>
      </c>
      <c r="C32" s="307">
        <f>'17'!C32</f>
        <v>10</v>
      </c>
      <c r="D32" s="308">
        <f>'17'!D32</f>
        <v>48</v>
      </c>
      <c r="E32" s="308">
        <f>'17'!E32</f>
        <v>99149</v>
      </c>
      <c r="F32" s="135"/>
      <c r="G32" s="307" t="str">
        <f>'17'!G32</f>
        <v>WR</v>
      </c>
      <c r="H32" s="309">
        <f>'17'!H32</f>
        <v>7.5</v>
      </c>
      <c r="I32" s="309">
        <f>'17'!I32</f>
        <v>15</v>
      </c>
      <c r="J32" s="170">
        <f>'17'!J32</f>
        <v>474</v>
      </c>
      <c r="K32" s="310">
        <f>'17'!K32</f>
        <v>981938</v>
      </c>
      <c r="L32" s="135"/>
      <c r="M32" s="307" t="str">
        <f>'17'!M32</f>
        <v>WR</v>
      </c>
      <c r="N32" s="309">
        <f>'17'!N32</f>
        <v>0</v>
      </c>
      <c r="O32" s="309">
        <f>'17'!O32</f>
        <v>0</v>
      </c>
      <c r="P32" s="170">
        <f>'17'!P32</f>
        <v>0</v>
      </c>
      <c r="Q32" s="310">
        <f>'17'!Q32</f>
        <v>0</v>
      </c>
    </row>
    <row r="33" spans="1:17" x14ac:dyDescent="0.3">
      <c r="A33" s="307" t="str">
        <f>'17'!A33</f>
        <v>WR</v>
      </c>
      <c r="B33" s="307">
        <f>'17'!B33</f>
        <v>6.5</v>
      </c>
      <c r="C33" s="307">
        <f>'17'!C33</f>
        <v>15</v>
      </c>
      <c r="D33" s="308">
        <f>'17'!D33</f>
        <v>6</v>
      </c>
      <c r="E33" s="308">
        <f>'17'!E33</f>
        <v>12304</v>
      </c>
      <c r="F33" s="135"/>
      <c r="G33" s="307" t="str">
        <f>'17'!G33</f>
        <v>WR</v>
      </c>
      <c r="H33" s="309">
        <f>'17'!H33</f>
        <v>5.5</v>
      </c>
      <c r="I33" s="309">
        <f>'17'!I33</f>
        <v>22</v>
      </c>
      <c r="J33" s="170">
        <f>'17'!J33</f>
        <v>436</v>
      </c>
      <c r="K33" s="310">
        <f>'17'!K33</f>
        <v>893285</v>
      </c>
      <c r="L33" s="135"/>
      <c r="M33" s="307" t="str">
        <f>'17'!M33</f>
        <v>WR</v>
      </c>
      <c r="N33" s="309">
        <f>'17'!N33</f>
        <v>0</v>
      </c>
      <c r="O33" s="309">
        <f>'17'!O33</f>
        <v>0</v>
      </c>
      <c r="P33" s="170">
        <f>'17'!P33</f>
        <v>0</v>
      </c>
      <c r="Q33" s="310">
        <f>'17'!Q33</f>
        <v>0</v>
      </c>
    </row>
    <row r="34" spans="1:17" x14ac:dyDescent="0.3">
      <c r="A34" s="307" t="str">
        <f>'17'!A34</f>
        <v>WR</v>
      </c>
      <c r="B34" s="307">
        <f>'17'!B34</f>
        <v>5.5</v>
      </c>
      <c r="C34" s="307">
        <f>'17'!C34</f>
        <v>6</v>
      </c>
      <c r="D34" s="308">
        <f>'17'!D34+J10</f>
        <v>839</v>
      </c>
      <c r="E34" s="308">
        <f>'17'!E34+K10</f>
        <v>1759964</v>
      </c>
      <c r="F34" s="135"/>
      <c r="G34" s="307" t="str">
        <f>'17'!G34</f>
        <v>WR</v>
      </c>
      <c r="H34" s="309">
        <f>'17'!H34</f>
        <v>5.5</v>
      </c>
      <c r="I34" s="309">
        <f>'17'!I34</f>
        <v>1045</v>
      </c>
      <c r="J34" s="170">
        <f>'17'!J34</f>
        <v>50</v>
      </c>
      <c r="K34" s="310">
        <f>'17'!K34</f>
        <v>104556</v>
      </c>
      <c r="L34" s="135"/>
      <c r="M34" s="307" t="str">
        <f>'17'!M34</f>
        <v>WR</v>
      </c>
      <c r="N34" s="309">
        <f>'17'!N34</f>
        <v>0</v>
      </c>
      <c r="O34" s="309">
        <f>'17'!O34</f>
        <v>0</v>
      </c>
      <c r="P34" s="170">
        <f>'17'!P34</f>
        <v>0</v>
      </c>
      <c r="Q34" s="310">
        <f>'17'!Q34</f>
        <v>0</v>
      </c>
    </row>
    <row r="35" spans="1:17" x14ac:dyDescent="0.3">
      <c r="A35" s="307" t="str">
        <f>'17'!A35</f>
        <v>WR</v>
      </c>
      <c r="B35" s="307">
        <f>'17'!B35</f>
        <v>5.5</v>
      </c>
      <c r="C35" s="307" t="str">
        <f>'17'!C35</f>
        <v>8.A</v>
      </c>
      <c r="D35" s="308">
        <f>'17'!D35</f>
        <v>75</v>
      </c>
      <c r="E35" s="308">
        <f>'17'!E35</f>
        <v>157414</v>
      </c>
      <c r="F35" s="135"/>
      <c r="G35" s="307" t="str">
        <f>'17'!G35</f>
        <v>WR</v>
      </c>
      <c r="H35" s="309">
        <v>9.5</v>
      </c>
      <c r="I35" s="309">
        <v>15</v>
      </c>
      <c r="J35" s="310">
        <f>J8</f>
        <v>269</v>
      </c>
      <c r="K35" s="310">
        <f>K8</f>
        <v>555674</v>
      </c>
      <c r="L35" s="135"/>
      <c r="M35" s="307" t="str">
        <f>'17'!M35</f>
        <v>WR</v>
      </c>
      <c r="N35" s="309">
        <f>'17'!N35</f>
        <v>0</v>
      </c>
      <c r="O35" s="309">
        <f>'17'!O35</f>
        <v>0</v>
      </c>
      <c r="P35" s="170">
        <f>'17'!P35</f>
        <v>0</v>
      </c>
      <c r="Q35" s="310">
        <f>'17'!Q35</f>
        <v>0</v>
      </c>
    </row>
    <row r="36" spans="1:17" x14ac:dyDescent="0.3">
      <c r="A36" s="307" t="str">
        <f>'17'!A36</f>
        <v>WR</v>
      </c>
      <c r="B36" s="307">
        <f>'17'!B36</f>
        <v>5.5</v>
      </c>
      <c r="C36" s="307" t="str">
        <f>'17'!C36</f>
        <v>22.A</v>
      </c>
      <c r="D36" s="308">
        <f>'17'!D36</f>
        <v>669</v>
      </c>
      <c r="E36" s="308">
        <f>'17'!E36</f>
        <v>1393156</v>
      </c>
      <c r="F36" s="135"/>
      <c r="G36" s="307" t="str">
        <f>'17'!G36</f>
        <v>WR</v>
      </c>
      <c r="H36" s="309">
        <v>12</v>
      </c>
      <c r="I36" s="309">
        <v>8</v>
      </c>
      <c r="J36" s="310">
        <f>J9</f>
        <v>143</v>
      </c>
      <c r="K36" s="310">
        <f>K9</f>
        <v>298814</v>
      </c>
      <c r="L36" s="135"/>
      <c r="M36" s="307" t="str">
        <f>'17'!M36</f>
        <v>WR</v>
      </c>
      <c r="N36" s="309">
        <f>'17'!N36</f>
        <v>0</v>
      </c>
      <c r="O36" s="309">
        <f>'17'!O36</f>
        <v>0</v>
      </c>
      <c r="P36" s="170">
        <f>'17'!P36</f>
        <v>0</v>
      </c>
      <c r="Q36" s="310">
        <f>'17'!Q36</f>
        <v>0</v>
      </c>
    </row>
    <row r="37" spans="1:17" x14ac:dyDescent="0.3">
      <c r="A37" s="307" t="str">
        <f>'17'!A37</f>
        <v>WR</v>
      </c>
      <c r="B37" s="307">
        <f>'17'!B37</f>
        <v>5.5</v>
      </c>
      <c r="C37" s="307" t="str">
        <f>'17'!C37</f>
        <v>Y.11</v>
      </c>
      <c r="D37" s="308">
        <f>'17'!D37+J11</f>
        <v>559</v>
      </c>
      <c r="E37" s="308">
        <f>'17'!E37+K11</f>
        <v>1171446</v>
      </c>
      <c r="F37" s="135"/>
      <c r="G37" s="307" t="str">
        <f>'17'!G37</f>
        <v>WR</v>
      </c>
      <c r="H37" s="309">
        <f>'17'!H37</f>
        <v>0</v>
      </c>
      <c r="I37" s="309">
        <f>'17'!I37</f>
        <v>0</v>
      </c>
      <c r="J37" s="170">
        <f>'17'!J37</f>
        <v>0</v>
      </c>
      <c r="K37" s="310">
        <f>'17'!K37</f>
        <v>0</v>
      </c>
      <c r="L37" s="135"/>
      <c r="M37" s="307" t="str">
        <f>'17'!M37</f>
        <v>WR</v>
      </c>
      <c r="N37" s="309">
        <f>'17'!N37</f>
        <v>0</v>
      </c>
      <c r="O37" s="309">
        <f>'17'!O37</f>
        <v>0</v>
      </c>
      <c r="P37" s="170">
        <f>'17'!P37</f>
        <v>0</v>
      </c>
      <c r="Q37" s="310">
        <f>'17'!Q37</f>
        <v>0</v>
      </c>
    </row>
    <row r="38" spans="1:17" x14ac:dyDescent="0.3">
      <c r="A38" s="307" t="str">
        <f>'17'!A38</f>
        <v>WR</v>
      </c>
      <c r="B38" s="307">
        <f>'17'!B38</f>
        <v>5.5</v>
      </c>
      <c r="C38" s="307" t="str">
        <f>'17'!C38</f>
        <v>67.A</v>
      </c>
      <c r="D38" s="308">
        <f>'17'!D38</f>
        <v>72</v>
      </c>
      <c r="E38" s="308">
        <f>'17'!E38</f>
        <v>152182</v>
      </c>
      <c r="F38" s="135"/>
      <c r="G38" s="307" t="str">
        <f>'17'!G38</f>
        <v>WR</v>
      </c>
      <c r="H38" s="309">
        <f>'17'!H38</f>
        <v>0</v>
      </c>
      <c r="I38" s="309">
        <f>'17'!I38</f>
        <v>0</v>
      </c>
      <c r="J38" s="170">
        <f>'17'!J38</f>
        <v>0</v>
      </c>
      <c r="K38" s="310">
        <f>'17'!K38</f>
        <v>0</v>
      </c>
      <c r="L38" s="135"/>
      <c r="M38" s="307" t="str">
        <f>'17'!M38</f>
        <v>WR</v>
      </c>
      <c r="N38" s="309">
        <f>'17'!N38</f>
        <v>0</v>
      </c>
      <c r="O38" s="309">
        <f>'17'!O38</f>
        <v>0</v>
      </c>
      <c r="P38" s="170">
        <f>'17'!P38</f>
        <v>0</v>
      </c>
      <c r="Q38" s="310">
        <f>'17'!Q38</f>
        <v>0</v>
      </c>
    </row>
    <row r="39" spans="1:17" x14ac:dyDescent="0.3">
      <c r="A39" s="307" t="str">
        <f>'17'!A39</f>
        <v>BIC</v>
      </c>
      <c r="B39" s="307" t="str">
        <f>'17'!B39</f>
        <v>P.8</v>
      </c>
      <c r="C39" s="307" t="str">
        <f>'17'!C39</f>
        <v>BjTPG280</v>
      </c>
      <c r="D39" s="308">
        <f>'17'!D39</f>
        <v>240</v>
      </c>
      <c r="E39" s="308">
        <f>'17'!E39</f>
        <v>499780</v>
      </c>
      <c r="F39" s="135"/>
      <c r="G39" s="307" t="str">
        <f>'17'!G39</f>
        <v>WR</v>
      </c>
      <c r="H39" s="309">
        <f>'17'!H39</f>
        <v>0</v>
      </c>
      <c r="I39" s="309">
        <f>'17'!I39</f>
        <v>0</v>
      </c>
      <c r="J39" s="170">
        <f>'17'!J39</f>
        <v>0</v>
      </c>
      <c r="K39" s="310">
        <f>'17'!K39</f>
        <v>0</v>
      </c>
      <c r="L39" s="135"/>
      <c r="M39" s="307" t="str">
        <f>'17'!M39</f>
        <v>WR</v>
      </c>
      <c r="N39" s="309">
        <f>'17'!N39</f>
        <v>0</v>
      </c>
      <c r="O39" s="309">
        <f>'17'!O39</f>
        <v>0</v>
      </c>
      <c r="P39" s="170">
        <f>'17'!P39</f>
        <v>0</v>
      </c>
      <c r="Q39" s="310">
        <f>'17'!Q39</f>
        <v>0</v>
      </c>
    </row>
    <row r="40" spans="1:17" x14ac:dyDescent="0.3">
      <c r="A40" s="307" t="str">
        <f>'17'!A40</f>
        <v>BIC</v>
      </c>
      <c r="B40" s="307" t="str">
        <f>'17'!B40</f>
        <v>S.8</v>
      </c>
      <c r="C40" s="307" t="str">
        <f>'17'!C40</f>
        <v>BjTSG420</v>
      </c>
      <c r="D40" s="308">
        <f>'17'!D40</f>
        <v>335</v>
      </c>
      <c r="E40" s="308">
        <f>'17'!E40</f>
        <v>688721</v>
      </c>
      <c r="F40" s="135"/>
      <c r="G40" s="307" t="str">
        <f>'17'!G40</f>
        <v>WR</v>
      </c>
      <c r="H40" s="309">
        <f>'17'!H40</f>
        <v>0</v>
      </c>
      <c r="I40" s="309">
        <f>'17'!I40</f>
        <v>0</v>
      </c>
      <c r="J40" s="170">
        <f>'17'!J40</f>
        <v>0</v>
      </c>
      <c r="K40" s="310">
        <f>'17'!K40</f>
        <v>0</v>
      </c>
      <c r="L40" s="135"/>
      <c r="M40" s="307" t="str">
        <f>'17'!M40</f>
        <v>WR</v>
      </c>
      <c r="N40" s="309">
        <f>'17'!N40</f>
        <v>0</v>
      </c>
      <c r="O40" s="309">
        <f>'17'!O40</f>
        <v>0</v>
      </c>
      <c r="P40" s="170">
        <f>'17'!P40</f>
        <v>0</v>
      </c>
      <c r="Q40" s="310">
        <f>'17'!Q40</f>
        <v>0</v>
      </c>
    </row>
    <row r="41" spans="1:17" x14ac:dyDescent="0.3">
      <c r="A41" s="307" t="str">
        <f>'17'!A41</f>
        <v>BIC</v>
      </c>
      <c r="B41" s="307" t="str">
        <f>'17'!B41</f>
        <v>S.10</v>
      </c>
      <c r="C41" s="307" t="str">
        <f>'17'!C41</f>
        <v>BjTSG420</v>
      </c>
      <c r="D41" s="308">
        <f>'17'!D41</f>
        <v>144</v>
      </c>
      <c r="E41" s="308">
        <f>'17'!E41</f>
        <v>295842</v>
      </c>
      <c r="F41" s="135"/>
      <c r="G41" s="307" t="str">
        <f>'17'!G41</f>
        <v>WR</v>
      </c>
      <c r="H41" s="309">
        <f>'17'!H41</f>
        <v>0</v>
      </c>
      <c r="I41" s="309">
        <f>'17'!I41</f>
        <v>0</v>
      </c>
      <c r="J41" s="170">
        <f>'17'!J41</f>
        <v>0</v>
      </c>
      <c r="K41" s="310">
        <f>'17'!K41</f>
        <v>0</v>
      </c>
      <c r="L41" s="135"/>
      <c r="M41" s="307" t="str">
        <f>'17'!M41</f>
        <v>WR</v>
      </c>
      <c r="N41" s="309">
        <f>'17'!N41</f>
        <v>0</v>
      </c>
      <c r="O41" s="309">
        <f>'17'!O41</f>
        <v>0</v>
      </c>
      <c r="P41" s="170">
        <f>'17'!P41</f>
        <v>0</v>
      </c>
      <c r="Q41" s="310">
        <f>'17'!Q41</f>
        <v>0</v>
      </c>
    </row>
    <row r="42" spans="1:17" x14ac:dyDescent="0.3">
      <c r="A42" s="307" t="str">
        <f>'17'!A42</f>
        <v>WR</v>
      </c>
      <c r="B42" s="307">
        <f>'17'!B42</f>
        <v>5.5</v>
      </c>
      <c r="C42" s="307">
        <f>'17'!C42</f>
        <v>8</v>
      </c>
      <c r="D42" s="308">
        <f>'17'!D42+J7</f>
        <v>444</v>
      </c>
      <c r="E42" s="308">
        <f>'17'!E42+K7</f>
        <v>931256</v>
      </c>
      <c r="F42" s="135"/>
      <c r="G42" s="307" t="str">
        <f>'17'!G42</f>
        <v>WR</v>
      </c>
      <c r="H42" s="309">
        <f>'17'!H42</f>
        <v>0</v>
      </c>
      <c r="I42" s="309">
        <f>'17'!I42</f>
        <v>0</v>
      </c>
      <c r="J42" s="170">
        <f>'17'!J42</f>
        <v>0</v>
      </c>
      <c r="K42" s="310">
        <f>'17'!K42</f>
        <v>0</v>
      </c>
      <c r="L42" s="135"/>
      <c r="M42" s="307" t="str">
        <f>'17'!M42</f>
        <v>WR</v>
      </c>
      <c r="N42" s="309">
        <f>'17'!N42</f>
        <v>0</v>
      </c>
      <c r="O42" s="309">
        <f>'17'!O42</f>
        <v>0</v>
      </c>
      <c r="P42" s="170">
        <f>'17'!P42</f>
        <v>0</v>
      </c>
      <c r="Q42" s="310">
        <f>'17'!Q42</f>
        <v>0</v>
      </c>
    </row>
    <row r="43" spans="1:17" x14ac:dyDescent="0.3">
      <c r="A43" s="307" t="str">
        <f>'17'!A43</f>
        <v>WR</v>
      </c>
      <c r="B43" s="307">
        <f>'17'!B43</f>
        <v>5.5</v>
      </c>
      <c r="C43" s="307" t="str">
        <f>'17'!C43</f>
        <v>67.B</v>
      </c>
      <c r="D43" s="308">
        <f>'17'!D43</f>
        <v>144</v>
      </c>
      <c r="E43" s="308">
        <f>'17'!E43</f>
        <v>304535</v>
      </c>
      <c r="F43" s="135"/>
      <c r="G43" s="307" t="str">
        <f>'17'!G43</f>
        <v>WR</v>
      </c>
      <c r="H43" s="309">
        <f>'17'!H43</f>
        <v>0</v>
      </c>
      <c r="I43" s="309">
        <f>'17'!I43</f>
        <v>0</v>
      </c>
      <c r="J43" s="170">
        <f>'17'!J43</f>
        <v>0</v>
      </c>
      <c r="K43" s="310">
        <f>'17'!K43</f>
        <v>0</v>
      </c>
      <c r="L43" s="135"/>
      <c r="M43" s="307" t="str">
        <f>'17'!M43</f>
        <v>WR</v>
      </c>
      <c r="N43" s="309">
        <f>'17'!N43</f>
        <v>0</v>
      </c>
      <c r="O43" s="309">
        <f>'17'!O43</f>
        <v>0</v>
      </c>
      <c r="P43" s="170">
        <f>'17'!P43</f>
        <v>0</v>
      </c>
      <c r="Q43" s="310">
        <f>'17'!Q43</f>
        <v>0</v>
      </c>
    </row>
    <row r="44" spans="1:17" x14ac:dyDescent="0.3">
      <c r="A44" s="307" t="str">
        <f>'17'!A44</f>
        <v>BIC</v>
      </c>
      <c r="B44" s="307" t="str">
        <f>'17'!B44</f>
        <v>P.10</v>
      </c>
      <c r="C44" s="307" t="str">
        <f>'17'!C44</f>
        <v>BjTPG280</v>
      </c>
      <c r="D44" s="308">
        <f>'17'!D44</f>
        <v>144</v>
      </c>
      <c r="E44" s="308">
        <f>'17'!E44</f>
        <v>299930</v>
      </c>
      <c r="F44" s="135"/>
      <c r="G44" s="307" t="str">
        <f>'17'!G44</f>
        <v>WR</v>
      </c>
      <c r="H44" s="309">
        <f>'17'!H44</f>
        <v>0</v>
      </c>
      <c r="I44" s="309">
        <f>'17'!I44</f>
        <v>0</v>
      </c>
      <c r="J44" s="170">
        <f>'17'!J44</f>
        <v>0</v>
      </c>
      <c r="K44" s="310">
        <f>'17'!K44</f>
        <v>0</v>
      </c>
      <c r="L44" s="135"/>
      <c r="M44" s="307" t="str">
        <f>'17'!M44</f>
        <v>WR</v>
      </c>
      <c r="N44" s="309">
        <f>'17'!N44</f>
        <v>0</v>
      </c>
      <c r="O44" s="309">
        <f>'17'!O44</f>
        <v>0</v>
      </c>
      <c r="P44" s="170">
        <f>'17'!P44</f>
        <v>0</v>
      </c>
      <c r="Q44" s="310">
        <f>'17'!Q44</f>
        <v>0</v>
      </c>
    </row>
    <row r="45" spans="1:17" x14ac:dyDescent="0.3">
      <c r="A45" s="307" t="str">
        <f>'17'!A45</f>
        <v>BIC</v>
      </c>
      <c r="B45" s="307" t="str">
        <f>'17'!B45</f>
        <v>S.6</v>
      </c>
      <c r="C45" s="307" t="str">
        <f>'17'!C45</f>
        <v>BjTSG420</v>
      </c>
      <c r="D45" s="308">
        <f>'17'!D45</f>
        <v>48</v>
      </c>
      <c r="E45" s="308">
        <f>'17'!E45</f>
        <v>98404</v>
      </c>
      <c r="F45" s="135"/>
      <c r="G45" s="307" t="str">
        <f>'17'!G45</f>
        <v>WR</v>
      </c>
      <c r="H45" s="309">
        <f>'17'!H45</f>
        <v>0</v>
      </c>
      <c r="I45" s="309">
        <f>'17'!I45</f>
        <v>0</v>
      </c>
      <c r="J45" s="170">
        <f>'17'!J45</f>
        <v>0</v>
      </c>
      <c r="K45" s="310">
        <f>'17'!K45</f>
        <v>0</v>
      </c>
      <c r="L45" s="135"/>
      <c r="M45" s="307" t="str">
        <f>'17'!M45</f>
        <v>WR</v>
      </c>
      <c r="N45" s="309">
        <f>'17'!N45</f>
        <v>0</v>
      </c>
      <c r="O45" s="309">
        <f>'17'!O45</f>
        <v>0</v>
      </c>
      <c r="P45" s="170">
        <f>'17'!P45</f>
        <v>0</v>
      </c>
      <c r="Q45" s="310">
        <f>'17'!Q45</f>
        <v>0</v>
      </c>
    </row>
    <row r="46" spans="1:17" x14ac:dyDescent="0.3">
      <c r="A46" s="307" t="str">
        <f>'17'!A46</f>
        <v>WR</v>
      </c>
      <c r="B46" s="307">
        <f>'17'!B46</f>
        <v>17</v>
      </c>
      <c r="C46" s="307">
        <f>'17'!C46</f>
        <v>8</v>
      </c>
      <c r="D46" s="308">
        <f>'17'!D46</f>
        <v>91</v>
      </c>
      <c r="E46" s="308">
        <f>'17'!E46</f>
        <v>188048</v>
      </c>
      <c r="F46" s="135"/>
      <c r="G46" s="307" t="str">
        <f>'17'!G46</f>
        <v>WR</v>
      </c>
      <c r="H46" s="309">
        <f>'17'!H46</f>
        <v>0</v>
      </c>
      <c r="I46" s="309">
        <f>'17'!I46</f>
        <v>0</v>
      </c>
      <c r="J46" s="170">
        <f>'17'!J46</f>
        <v>0</v>
      </c>
      <c r="K46" s="310">
        <f>'17'!K46</f>
        <v>0</v>
      </c>
      <c r="L46" s="135"/>
      <c r="M46" s="307" t="str">
        <f>'17'!M46</f>
        <v>WR</v>
      </c>
      <c r="N46" s="309">
        <f>'17'!N46</f>
        <v>0</v>
      </c>
      <c r="O46" s="309">
        <f>'17'!O46</f>
        <v>0</v>
      </c>
      <c r="P46" s="170">
        <f>'17'!P46</f>
        <v>0</v>
      </c>
      <c r="Q46" s="310">
        <f>'17'!Q46</f>
        <v>0</v>
      </c>
    </row>
    <row r="47" spans="1:17" x14ac:dyDescent="0.3">
      <c r="A47" s="307" t="str">
        <f>'17'!A47</f>
        <v>WR</v>
      </c>
      <c r="B47" s="307">
        <f>'17'!B47</f>
        <v>8.5</v>
      </c>
      <c r="C47" s="307">
        <f>'17'!C47</f>
        <v>15</v>
      </c>
      <c r="D47" s="308">
        <f>'17'!D47</f>
        <v>432</v>
      </c>
      <c r="E47" s="308">
        <f>'17'!E47</f>
        <v>897401</v>
      </c>
      <c r="F47" s="135"/>
      <c r="G47" s="307" t="str">
        <f>'17'!G47</f>
        <v>WR</v>
      </c>
      <c r="H47" s="309">
        <f>'17'!H47</f>
        <v>0</v>
      </c>
      <c r="I47" s="309">
        <f>'17'!I47</f>
        <v>0</v>
      </c>
      <c r="J47" s="170">
        <f>'17'!J47</f>
        <v>0</v>
      </c>
      <c r="K47" s="310">
        <f>'17'!K47</f>
        <v>0</v>
      </c>
      <c r="L47" s="135"/>
      <c r="M47" s="307" t="str">
        <f>'17'!M47</f>
        <v>WR</v>
      </c>
      <c r="N47" s="309">
        <f>'17'!N47</f>
        <v>0</v>
      </c>
      <c r="O47" s="309">
        <f>'17'!O47</f>
        <v>0</v>
      </c>
      <c r="P47" s="170">
        <f>'17'!P47</f>
        <v>0</v>
      </c>
      <c r="Q47" s="310">
        <f>'17'!Q47</f>
        <v>0</v>
      </c>
    </row>
    <row r="48" spans="1:17" x14ac:dyDescent="0.3">
      <c r="A48" s="307" t="str">
        <f>'17'!A48</f>
        <v>WR</v>
      </c>
      <c r="B48" s="307">
        <f>'17'!B48</f>
        <v>6.5</v>
      </c>
      <c r="C48" s="307">
        <f>'17'!C48</f>
        <v>8</v>
      </c>
      <c r="D48" s="308">
        <f>'17'!D48</f>
        <v>144</v>
      </c>
      <c r="E48" s="308">
        <f>'17'!E48</f>
        <v>300807</v>
      </c>
      <c r="F48" s="135"/>
      <c r="G48" s="307" t="str">
        <f>'17'!G48</f>
        <v>WR</v>
      </c>
      <c r="H48" s="309">
        <f>'17'!H48</f>
        <v>0</v>
      </c>
      <c r="I48" s="309">
        <f>'17'!I48</f>
        <v>0</v>
      </c>
      <c r="J48" s="170">
        <f>'17'!J48</f>
        <v>0</v>
      </c>
      <c r="K48" s="310">
        <f>'17'!K48</f>
        <v>0</v>
      </c>
      <c r="L48" s="135"/>
      <c r="M48" s="307" t="str">
        <f>'17'!M48</f>
        <v>WR</v>
      </c>
      <c r="N48" s="309">
        <f>'17'!N48</f>
        <v>0</v>
      </c>
      <c r="O48" s="309">
        <f>'17'!O48</f>
        <v>0</v>
      </c>
      <c r="P48" s="170">
        <f>'17'!P48</f>
        <v>0</v>
      </c>
      <c r="Q48" s="310">
        <f>'17'!Q48</f>
        <v>0</v>
      </c>
    </row>
    <row r="49" spans="1:23" x14ac:dyDescent="0.3">
      <c r="A49" s="307" t="str">
        <f>'17'!A49</f>
        <v>WR</v>
      </c>
      <c r="B49" s="307">
        <f>'17'!B49</f>
        <v>6.5</v>
      </c>
      <c r="C49" s="307">
        <f>'17'!C49</f>
        <v>15</v>
      </c>
      <c r="D49" s="308">
        <f>'17'!D49</f>
        <v>119</v>
      </c>
      <c r="E49" s="308">
        <f>'17'!E49</f>
        <v>247182</v>
      </c>
      <c r="F49" s="3"/>
      <c r="G49" s="307" t="str">
        <f>'17'!G49</f>
        <v>WR</v>
      </c>
      <c r="H49" s="309">
        <f>'17'!H49</f>
        <v>0</v>
      </c>
      <c r="I49" s="309">
        <f>'17'!I49</f>
        <v>0</v>
      </c>
      <c r="J49" s="170">
        <f>'17'!J49</f>
        <v>0</v>
      </c>
      <c r="K49" s="310">
        <f>'17'!K49</f>
        <v>0</v>
      </c>
      <c r="L49" s="3"/>
      <c r="M49" s="307" t="str">
        <f>'17'!M49</f>
        <v>WR</v>
      </c>
      <c r="N49" s="309">
        <f>'17'!N49</f>
        <v>0</v>
      </c>
      <c r="O49" s="309">
        <f>'17'!O49</f>
        <v>0</v>
      </c>
      <c r="P49" s="170">
        <f>'17'!P49</f>
        <v>0</v>
      </c>
      <c r="Q49" s="310">
        <f>'17'!Q49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46040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358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40">
        <v>25</v>
      </c>
      <c r="C55" s="448"/>
      <c r="D55" s="506" t="s">
        <v>368</v>
      </c>
      <c r="E55" s="563"/>
      <c r="F55" s="563"/>
      <c r="G55" s="563"/>
      <c r="H55" s="563"/>
      <c r="I55" s="563"/>
      <c r="J55" s="93">
        <v>1</v>
      </c>
      <c r="K55" s="391"/>
      <c r="L55" s="466" t="s">
        <v>26</v>
      </c>
      <c r="M55" s="467"/>
      <c r="N55" s="467"/>
      <c r="O55" s="392" t="s">
        <v>13</v>
      </c>
      <c r="P55" s="393">
        <f>C16</f>
        <v>1082773</v>
      </c>
      <c r="Q55" s="394">
        <f>C26</f>
        <v>13756578</v>
      </c>
      <c r="R55" s="395"/>
      <c r="S55" s="388">
        <f>DAY(A52)</f>
        <v>18</v>
      </c>
      <c r="T55" s="383">
        <f>S55-U55</f>
        <v>13</v>
      </c>
      <c r="U55" s="383">
        <f>'17'!U55</f>
        <v>5</v>
      </c>
    </row>
    <row r="56" spans="1:23" x14ac:dyDescent="0.3">
      <c r="A56" s="95" t="s">
        <v>37</v>
      </c>
      <c r="B56" s="441">
        <v>19</v>
      </c>
      <c r="C56" s="449"/>
      <c r="D56" s="552" t="s">
        <v>369</v>
      </c>
      <c r="E56" s="553"/>
      <c r="F56" s="553"/>
      <c r="G56" s="553"/>
      <c r="H56" s="553"/>
      <c r="I56" s="553"/>
      <c r="J56" s="97">
        <v>11</v>
      </c>
      <c r="K56" s="391"/>
      <c r="L56" s="502" t="s">
        <v>191</v>
      </c>
      <c r="M56" s="498"/>
      <c r="N56" s="498"/>
      <c r="O56" s="396" t="s">
        <v>13</v>
      </c>
      <c r="P56" s="397">
        <f>K17</f>
        <v>1065481</v>
      </c>
      <c r="Q56" s="398">
        <f>K27</f>
        <v>13528228</v>
      </c>
      <c r="R56" s="399"/>
    </row>
    <row r="57" spans="1:23" x14ac:dyDescent="0.3">
      <c r="A57" s="95" t="s">
        <v>39</v>
      </c>
      <c r="B57" s="441">
        <v>3</v>
      </c>
      <c r="C57" s="449"/>
      <c r="D57" s="552" t="s">
        <v>370</v>
      </c>
      <c r="E57" s="553"/>
      <c r="F57" s="553"/>
      <c r="G57" s="553"/>
      <c r="H57" s="553"/>
      <c r="I57" s="553"/>
      <c r="J57" s="97">
        <v>54</v>
      </c>
      <c r="K57" s="391"/>
      <c r="L57" s="468" t="s">
        <v>19</v>
      </c>
      <c r="M57" s="469"/>
      <c r="N57" s="469"/>
      <c r="O57" s="400" t="s">
        <v>14</v>
      </c>
      <c r="P57" s="401">
        <f>L17</f>
        <v>0.984029893615744</v>
      </c>
      <c r="Q57" s="430">
        <f>L27</f>
        <v>0.98340066839296802</v>
      </c>
      <c r="R57" s="403">
        <v>0.98499999999999999</v>
      </c>
    </row>
    <row r="58" spans="1:23" x14ac:dyDescent="0.3">
      <c r="A58" s="95" t="s">
        <v>41</v>
      </c>
      <c r="B58" s="441">
        <v>26</v>
      </c>
      <c r="C58" s="449"/>
      <c r="D58" s="552"/>
      <c r="E58" s="553"/>
      <c r="F58" s="553"/>
      <c r="G58" s="553"/>
      <c r="H58" s="553"/>
      <c r="I58" s="55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2121</v>
      </c>
      <c r="Q58" s="394">
        <f>E26</f>
        <v>40139</v>
      </c>
      <c r="R58" s="395"/>
    </row>
    <row r="59" spans="1:23" x14ac:dyDescent="0.3">
      <c r="A59" s="95" t="s">
        <v>43</v>
      </c>
      <c r="B59" s="441">
        <v>26</v>
      </c>
      <c r="C59" s="449"/>
      <c r="D59" s="552"/>
      <c r="E59" s="553"/>
      <c r="F59" s="553"/>
      <c r="G59" s="553"/>
      <c r="H59" s="553"/>
      <c r="I59" s="553"/>
      <c r="J59" s="97"/>
      <c r="K59" s="391"/>
      <c r="L59" s="509"/>
      <c r="M59" s="510"/>
      <c r="N59" s="510"/>
      <c r="O59" s="400" t="s">
        <v>14</v>
      </c>
      <c r="P59" s="401">
        <f>F16</f>
        <v>1.9588593361674145E-3</v>
      </c>
      <c r="Q59" s="430">
        <f>F26</f>
        <v>2.9178041225077921E-3</v>
      </c>
      <c r="R59" s="404">
        <v>1.5E-3</v>
      </c>
    </row>
    <row r="60" spans="1:23" x14ac:dyDescent="0.3">
      <c r="A60" s="95" t="s">
        <v>45</v>
      </c>
      <c r="B60" s="441">
        <v>27</v>
      </c>
      <c r="C60" s="449"/>
      <c r="D60" s="552"/>
      <c r="E60" s="553"/>
      <c r="F60" s="553"/>
      <c r="G60" s="553"/>
      <c r="H60" s="553"/>
      <c r="I60" s="553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</f>
        <v>25920</v>
      </c>
      <c r="R60" s="406"/>
    </row>
    <row r="61" spans="1:23" x14ac:dyDescent="0.3">
      <c r="A61" s="95" t="s">
        <v>47</v>
      </c>
      <c r="B61" s="441">
        <v>26</v>
      </c>
      <c r="C61" s="449"/>
      <c r="D61" s="552"/>
      <c r="E61" s="553"/>
      <c r="F61" s="553"/>
      <c r="G61" s="553"/>
      <c r="H61" s="553"/>
      <c r="I61" s="553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</f>
        <v>7200</v>
      </c>
      <c r="R61" s="395"/>
    </row>
    <row r="62" spans="1:23" x14ac:dyDescent="0.3">
      <c r="A62" s="95" t="s">
        <v>49</v>
      </c>
      <c r="B62" s="441">
        <v>27</v>
      </c>
      <c r="C62" s="449"/>
      <c r="D62" s="552"/>
      <c r="E62" s="553"/>
      <c r="F62" s="553"/>
      <c r="G62" s="553"/>
      <c r="H62" s="553"/>
      <c r="I62" s="553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</f>
        <v>7200</v>
      </c>
      <c r="R62" s="399"/>
    </row>
    <row r="63" spans="1:23" x14ac:dyDescent="0.3">
      <c r="A63" s="95" t="s">
        <v>51</v>
      </c>
      <c r="B63" s="441">
        <v>26</v>
      </c>
      <c r="C63" s="449"/>
      <c r="D63" s="552"/>
      <c r="E63" s="553"/>
      <c r="F63" s="553"/>
      <c r="G63" s="553"/>
      <c r="H63" s="553"/>
      <c r="I63" s="553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</f>
        <v>0</v>
      </c>
      <c r="R63" s="399"/>
    </row>
    <row r="64" spans="1:23" x14ac:dyDescent="0.3">
      <c r="A64" s="95" t="s">
        <v>53</v>
      </c>
      <c r="B64" s="441">
        <v>13</v>
      </c>
      <c r="C64" s="449"/>
      <c r="D64" s="552" t="s">
        <v>371</v>
      </c>
      <c r="E64" s="553"/>
      <c r="F64" s="553"/>
      <c r="G64" s="553"/>
      <c r="H64" s="553"/>
      <c r="I64" s="553"/>
      <c r="J64" s="97">
        <v>30</v>
      </c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41">
        <v>24</v>
      </c>
      <c r="C65" s="449"/>
      <c r="D65" s="552" t="s">
        <v>303</v>
      </c>
      <c r="E65" s="553"/>
      <c r="F65" s="553"/>
      <c r="G65" s="553"/>
      <c r="H65" s="553"/>
      <c r="I65" s="553"/>
      <c r="J65" s="97">
        <v>6</v>
      </c>
      <c r="K65" s="391"/>
      <c r="L65" s="466" t="s">
        <v>46</v>
      </c>
      <c r="M65" s="467"/>
      <c r="N65" s="467"/>
      <c r="O65" s="106" t="s">
        <v>28</v>
      </c>
      <c r="P65" s="126">
        <f>SUM(P66:P68)</f>
        <v>224</v>
      </c>
      <c r="Q65" s="100">
        <f>'1'!Q65+'2'!P65+'3'!P65+'4'!P65+'5'!P65+'6'!P65+'7'!P65+'8'!P65+'9'!P65+'10'!P65+'11'!P65+'12'!P65+'13'!P65+'14'!P65+'15'!P65+'16'!P65+'17'!P65+'18'!P65</f>
        <v>2155</v>
      </c>
      <c r="R65" s="395"/>
      <c r="S65" s="171" t="s">
        <v>56</v>
      </c>
      <c r="T65" s="172"/>
      <c r="U65" s="173" t="s">
        <v>151</v>
      </c>
      <c r="V65" s="174">
        <v>1</v>
      </c>
      <c r="W65" s="181">
        <f>+'17'!W65+'18'!V65</f>
        <v>10</v>
      </c>
    </row>
    <row r="66" spans="1:23" x14ac:dyDescent="0.3">
      <c r="A66" s="95" t="s">
        <v>57</v>
      </c>
      <c r="B66" s="441">
        <v>26</v>
      </c>
      <c r="C66" s="449"/>
      <c r="D66" s="498"/>
      <c r="E66" s="498"/>
      <c r="F66" s="498"/>
      <c r="G66" s="498"/>
      <c r="H66" s="498"/>
      <c r="I66" s="498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+'17'!W66+'18'!V66</f>
        <v>7</v>
      </c>
    </row>
    <row r="67" spans="1:23" x14ac:dyDescent="0.3">
      <c r="A67" s="95" t="s">
        <v>59</v>
      </c>
      <c r="B67" s="441">
        <v>23</v>
      </c>
      <c r="C67" s="449"/>
      <c r="D67" s="498" t="s">
        <v>372</v>
      </c>
      <c r="E67" s="498"/>
      <c r="F67" s="498"/>
      <c r="G67" s="498"/>
      <c r="H67" s="498"/>
      <c r="I67" s="498"/>
      <c r="J67" s="97">
        <v>9</v>
      </c>
      <c r="K67" s="391"/>
      <c r="L67" s="502" t="s">
        <v>50</v>
      </c>
      <c r="M67" s="498"/>
      <c r="N67" s="498"/>
      <c r="O67" s="408" t="s">
        <v>28</v>
      </c>
      <c r="P67" s="138">
        <v>207</v>
      </c>
      <c r="Q67" s="99">
        <f>'1'!Q67+'2'!P67+'3'!P67+'4'!P67+'5'!P67+'6'!P67+'7'!P67+'8'!P67+'9'!P67+'10'!P67+'11'!P67+'12'!P67+'13'!P67+'14'!P67+'15'!P67+'16'!P67+'17'!P67+'18'!P67</f>
        <v>1859</v>
      </c>
      <c r="R67" s="399"/>
      <c r="S67" s="377" t="s">
        <v>60</v>
      </c>
      <c r="T67" s="175"/>
      <c r="U67" s="176" t="s">
        <v>151</v>
      </c>
      <c r="V67" s="177"/>
      <c r="W67" s="182">
        <f>+'17'!W67+'18'!V67</f>
        <v>0</v>
      </c>
    </row>
    <row r="68" spans="1:23" x14ac:dyDescent="0.3">
      <c r="A68" s="95" t="s">
        <v>61</v>
      </c>
      <c r="B68" s="441">
        <v>22</v>
      </c>
      <c r="C68" s="449"/>
      <c r="D68" s="552" t="s">
        <v>373</v>
      </c>
      <c r="E68" s="553"/>
      <c r="F68" s="553"/>
      <c r="G68" s="553"/>
      <c r="H68" s="553"/>
      <c r="I68" s="553"/>
      <c r="J68" s="97">
        <v>8</v>
      </c>
      <c r="K68" s="391"/>
      <c r="L68" s="468" t="s">
        <v>52</v>
      </c>
      <c r="M68" s="469"/>
      <c r="N68" s="469"/>
      <c r="O68" s="85" t="s">
        <v>28</v>
      </c>
      <c r="P68" s="141">
        <v>17</v>
      </c>
      <c r="Q68" s="86">
        <f>'1'!Q68+'2'!P68+'3'!P68+'4'!P68+'5'!P68+'6'!P68+'7'!P68+'8'!P68+'9'!P68+'10'!P68+'11'!P68+'12'!P68+'13'!P68+'14'!P68+'15'!P68+'16'!P68+'17'!P68+'18'!P68</f>
        <v>296</v>
      </c>
      <c r="R68" s="409"/>
      <c r="S68" s="377" t="s">
        <v>62</v>
      </c>
      <c r="T68" s="175"/>
      <c r="U68" s="176" t="s">
        <v>151</v>
      </c>
      <c r="V68" s="177"/>
      <c r="W68" s="182">
        <f>+'17'!W68+'18'!V68</f>
        <v>2</v>
      </c>
    </row>
    <row r="69" spans="1:23" x14ac:dyDescent="0.3">
      <c r="A69" s="95" t="s">
        <v>63</v>
      </c>
      <c r="B69" s="441">
        <v>5</v>
      </c>
      <c r="C69" s="449"/>
      <c r="D69" s="552" t="s">
        <v>374</v>
      </c>
      <c r="E69" s="553"/>
      <c r="F69" s="553"/>
      <c r="G69" s="553"/>
      <c r="H69" s="553"/>
      <c r="I69" s="553"/>
      <c r="J69" s="97">
        <v>49</v>
      </c>
      <c r="K69" s="391"/>
      <c r="L69" s="466" t="s">
        <v>54</v>
      </c>
      <c r="M69" s="467"/>
      <c r="N69" s="467"/>
      <c r="O69" s="106" t="s">
        <v>28</v>
      </c>
      <c r="P69" s="100">
        <f>SUM(P70:P74)</f>
        <v>32</v>
      </c>
      <c r="Q69" s="100">
        <f>'1'!Q69+'2'!P69+'3'!P69+'4'!P69+'5'!P69+'6'!P69+'7'!P69+'8'!P69+'9'!P69+'10'!P69+'11'!P69+'12'!P69+'13'!P69+'14'!P69+'15'!P69+'16'!P69+'17'!P69+'18'!P69</f>
        <v>908</v>
      </c>
      <c r="R69" s="395"/>
      <c r="S69" s="376" t="s">
        <v>64</v>
      </c>
      <c r="T69" s="178"/>
      <c r="U69" s="179" t="s">
        <v>151</v>
      </c>
      <c r="V69" s="180"/>
      <c r="W69" s="183">
        <f>+'17'!W69+'18'!V69</f>
        <v>0</v>
      </c>
    </row>
    <row r="70" spans="1:23" x14ac:dyDescent="0.3">
      <c r="A70" s="95" t="s">
        <v>65</v>
      </c>
      <c r="B70" s="441">
        <v>27</v>
      </c>
      <c r="C70" s="449"/>
      <c r="D70" s="463"/>
      <c r="E70" s="543"/>
      <c r="F70" s="543"/>
      <c r="G70" s="543"/>
      <c r="H70" s="543"/>
      <c r="I70" s="543"/>
      <c r="J70" s="97"/>
      <c r="K70" s="407"/>
      <c r="L70" s="497" t="s">
        <v>56</v>
      </c>
      <c r="M70" s="498"/>
      <c r="N70" s="498"/>
      <c r="O70" s="408" t="s">
        <v>28</v>
      </c>
      <c r="P70" s="138">
        <v>32</v>
      </c>
      <c r="Q70" s="429">
        <f>'1'!Q70+'2'!P70+'3'!P70+'4'!P70+'5'!P70+'6'!P70+'7'!P70+'8'!P70+'9'!P70+'10'!P70+'11'!P70+'12'!P70+'13'!P70+'14'!P70+'15'!P70+'16'!P70+'17'!P70+'18'!P70</f>
        <v>487</v>
      </c>
      <c r="R70" s="399">
        <f>T55*30</f>
        <v>390</v>
      </c>
    </row>
    <row r="71" spans="1:23" x14ac:dyDescent="0.3">
      <c r="A71" s="95" t="s">
        <v>67</v>
      </c>
      <c r="B71" s="441">
        <v>27</v>
      </c>
      <c r="C71" s="449"/>
      <c r="D71" s="463"/>
      <c r="E71" s="543"/>
      <c r="F71" s="543"/>
      <c r="G71" s="543"/>
      <c r="H71" s="543"/>
      <c r="I71" s="54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429">
        <f>'1'!Q71+'2'!P71+'3'!P71+'4'!P71+'5'!P71+'6'!P71+'7'!P71+'8'!P71+'9'!P71+'10'!P71+'11'!P71+'12'!P71+'13'!P71+'14'!P71+'15'!P71+'16'!P71+'17'!P71+'18'!P71</f>
        <v>353</v>
      </c>
      <c r="R71" s="399">
        <f>T55*25</f>
        <v>325</v>
      </c>
    </row>
    <row r="72" spans="1:23" x14ac:dyDescent="0.3">
      <c r="A72" s="95" t="s">
        <v>69</v>
      </c>
      <c r="B72" s="441">
        <v>28</v>
      </c>
      <c r="C72" s="449"/>
      <c r="D72" s="463"/>
      <c r="E72" s="543"/>
      <c r="F72" s="543"/>
      <c r="G72" s="543"/>
      <c r="H72" s="543"/>
      <c r="I72" s="543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</f>
        <v>19</v>
      </c>
      <c r="R72" s="399">
        <f>T55*10</f>
        <v>130</v>
      </c>
    </row>
    <row r="73" spans="1:23" x14ac:dyDescent="0.3">
      <c r="A73" s="95" t="s">
        <v>71</v>
      </c>
      <c r="B73" s="441">
        <v>16</v>
      </c>
      <c r="C73" s="449">
        <v>1</v>
      </c>
      <c r="D73" s="463" t="s">
        <v>375</v>
      </c>
      <c r="E73" s="543"/>
      <c r="F73" s="543"/>
      <c r="G73" s="543"/>
      <c r="H73" s="543"/>
      <c r="I73" s="543"/>
      <c r="J73" s="97">
        <v>23</v>
      </c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</f>
        <v>49</v>
      </c>
      <c r="R73" s="399"/>
    </row>
    <row r="74" spans="1:23" x14ac:dyDescent="0.3">
      <c r="A74" s="95" t="s">
        <v>73</v>
      </c>
      <c r="B74" s="441">
        <v>26</v>
      </c>
      <c r="C74" s="449"/>
      <c r="D74" s="552"/>
      <c r="E74" s="553"/>
      <c r="F74" s="553"/>
      <c r="G74" s="553"/>
      <c r="H74" s="553"/>
      <c r="I74" s="553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</f>
        <v>0</v>
      </c>
      <c r="R74" s="409"/>
    </row>
    <row r="75" spans="1:23" x14ac:dyDescent="0.3">
      <c r="A75" s="95" t="s">
        <v>75</v>
      </c>
      <c r="B75" s="441">
        <v>15</v>
      </c>
      <c r="C75" s="449"/>
      <c r="D75" s="552" t="s">
        <v>376</v>
      </c>
      <c r="E75" s="553"/>
      <c r="F75" s="553"/>
      <c r="G75" s="553"/>
      <c r="H75" s="553"/>
      <c r="I75" s="553"/>
      <c r="J75" s="97">
        <v>25</v>
      </c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</f>
        <v>18720</v>
      </c>
      <c r="R75" s="406"/>
    </row>
    <row r="76" spans="1:23" x14ac:dyDescent="0.3">
      <c r="A76" s="95" t="s">
        <v>77</v>
      </c>
      <c r="B76" s="441">
        <v>9</v>
      </c>
      <c r="C76" s="449"/>
      <c r="D76" s="552" t="s">
        <v>377</v>
      </c>
      <c r="E76" s="553"/>
      <c r="F76" s="553"/>
      <c r="G76" s="553"/>
      <c r="H76" s="553"/>
      <c r="I76" s="553"/>
      <c r="J76" s="97">
        <v>40</v>
      </c>
      <c r="K76" s="391"/>
      <c r="L76" s="489" t="s">
        <v>68</v>
      </c>
      <c r="M76" s="490"/>
      <c r="N76" s="490"/>
      <c r="O76" s="405" t="s">
        <v>28</v>
      </c>
      <c r="P76" s="94">
        <f>P65+P69</f>
        <v>256</v>
      </c>
      <c r="Q76" s="94">
        <f>'1'!Q76+'2'!P76+'3'!P76+'4'!P76+'5'!P76+'6'!P76+'7'!P76+'8'!P76+'9'!P76+'10'!P76+'11'!P76+'12'!P76+'13'!P76+'14'!P76+'15'!P76+'16'!P76+'17'!P76+'18'!P76</f>
        <v>3063</v>
      </c>
      <c r="R76" s="406"/>
    </row>
    <row r="77" spans="1:23" x14ac:dyDescent="0.3">
      <c r="A77" s="95" t="s">
        <v>79</v>
      </c>
      <c r="B77" s="441">
        <v>24</v>
      </c>
      <c r="C77" s="449"/>
      <c r="D77" s="552"/>
      <c r="E77" s="553"/>
      <c r="F77" s="553"/>
      <c r="G77" s="553"/>
      <c r="H77" s="553"/>
      <c r="I77" s="553"/>
      <c r="J77" s="97"/>
      <c r="K77" s="391"/>
      <c r="L77" s="486" t="s">
        <v>70</v>
      </c>
      <c r="M77" s="487"/>
      <c r="N77" s="488"/>
      <c r="O77" s="405" t="s">
        <v>28</v>
      </c>
      <c r="P77" s="142">
        <v>259</v>
      </c>
      <c r="Q77" s="94">
        <f>'1'!Q77+'2'!P77+'3'!P77+'4'!P77+'5'!P77+'6'!P77+'7'!P77+'8'!P77+'9'!P77+'10'!P77+'11'!P77+'12'!P77+'13'!P77+'14'!P77+'15'!P77+'16'!P77+'17'!P77+'18'!P77</f>
        <v>3086</v>
      </c>
      <c r="R77" s="406"/>
    </row>
    <row r="78" spans="1:23" x14ac:dyDescent="0.3">
      <c r="A78" s="109" t="s">
        <v>82</v>
      </c>
      <c r="B78" s="442">
        <v>24</v>
      </c>
      <c r="C78" s="450"/>
      <c r="D78" s="552"/>
      <c r="E78" s="553"/>
      <c r="F78" s="553"/>
      <c r="G78" s="553"/>
      <c r="H78" s="553"/>
      <c r="I78" s="553"/>
      <c r="J78" s="436"/>
      <c r="K78" s="407"/>
      <c r="L78" s="486" t="s">
        <v>72</v>
      </c>
      <c r="M78" s="487"/>
      <c r="N78" s="488"/>
      <c r="O78" s="405" t="s">
        <v>28</v>
      </c>
      <c r="P78" s="94">
        <f>+P77-P76</f>
        <v>3</v>
      </c>
      <c r="Q78" s="94">
        <f>'1'!Q78+'2'!P78+'3'!P78+'4'!P78+'5'!P78+'6'!P78+'7'!P78+'8'!P78+'9'!P78+'10'!P78+'11'!P78+'12'!P78+'13'!P78+'14'!P78+'15'!P78+'16'!P78+'17'!P78+'18'!P78</f>
        <v>23</v>
      </c>
      <c r="R78" s="406"/>
    </row>
    <row r="79" spans="1:23" x14ac:dyDescent="0.3">
      <c r="A79" s="114"/>
      <c r="B79" s="115">
        <f>SUM(B55:B78)</f>
        <v>514</v>
      </c>
      <c r="C79" s="116">
        <f>SUM(C55:C78)</f>
        <v>1</v>
      </c>
      <c r="D79" s="470"/>
      <c r="E79" s="471"/>
      <c r="F79" s="471"/>
      <c r="G79" s="471"/>
      <c r="H79" s="471"/>
      <c r="I79" s="472"/>
      <c r="J79" s="117">
        <f>SUM(J55:J78)</f>
        <v>256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1181</v>
      </c>
      <c r="Q79" s="126">
        <f>'1'!Q79+'2'!P79+'3'!P79+'4'!P79+'5'!P79+'6'!P79+'7'!P79+'8'!P79+'9'!P79+'10'!P79+'11'!P79+'12'!P79+'13'!P79+'14'!P79+'15'!P79+'16'!P79+'17'!P79+'18'!P79</f>
        <v>15634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0.82013888888888886</v>
      </c>
      <c r="Q80" s="447">
        <f>Q79/Q75</f>
        <v>0.83514957264957268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0.82013888888888886</v>
      </c>
      <c r="Q81" s="152">
        <f>Q79/Q60</f>
        <v>0.60316358024691363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55.009635901778147</v>
      </c>
      <c r="Q82" s="150">
        <f>(C26/1000)/(Q79/60)</f>
        <v>52.794849686580527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45.115541666666665</v>
      </c>
      <c r="Q83" s="113">
        <f>(C26/1000)/(Q75/60)</f>
        <v>44.091596153846154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34132</v>
      </c>
      <c r="Q84" s="100">
        <f>'1'!Q84+'2'!P84+'3'!P84+'4'!P84+'5'!P84+'6'!P84+'7'!P84+'8'!P84+'9'!P84+'10'!P84+'11'!P84+'12'!P84+'13'!P84+'14'!P84+'15'!P84+'16'!P84+'17'!P84+'18'!P84</f>
        <v>451960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32.034358191276993</v>
      </c>
      <c r="Q85" s="124">
        <f>Q84/(K27/1000)</f>
        <v>33.408662243126003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180.77</v>
      </c>
      <c r="Q86" s="100">
        <f>'1'!Q86+'2'!P86+'3'!P86+'4'!P86+'5'!P86+'6'!P86+'7'!P86+'8'!P86+'9'!P86+'10'!P86+'11'!P86+'12'!P86+'13'!P86+'14'!P86+'15'!P86+'16'!P86+'17'!P86+'18'!P86</f>
        <v>2578.9299999999998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169.66046320863535</v>
      </c>
      <c r="Q87" s="124">
        <f>(Q86*1000)/(K26/1000)</f>
        <v>191.43788451461532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11</v>
      </c>
      <c r="Q88" s="100">
        <f>'1'!Q88+'2'!P88+'3'!P88+'4'!P88+'5'!P88+'6'!P88+'7'!P88+'8'!P88+'9'!P88+'10'!P88+'11'!P88+'12'!P88+'13'!P88+'14'!P88+'15'!P88+'16'!P88+'17'!P88+'18'!P88</f>
        <v>1613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1.032397574428826E-2</v>
      </c>
      <c r="Q89" s="124">
        <f>Q88/(K26/1000)</f>
        <v>0.11973543590639317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55" zoomScaleNormal="100" workbookViewId="0">
      <selection activeCell="R59" sqref="R59"/>
    </sheetView>
  </sheetViews>
  <sheetFormatPr defaultRowHeight="16.5" x14ac:dyDescent="0.3"/>
  <cols>
    <col min="1" max="1" width="9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'18'!A3:Q3+1</f>
        <v>46041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240</v>
      </c>
      <c r="B7" s="15">
        <v>228</v>
      </c>
      <c r="C7" s="15">
        <v>483132</v>
      </c>
      <c r="D7" s="16"/>
      <c r="E7" s="17"/>
      <c r="F7" s="18"/>
      <c r="G7" s="19" t="s">
        <v>1</v>
      </c>
      <c r="H7" s="20">
        <v>5.5</v>
      </c>
      <c r="I7" s="21" t="s">
        <v>241</v>
      </c>
      <c r="J7" s="22">
        <v>227</v>
      </c>
      <c r="K7" s="17">
        <v>475080</v>
      </c>
      <c r="L7" s="23">
        <f t="shared" ref="L7:L16" si="0">K7/C7</f>
        <v>0.98333374729887479</v>
      </c>
      <c r="M7" s="17">
        <v>1</v>
      </c>
      <c r="N7" s="22">
        <v>2087</v>
      </c>
      <c r="O7" s="134"/>
      <c r="P7" s="134"/>
      <c r="Q7" s="134"/>
    </row>
    <row r="8" spans="1:17" x14ac:dyDescent="0.3">
      <c r="A8" s="24" t="s">
        <v>388</v>
      </c>
      <c r="B8" s="25">
        <v>27</v>
      </c>
      <c r="C8" s="25">
        <v>56673</v>
      </c>
      <c r="D8" s="26"/>
      <c r="E8" s="27"/>
      <c r="F8" s="28"/>
      <c r="G8" s="29" t="s">
        <v>1</v>
      </c>
      <c r="H8" s="30">
        <v>5.5</v>
      </c>
      <c r="I8" s="31" t="s">
        <v>241</v>
      </c>
      <c r="J8" s="32">
        <v>27</v>
      </c>
      <c r="K8" s="33">
        <v>56130</v>
      </c>
      <c r="L8" s="34">
        <f t="shared" si="0"/>
        <v>0.99041871790799851</v>
      </c>
      <c r="M8" s="33"/>
      <c r="N8" s="32"/>
      <c r="O8" s="135"/>
      <c r="P8" s="135"/>
      <c r="Q8" s="135"/>
    </row>
    <row r="9" spans="1:17" x14ac:dyDescent="0.3">
      <c r="A9" s="24" t="s">
        <v>236</v>
      </c>
      <c r="B9" s="25">
        <v>120</v>
      </c>
      <c r="C9" s="25">
        <v>254280</v>
      </c>
      <c r="D9" s="26"/>
      <c r="E9" s="27"/>
      <c r="F9" s="28"/>
      <c r="G9" s="29" t="s">
        <v>1</v>
      </c>
      <c r="H9" s="30">
        <v>5.5</v>
      </c>
      <c r="I9" s="31" t="s">
        <v>237</v>
      </c>
      <c r="J9" s="32">
        <v>120</v>
      </c>
      <c r="K9" s="33">
        <v>251184</v>
      </c>
      <c r="L9" s="34">
        <f t="shared" si="0"/>
        <v>0.98782444549315718</v>
      </c>
      <c r="M9" s="33"/>
      <c r="N9" s="32"/>
      <c r="O9" s="135"/>
      <c r="P9" s="135"/>
      <c r="Q9" s="135"/>
    </row>
    <row r="10" spans="1:17" x14ac:dyDescent="0.3">
      <c r="A10" s="35" t="s">
        <v>221</v>
      </c>
      <c r="B10" s="36">
        <v>143</v>
      </c>
      <c r="C10" s="36">
        <v>303303</v>
      </c>
      <c r="D10" s="37"/>
      <c r="E10" s="38"/>
      <c r="F10" s="18"/>
      <c r="G10" s="39" t="s">
        <v>1</v>
      </c>
      <c r="H10" s="40">
        <v>9</v>
      </c>
      <c r="I10" s="31" t="s">
        <v>204</v>
      </c>
      <c r="J10" s="41">
        <v>142</v>
      </c>
      <c r="K10" s="42">
        <v>296399</v>
      </c>
      <c r="L10" s="34">
        <f t="shared" si="0"/>
        <v>0.97723728416797728</v>
      </c>
      <c r="M10" s="33">
        <v>1</v>
      </c>
      <c r="N10" s="32">
        <v>2078</v>
      </c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518</v>
      </c>
      <c r="C16" s="48">
        <f>SUM(C7:C15)</f>
        <v>1097388</v>
      </c>
      <c r="D16" s="49">
        <f>SUM(D7:D15)</f>
        <v>0</v>
      </c>
      <c r="E16" s="50">
        <f>SUM(E7:E15)</f>
        <v>0</v>
      </c>
      <c r="F16" s="51">
        <f>E16/C16</f>
        <v>0</v>
      </c>
      <c r="G16" s="52"/>
      <c r="H16" s="2"/>
      <c r="I16" s="2"/>
      <c r="J16" s="53">
        <f>SUM(J7:J15)</f>
        <v>516</v>
      </c>
      <c r="K16" s="53">
        <f>SUM(K7:K15)</f>
        <v>1078793</v>
      </c>
      <c r="L16" s="51">
        <f t="shared" si="0"/>
        <v>0.98305521839130738</v>
      </c>
      <c r="M16" s="50">
        <f>SUM(M7:M15)</f>
        <v>2</v>
      </c>
      <c r="N16" s="54">
        <f>SUM(N7:N15)</f>
        <v>4165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1082958</v>
      </c>
      <c r="L17" s="51">
        <f>K17/C16</f>
        <v>0.98685059432033151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'18'!B22+'19'!B16</f>
        <v>5877</v>
      </c>
      <c r="C22" s="57">
        <f>'18'!C22+'19'!C16</f>
        <v>12419095</v>
      </c>
      <c r="D22" s="57">
        <f>'18'!D22+'19'!D16</f>
        <v>13</v>
      </c>
      <c r="E22" s="57">
        <f>'18'!E22+'19'!E16</f>
        <v>27506</v>
      </c>
      <c r="F22" s="423">
        <f>E22/C22</f>
        <v>2.2148151697043948E-3</v>
      </c>
      <c r="G22" s="58" t="s">
        <v>1</v>
      </c>
      <c r="H22" s="59"/>
      <c r="I22" s="59"/>
      <c r="J22" s="57">
        <f>'18'!J22+'19'!J16</f>
        <v>5838</v>
      </c>
      <c r="K22" s="57">
        <f>'18'!K22+'19'!K16</f>
        <v>12170445</v>
      </c>
      <c r="L22" s="60">
        <f>K22/C22</f>
        <v>0.97997841227561266</v>
      </c>
      <c r="M22" s="57">
        <f>'18'!M22+'19'!M16</f>
        <v>26</v>
      </c>
      <c r="N22" s="57">
        <f>'18'!N22+'19'!N16</f>
        <v>53364</v>
      </c>
      <c r="O22" s="135"/>
      <c r="P22" s="135"/>
      <c r="Q22" s="135"/>
    </row>
    <row r="23" spans="1:17" x14ac:dyDescent="0.3">
      <c r="A23" s="521"/>
      <c r="B23" s="61">
        <f>'18'!B23</f>
        <v>1160</v>
      </c>
      <c r="C23" s="61">
        <f>'18'!C23</f>
        <v>2434871</v>
      </c>
      <c r="D23" s="61">
        <f>'18'!D23</f>
        <v>6</v>
      </c>
      <c r="E23" s="61">
        <f>'18'!E23</f>
        <v>12633</v>
      </c>
      <c r="F23" s="424">
        <f>E23/C23</f>
        <v>5.1883652152413823E-3</v>
      </c>
      <c r="G23" s="381" t="s">
        <v>195</v>
      </c>
      <c r="H23" s="59"/>
      <c r="I23" s="59"/>
      <c r="J23" s="61">
        <f>'18'!J23</f>
        <v>1150</v>
      </c>
      <c r="K23" s="61">
        <f>'18'!K23</f>
        <v>2379715</v>
      </c>
      <c r="L23" s="382">
        <f t="shared" ref="L23:L24" si="1">K23/C23</f>
        <v>0.97734746522505711</v>
      </c>
      <c r="M23" s="61">
        <f>'18'!M23</f>
        <v>4</v>
      </c>
      <c r="N23" s="61">
        <f>'18'!N23</f>
        <v>7662</v>
      </c>
      <c r="O23" s="135"/>
      <c r="P23" s="135"/>
      <c r="Q23" s="135"/>
    </row>
    <row r="24" spans="1:17" x14ac:dyDescent="0.3">
      <c r="A24" s="521"/>
      <c r="B24" s="61">
        <f>'18'!B24</f>
        <v>0</v>
      </c>
      <c r="C24" s="61">
        <f>'18'!C24</f>
        <v>0</v>
      </c>
      <c r="D24" s="61">
        <f>'18'!D24</f>
        <v>0</v>
      </c>
      <c r="E24" s="61">
        <f>'18'!E24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'18'!J24</f>
        <v>0</v>
      </c>
      <c r="K24" s="61">
        <f>'18'!K24</f>
        <v>0</v>
      </c>
      <c r="L24" s="382" t="e">
        <f t="shared" si="1"/>
        <v>#DIV/0!</v>
      </c>
      <c r="M24" s="61">
        <f>'18'!M24</f>
        <v>0</v>
      </c>
      <c r="N24" s="61">
        <f>'18'!N24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7037</v>
      </c>
      <c r="C26" s="68">
        <f>SUM(C21:C25)</f>
        <v>14853966</v>
      </c>
      <c r="D26" s="49">
        <f>SUM(D21:D25)</f>
        <v>19</v>
      </c>
      <c r="E26" s="69">
        <f>SUM(E22:E25)</f>
        <v>40139</v>
      </c>
      <c r="F26" s="51">
        <f>E26/C26</f>
        <v>2.7022412734753801E-3</v>
      </c>
      <c r="G26" s="51"/>
      <c r="H26" s="70"/>
      <c r="I26" s="70"/>
      <c r="J26" s="71">
        <f>SUM(J22:J25)</f>
        <v>6988</v>
      </c>
      <c r="K26" s="68">
        <f>SUM(K22:K25)</f>
        <v>14550160</v>
      </c>
      <c r="L26" s="51">
        <f>K26/C26</f>
        <v>0.97954714585990033</v>
      </c>
      <c r="M26" s="71">
        <f>SUM(M22:M25)</f>
        <v>30</v>
      </c>
      <c r="N26" s="54">
        <f>SUM(N22:N25)</f>
        <v>61026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14611186</v>
      </c>
      <c r="L27" s="51">
        <f>K27/C26</f>
        <v>0.98365554357671214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'18'!A30</f>
        <v>BIC</v>
      </c>
      <c r="B30" s="307" t="str">
        <f>'18'!B30</f>
        <v>P.6</v>
      </c>
      <c r="C30" s="307" t="str">
        <f>'18'!C30</f>
        <v>BjTPG280</v>
      </c>
      <c r="D30" s="308">
        <f>'18'!D30</f>
        <v>239</v>
      </c>
      <c r="E30" s="308">
        <f>'18'!E30</f>
        <v>497038</v>
      </c>
      <c r="F30" s="79"/>
      <c r="G30" s="307" t="str">
        <f>'18'!G30</f>
        <v>WR</v>
      </c>
      <c r="H30" s="309">
        <f>'18'!H30</f>
        <v>18</v>
      </c>
      <c r="I30" s="309">
        <f>'18'!I30</f>
        <v>8</v>
      </c>
      <c r="J30" s="170">
        <f>'18'!J30</f>
        <v>68</v>
      </c>
      <c r="K30" s="310">
        <f>'18'!K30</f>
        <v>140152</v>
      </c>
      <c r="L30" s="79"/>
      <c r="M30" s="307" t="str">
        <f>'18'!M30</f>
        <v>WR</v>
      </c>
      <c r="N30" s="309">
        <f>'18'!N30</f>
        <v>0</v>
      </c>
      <c r="O30" s="309">
        <f>'18'!O30</f>
        <v>0</v>
      </c>
      <c r="P30" s="170">
        <f>'18'!P30</f>
        <v>0</v>
      </c>
      <c r="Q30" s="310">
        <f>'18'!Q30</f>
        <v>0</v>
      </c>
    </row>
    <row r="31" spans="1:17" x14ac:dyDescent="0.3">
      <c r="A31" s="307" t="str">
        <f>'18'!A31</f>
        <v>WR</v>
      </c>
      <c r="B31" s="307">
        <f>'18'!B31</f>
        <v>6.5</v>
      </c>
      <c r="C31" s="307">
        <f>'18'!C31</f>
        <v>8</v>
      </c>
      <c r="D31" s="308">
        <f>'18'!D31</f>
        <v>144</v>
      </c>
      <c r="E31" s="308">
        <f>'18'!E31</f>
        <v>301505</v>
      </c>
      <c r="F31" s="135"/>
      <c r="G31" s="307" t="str">
        <f>'18'!G31</f>
        <v>WR</v>
      </c>
      <c r="H31" s="309">
        <f>'18'!H31</f>
        <v>7.5</v>
      </c>
      <c r="I31" s="309">
        <f>'18'!I31</f>
        <v>8</v>
      </c>
      <c r="J31" s="170">
        <f>'18'!J31</f>
        <v>96</v>
      </c>
      <c r="K31" s="310">
        <f>'18'!K31</f>
        <v>200884</v>
      </c>
      <c r="L31" s="135"/>
      <c r="M31" s="307" t="str">
        <f>'18'!M31</f>
        <v>WR</v>
      </c>
      <c r="N31" s="309">
        <f>'18'!N31</f>
        <v>0</v>
      </c>
      <c r="O31" s="309">
        <f>'18'!O31</f>
        <v>0</v>
      </c>
      <c r="P31" s="170">
        <f>'18'!P31</f>
        <v>0</v>
      </c>
      <c r="Q31" s="310">
        <f>'18'!Q31</f>
        <v>0</v>
      </c>
    </row>
    <row r="32" spans="1:17" x14ac:dyDescent="0.3">
      <c r="A32" s="307" t="str">
        <f>'18'!A32</f>
        <v>WR</v>
      </c>
      <c r="B32" s="307">
        <f>'18'!B32</f>
        <v>6.5</v>
      </c>
      <c r="C32" s="307">
        <f>'18'!C32</f>
        <v>10</v>
      </c>
      <c r="D32" s="308">
        <f>'18'!D32</f>
        <v>48</v>
      </c>
      <c r="E32" s="308">
        <f>'18'!E32</f>
        <v>99149</v>
      </c>
      <c r="F32" s="135"/>
      <c r="G32" s="307" t="str">
        <f>'18'!G32</f>
        <v>WR</v>
      </c>
      <c r="H32" s="309">
        <f>'18'!H32</f>
        <v>7.5</v>
      </c>
      <c r="I32" s="309">
        <f>'18'!I32</f>
        <v>15</v>
      </c>
      <c r="J32" s="170">
        <f>'18'!J32</f>
        <v>474</v>
      </c>
      <c r="K32" s="310">
        <f>'18'!K32</f>
        <v>981938</v>
      </c>
      <c r="L32" s="135"/>
      <c r="M32" s="307" t="str">
        <f>'18'!M32</f>
        <v>WR</v>
      </c>
      <c r="N32" s="309">
        <f>'18'!N32</f>
        <v>0</v>
      </c>
      <c r="O32" s="309">
        <f>'18'!O32</f>
        <v>0</v>
      </c>
      <c r="P32" s="170">
        <f>'18'!P32</f>
        <v>0</v>
      </c>
      <c r="Q32" s="310">
        <f>'18'!Q32</f>
        <v>0</v>
      </c>
    </row>
    <row r="33" spans="1:17" x14ac:dyDescent="0.3">
      <c r="A33" s="307" t="str">
        <f>'18'!A33</f>
        <v>WR</v>
      </c>
      <c r="B33" s="307">
        <f>'18'!B33</f>
        <v>6.5</v>
      </c>
      <c r="C33" s="307">
        <f>'18'!C33</f>
        <v>15</v>
      </c>
      <c r="D33" s="308">
        <f>'18'!D33</f>
        <v>6</v>
      </c>
      <c r="E33" s="308">
        <f>'18'!E33</f>
        <v>12304</v>
      </c>
      <c r="F33" s="135"/>
      <c r="G33" s="307" t="str">
        <f>'18'!G33</f>
        <v>WR</v>
      </c>
      <c r="H33" s="309">
        <f>'18'!H33</f>
        <v>5.5</v>
      </c>
      <c r="I33" s="309">
        <f>'18'!I33</f>
        <v>22</v>
      </c>
      <c r="J33" s="170">
        <f>'18'!J33</f>
        <v>436</v>
      </c>
      <c r="K33" s="310">
        <f>'18'!K33</f>
        <v>893285</v>
      </c>
      <c r="L33" s="135"/>
      <c r="M33" s="307" t="str">
        <f>'18'!M33</f>
        <v>WR</v>
      </c>
      <c r="N33" s="309">
        <f>'18'!N33</f>
        <v>0</v>
      </c>
      <c r="O33" s="309">
        <f>'18'!O33</f>
        <v>0</v>
      </c>
      <c r="P33" s="170">
        <f>'18'!P33</f>
        <v>0</v>
      </c>
      <c r="Q33" s="310">
        <f>'18'!Q33</f>
        <v>0</v>
      </c>
    </row>
    <row r="34" spans="1:17" x14ac:dyDescent="0.3">
      <c r="A34" s="307" t="str">
        <f>'18'!A34</f>
        <v>WR</v>
      </c>
      <c r="B34" s="307">
        <f>'18'!B34</f>
        <v>5.5</v>
      </c>
      <c r="C34" s="307">
        <f>'18'!C34</f>
        <v>6</v>
      </c>
      <c r="D34" s="308">
        <f>'18'!D34+J9</f>
        <v>959</v>
      </c>
      <c r="E34" s="308">
        <f>'18'!E34+K9</f>
        <v>2011148</v>
      </c>
      <c r="F34" s="135"/>
      <c r="G34" s="307" t="str">
        <f>'18'!G34</f>
        <v>WR</v>
      </c>
      <c r="H34" s="309">
        <f>'18'!H34</f>
        <v>5.5</v>
      </c>
      <c r="I34" s="309">
        <f>'18'!I34</f>
        <v>1045</v>
      </c>
      <c r="J34" s="170">
        <f>'18'!J34</f>
        <v>50</v>
      </c>
      <c r="K34" s="310">
        <f>'18'!K34</f>
        <v>104556</v>
      </c>
      <c r="L34" s="135"/>
      <c r="M34" s="307" t="str">
        <f>'18'!M34</f>
        <v>WR</v>
      </c>
      <c r="N34" s="309">
        <f>'18'!N34</f>
        <v>0</v>
      </c>
      <c r="O34" s="309">
        <f>'18'!O34</f>
        <v>0</v>
      </c>
      <c r="P34" s="170">
        <f>'18'!P34</f>
        <v>0</v>
      </c>
      <c r="Q34" s="310">
        <f>'18'!Q34</f>
        <v>0</v>
      </c>
    </row>
    <row r="35" spans="1:17" x14ac:dyDescent="0.3">
      <c r="A35" s="307" t="str">
        <f>'18'!A35</f>
        <v>WR</v>
      </c>
      <c r="B35" s="307">
        <f>'18'!B35</f>
        <v>5.5</v>
      </c>
      <c r="C35" s="307" t="str">
        <f>'18'!C35</f>
        <v>8.A</v>
      </c>
      <c r="D35" s="308">
        <f>'18'!D35</f>
        <v>75</v>
      </c>
      <c r="E35" s="308">
        <f>'18'!E35</f>
        <v>157414</v>
      </c>
      <c r="F35" s="135"/>
      <c r="G35" s="307" t="str">
        <f>'18'!G35</f>
        <v>WR</v>
      </c>
      <c r="H35" s="309">
        <f>'18'!H35</f>
        <v>9.5</v>
      </c>
      <c r="I35" s="309">
        <f>'18'!I35</f>
        <v>15</v>
      </c>
      <c r="J35" s="170">
        <f>'18'!J35</f>
        <v>269</v>
      </c>
      <c r="K35" s="310">
        <f>'18'!K35</f>
        <v>555674</v>
      </c>
      <c r="L35" s="135"/>
      <c r="M35" s="307" t="str">
        <f>'18'!M35</f>
        <v>WR</v>
      </c>
      <c r="N35" s="309">
        <f>'18'!N35</f>
        <v>0</v>
      </c>
      <c r="O35" s="309">
        <f>'18'!O35</f>
        <v>0</v>
      </c>
      <c r="P35" s="170">
        <f>'18'!P35</f>
        <v>0</v>
      </c>
      <c r="Q35" s="310">
        <f>'18'!Q35</f>
        <v>0</v>
      </c>
    </row>
    <row r="36" spans="1:17" x14ac:dyDescent="0.3">
      <c r="A36" s="307" t="str">
        <f>'18'!A36</f>
        <v>WR</v>
      </c>
      <c r="B36" s="307">
        <f>'18'!B36</f>
        <v>5.5</v>
      </c>
      <c r="C36" s="307" t="str">
        <f>'18'!C36</f>
        <v>22.A</v>
      </c>
      <c r="D36" s="308">
        <f>'18'!D36</f>
        <v>669</v>
      </c>
      <c r="E36" s="308">
        <f>'18'!E36</f>
        <v>1393156</v>
      </c>
      <c r="F36" s="135"/>
      <c r="G36" s="307" t="str">
        <f>'18'!G36</f>
        <v>WR</v>
      </c>
      <c r="H36" s="309">
        <f>'18'!H36</f>
        <v>12</v>
      </c>
      <c r="I36" s="309">
        <f>'18'!I36</f>
        <v>8</v>
      </c>
      <c r="J36" s="170">
        <f>'18'!J36</f>
        <v>143</v>
      </c>
      <c r="K36" s="310">
        <f>'18'!K36</f>
        <v>298814</v>
      </c>
      <c r="L36" s="135"/>
      <c r="M36" s="307" t="str">
        <f>'18'!M36</f>
        <v>WR</v>
      </c>
      <c r="N36" s="309">
        <f>'18'!N36</f>
        <v>0</v>
      </c>
      <c r="O36" s="309">
        <f>'18'!O36</f>
        <v>0</v>
      </c>
      <c r="P36" s="170">
        <f>'18'!P36</f>
        <v>0</v>
      </c>
      <c r="Q36" s="310">
        <f>'18'!Q36</f>
        <v>0</v>
      </c>
    </row>
    <row r="37" spans="1:17" x14ac:dyDescent="0.3">
      <c r="A37" s="307" t="str">
        <f>'18'!A37</f>
        <v>WR</v>
      </c>
      <c r="B37" s="307">
        <f>'18'!B37</f>
        <v>5.5</v>
      </c>
      <c r="C37" s="307" t="str">
        <f>'18'!C37</f>
        <v>Y.11</v>
      </c>
      <c r="D37" s="308">
        <f>'18'!D37+J7+J8</f>
        <v>813</v>
      </c>
      <c r="E37" s="308">
        <f>'18'!E37+K7+K8</f>
        <v>1702656</v>
      </c>
      <c r="F37" s="135"/>
      <c r="G37" s="307" t="str">
        <f>'18'!G37</f>
        <v>WR</v>
      </c>
      <c r="H37" s="309">
        <v>9</v>
      </c>
      <c r="I37" s="309">
        <v>8</v>
      </c>
      <c r="J37" s="310">
        <f>J10</f>
        <v>142</v>
      </c>
      <c r="K37" s="310">
        <f>K10</f>
        <v>296399</v>
      </c>
      <c r="L37" s="135"/>
      <c r="M37" s="307" t="str">
        <f>'18'!M37</f>
        <v>WR</v>
      </c>
      <c r="N37" s="309">
        <f>'18'!N37</f>
        <v>0</v>
      </c>
      <c r="O37" s="309">
        <f>'18'!O37</f>
        <v>0</v>
      </c>
      <c r="P37" s="170">
        <f>'18'!P37</f>
        <v>0</v>
      </c>
      <c r="Q37" s="310">
        <f>'18'!Q37</f>
        <v>0</v>
      </c>
    </row>
    <row r="38" spans="1:17" x14ac:dyDescent="0.3">
      <c r="A38" s="307" t="str">
        <f>'18'!A38</f>
        <v>WR</v>
      </c>
      <c r="B38" s="307">
        <f>'18'!B38</f>
        <v>5.5</v>
      </c>
      <c r="C38" s="307" t="str">
        <f>'18'!C38</f>
        <v>67.A</v>
      </c>
      <c r="D38" s="308">
        <f>'18'!D38</f>
        <v>72</v>
      </c>
      <c r="E38" s="308">
        <f>'18'!E38</f>
        <v>152182</v>
      </c>
      <c r="F38" s="135"/>
      <c r="G38" s="307" t="str">
        <f>'18'!G38</f>
        <v>WR</v>
      </c>
      <c r="H38" s="309">
        <f>'18'!H38</f>
        <v>0</v>
      </c>
      <c r="I38" s="309">
        <f>'18'!I38</f>
        <v>0</v>
      </c>
      <c r="J38" s="170">
        <f>'18'!J38</f>
        <v>0</v>
      </c>
      <c r="K38" s="310">
        <f>'18'!K38</f>
        <v>0</v>
      </c>
      <c r="L38" s="135"/>
      <c r="M38" s="307" t="str">
        <f>'18'!M38</f>
        <v>WR</v>
      </c>
      <c r="N38" s="309">
        <f>'18'!N38</f>
        <v>0</v>
      </c>
      <c r="O38" s="309">
        <f>'18'!O38</f>
        <v>0</v>
      </c>
      <c r="P38" s="170">
        <f>'18'!P38</f>
        <v>0</v>
      </c>
      <c r="Q38" s="310">
        <f>'18'!Q38</f>
        <v>0</v>
      </c>
    </row>
    <row r="39" spans="1:17" x14ac:dyDescent="0.3">
      <c r="A39" s="307" t="str">
        <f>'18'!A39</f>
        <v>BIC</v>
      </c>
      <c r="B39" s="307" t="str">
        <f>'18'!B39</f>
        <v>P.8</v>
      </c>
      <c r="C39" s="307" t="str">
        <f>'18'!C39</f>
        <v>BjTPG280</v>
      </c>
      <c r="D39" s="308">
        <f>'18'!D39</f>
        <v>240</v>
      </c>
      <c r="E39" s="308">
        <f>'18'!E39</f>
        <v>499780</v>
      </c>
      <c r="F39" s="135"/>
      <c r="G39" s="307" t="str">
        <f>'18'!G39</f>
        <v>WR</v>
      </c>
      <c r="H39" s="309">
        <f>'18'!H39</f>
        <v>0</v>
      </c>
      <c r="I39" s="309">
        <f>'18'!I39</f>
        <v>0</v>
      </c>
      <c r="J39" s="170">
        <f>'18'!J39</f>
        <v>0</v>
      </c>
      <c r="K39" s="310">
        <f>'18'!K39</f>
        <v>0</v>
      </c>
      <c r="L39" s="135"/>
      <c r="M39" s="307" t="str">
        <f>'18'!M39</f>
        <v>WR</v>
      </c>
      <c r="N39" s="309">
        <f>'18'!N39</f>
        <v>0</v>
      </c>
      <c r="O39" s="309">
        <f>'18'!O39</f>
        <v>0</v>
      </c>
      <c r="P39" s="170">
        <f>'18'!P39</f>
        <v>0</v>
      </c>
      <c r="Q39" s="310">
        <f>'18'!Q39</f>
        <v>0</v>
      </c>
    </row>
    <row r="40" spans="1:17" x14ac:dyDescent="0.3">
      <c r="A40" s="307" t="str">
        <f>'18'!A40</f>
        <v>BIC</v>
      </c>
      <c r="B40" s="307" t="str">
        <f>'18'!B40</f>
        <v>S.8</v>
      </c>
      <c r="C40" s="307" t="str">
        <f>'18'!C40</f>
        <v>BjTSG420</v>
      </c>
      <c r="D40" s="308">
        <f>'18'!D40</f>
        <v>335</v>
      </c>
      <c r="E40" s="308">
        <f>'18'!E40</f>
        <v>688721</v>
      </c>
      <c r="F40" s="135"/>
      <c r="G40" s="307" t="str">
        <f>'18'!G40</f>
        <v>WR</v>
      </c>
      <c r="H40" s="309">
        <f>'18'!H40</f>
        <v>0</v>
      </c>
      <c r="I40" s="309">
        <f>'18'!I40</f>
        <v>0</v>
      </c>
      <c r="J40" s="170">
        <f>'18'!J40</f>
        <v>0</v>
      </c>
      <c r="K40" s="310">
        <f>'18'!K40</f>
        <v>0</v>
      </c>
      <c r="L40" s="135"/>
      <c r="M40" s="307" t="str">
        <f>'18'!M40</f>
        <v>WR</v>
      </c>
      <c r="N40" s="309">
        <f>'18'!N40</f>
        <v>0</v>
      </c>
      <c r="O40" s="309">
        <f>'18'!O40</f>
        <v>0</v>
      </c>
      <c r="P40" s="170">
        <f>'18'!P40</f>
        <v>0</v>
      </c>
      <c r="Q40" s="310">
        <f>'18'!Q40</f>
        <v>0</v>
      </c>
    </row>
    <row r="41" spans="1:17" x14ac:dyDescent="0.3">
      <c r="A41" s="307" t="str">
        <f>'18'!A41</f>
        <v>BIC</v>
      </c>
      <c r="B41" s="307" t="str">
        <f>'18'!B41</f>
        <v>S.10</v>
      </c>
      <c r="C41" s="307" t="str">
        <f>'18'!C41</f>
        <v>BjTSG420</v>
      </c>
      <c r="D41" s="308">
        <f>'18'!D41</f>
        <v>144</v>
      </c>
      <c r="E41" s="308">
        <f>'18'!E41</f>
        <v>295842</v>
      </c>
      <c r="F41" s="135"/>
      <c r="G41" s="307" t="str">
        <f>'18'!G41</f>
        <v>WR</v>
      </c>
      <c r="H41" s="309">
        <f>'18'!H41</f>
        <v>0</v>
      </c>
      <c r="I41" s="309">
        <f>'18'!I41</f>
        <v>0</v>
      </c>
      <c r="J41" s="170">
        <f>'18'!J41</f>
        <v>0</v>
      </c>
      <c r="K41" s="310">
        <f>'18'!K41</f>
        <v>0</v>
      </c>
      <c r="L41" s="135"/>
      <c r="M41" s="307" t="str">
        <f>'18'!M41</f>
        <v>WR</v>
      </c>
      <c r="N41" s="309">
        <f>'18'!N41</f>
        <v>0</v>
      </c>
      <c r="O41" s="309">
        <f>'18'!O41</f>
        <v>0</v>
      </c>
      <c r="P41" s="170">
        <f>'18'!P41</f>
        <v>0</v>
      </c>
      <c r="Q41" s="310">
        <f>'18'!Q41</f>
        <v>0</v>
      </c>
    </row>
    <row r="42" spans="1:17" x14ac:dyDescent="0.3">
      <c r="A42" s="307" t="str">
        <f>'18'!A42</f>
        <v>WR</v>
      </c>
      <c r="B42" s="307">
        <f>'18'!B42</f>
        <v>5.5</v>
      </c>
      <c r="C42" s="307">
        <f>'18'!C42</f>
        <v>8</v>
      </c>
      <c r="D42" s="308">
        <f>'18'!D42</f>
        <v>444</v>
      </c>
      <c r="E42" s="308">
        <f>'18'!E42</f>
        <v>931256</v>
      </c>
      <c r="F42" s="135"/>
      <c r="G42" s="307" t="str">
        <f>'18'!G42</f>
        <v>WR</v>
      </c>
      <c r="H42" s="309">
        <f>'18'!H42</f>
        <v>0</v>
      </c>
      <c r="I42" s="309">
        <f>'18'!I42</f>
        <v>0</v>
      </c>
      <c r="J42" s="170">
        <f>'18'!J42</f>
        <v>0</v>
      </c>
      <c r="K42" s="310">
        <f>'18'!K42</f>
        <v>0</v>
      </c>
      <c r="L42" s="135"/>
      <c r="M42" s="307" t="str">
        <f>'18'!M42</f>
        <v>WR</v>
      </c>
      <c r="N42" s="309">
        <f>'18'!N42</f>
        <v>0</v>
      </c>
      <c r="O42" s="309">
        <f>'18'!O42</f>
        <v>0</v>
      </c>
      <c r="P42" s="170">
        <f>'18'!P42</f>
        <v>0</v>
      </c>
      <c r="Q42" s="310">
        <f>'18'!Q42</f>
        <v>0</v>
      </c>
    </row>
    <row r="43" spans="1:17" x14ac:dyDescent="0.3">
      <c r="A43" s="307" t="str">
        <f>'18'!A43</f>
        <v>WR</v>
      </c>
      <c r="B43" s="307">
        <f>'18'!B43</f>
        <v>5.5</v>
      </c>
      <c r="C43" s="307" t="str">
        <f>'18'!C43</f>
        <v>67.B</v>
      </c>
      <c r="D43" s="308">
        <f>'18'!D43</f>
        <v>144</v>
      </c>
      <c r="E43" s="308">
        <f>'18'!E43</f>
        <v>304535</v>
      </c>
      <c r="F43" s="135"/>
      <c r="G43" s="307" t="str">
        <f>'18'!G43</f>
        <v>WR</v>
      </c>
      <c r="H43" s="309">
        <f>'18'!H43</f>
        <v>0</v>
      </c>
      <c r="I43" s="309">
        <f>'18'!I43</f>
        <v>0</v>
      </c>
      <c r="J43" s="170">
        <f>'18'!J43</f>
        <v>0</v>
      </c>
      <c r="K43" s="310">
        <f>'18'!K43</f>
        <v>0</v>
      </c>
      <c r="L43" s="135"/>
      <c r="M43" s="307" t="str">
        <f>'18'!M43</f>
        <v>WR</v>
      </c>
      <c r="N43" s="309">
        <f>'18'!N43</f>
        <v>0</v>
      </c>
      <c r="O43" s="309">
        <f>'18'!O43</f>
        <v>0</v>
      </c>
      <c r="P43" s="170">
        <f>'18'!P43</f>
        <v>0</v>
      </c>
      <c r="Q43" s="310">
        <f>'18'!Q43</f>
        <v>0</v>
      </c>
    </row>
    <row r="44" spans="1:17" x14ac:dyDescent="0.3">
      <c r="A44" s="307" t="str">
        <f>'18'!A44</f>
        <v>BIC</v>
      </c>
      <c r="B44" s="307" t="str">
        <f>'18'!B44</f>
        <v>P.10</v>
      </c>
      <c r="C44" s="307" t="str">
        <f>'18'!C44</f>
        <v>BjTPG280</v>
      </c>
      <c r="D44" s="308">
        <f>'18'!D44</f>
        <v>144</v>
      </c>
      <c r="E44" s="308">
        <f>'18'!E44</f>
        <v>299930</v>
      </c>
      <c r="F44" s="135"/>
      <c r="G44" s="307" t="str">
        <f>'18'!G44</f>
        <v>WR</v>
      </c>
      <c r="H44" s="309">
        <f>'18'!H44</f>
        <v>0</v>
      </c>
      <c r="I44" s="309">
        <f>'18'!I44</f>
        <v>0</v>
      </c>
      <c r="J44" s="170">
        <f>'18'!J44</f>
        <v>0</v>
      </c>
      <c r="K44" s="310">
        <f>'18'!K44</f>
        <v>0</v>
      </c>
      <c r="L44" s="135"/>
      <c r="M44" s="307" t="str">
        <f>'18'!M44</f>
        <v>WR</v>
      </c>
      <c r="N44" s="309">
        <f>'18'!N44</f>
        <v>0</v>
      </c>
      <c r="O44" s="309">
        <f>'18'!O44</f>
        <v>0</v>
      </c>
      <c r="P44" s="170">
        <f>'18'!P44</f>
        <v>0</v>
      </c>
      <c r="Q44" s="310">
        <f>'18'!Q44</f>
        <v>0</v>
      </c>
    </row>
    <row r="45" spans="1:17" x14ac:dyDescent="0.3">
      <c r="A45" s="307" t="str">
        <f>'18'!A45</f>
        <v>BIC</v>
      </c>
      <c r="B45" s="307" t="str">
        <f>'18'!B45</f>
        <v>S.6</v>
      </c>
      <c r="C45" s="307" t="str">
        <f>'18'!C45</f>
        <v>BjTSG420</v>
      </c>
      <c r="D45" s="308">
        <f>'18'!D45</f>
        <v>48</v>
      </c>
      <c r="E45" s="308">
        <f>'18'!E45</f>
        <v>98404</v>
      </c>
      <c r="F45" s="135"/>
      <c r="G45" s="307" t="str">
        <f>'18'!G45</f>
        <v>WR</v>
      </c>
      <c r="H45" s="309">
        <f>'18'!H45</f>
        <v>0</v>
      </c>
      <c r="I45" s="309">
        <f>'18'!I45</f>
        <v>0</v>
      </c>
      <c r="J45" s="170">
        <f>'18'!J45</f>
        <v>0</v>
      </c>
      <c r="K45" s="310">
        <f>'18'!K45</f>
        <v>0</v>
      </c>
      <c r="L45" s="135"/>
      <c r="M45" s="307" t="str">
        <f>'18'!M45</f>
        <v>WR</v>
      </c>
      <c r="N45" s="309">
        <f>'18'!N45</f>
        <v>0</v>
      </c>
      <c r="O45" s="309">
        <f>'18'!O45</f>
        <v>0</v>
      </c>
      <c r="P45" s="170">
        <f>'18'!P45</f>
        <v>0</v>
      </c>
      <c r="Q45" s="310">
        <f>'18'!Q45</f>
        <v>0</v>
      </c>
    </row>
    <row r="46" spans="1:17" x14ac:dyDescent="0.3">
      <c r="A46" s="307" t="str">
        <f>'18'!A46</f>
        <v>WR</v>
      </c>
      <c r="B46" s="307">
        <f>'18'!B46</f>
        <v>17</v>
      </c>
      <c r="C46" s="307">
        <f>'18'!C46</f>
        <v>8</v>
      </c>
      <c r="D46" s="308">
        <f>'18'!D46</f>
        <v>91</v>
      </c>
      <c r="E46" s="308">
        <f>'18'!E46</f>
        <v>188048</v>
      </c>
      <c r="F46" s="135"/>
      <c r="G46" s="307" t="str">
        <f>'18'!G46</f>
        <v>WR</v>
      </c>
      <c r="H46" s="309">
        <f>'18'!H46</f>
        <v>0</v>
      </c>
      <c r="I46" s="309">
        <f>'18'!I46</f>
        <v>0</v>
      </c>
      <c r="J46" s="170">
        <f>'18'!J46</f>
        <v>0</v>
      </c>
      <c r="K46" s="310">
        <f>'18'!K46</f>
        <v>0</v>
      </c>
      <c r="L46" s="135"/>
      <c r="M46" s="307" t="str">
        <f>'18'!M46</f>
        <v>WR</v>
      </c>
      <c r="N46" s="309">
        <f>'18'!N46</f>
        <v>0</v>
      </c>
      <c r="O46" s="309">
        <f>'18'!O46</f>
        <v>0</v>
      </c>
      <c r="P46" s="170">
        <f>'18'!P46</f>
        <v>0</v>
      </c>
      <c r="Q46" s="310">
        <f>'18'!Q46</f>
        <v>0</v>
      </c>
    </row>
    <row r="47" spans="1:17" x14ac:dyDescent="0.3">
      <c r="A47" s="307" t="str">
        <f>'18'!A47</f>
        <v>WR</v>
      </c>
      <c r="B47" s="307">
        <f>'18'!B47</f>
        <v>8.5</v>
      </c>
      <c r="C47" s="307">
        <f>'18'!C47</f>
        <v>15</v>
      </c>
      <c r="D47" s="308">
        <f>'18'!D47</f>
        <v>432</v>
      </c>
      <c r="E47" s="308">
        <f>'18'!E47</f>
        <v>897401</v>
      </c>
      <c r="F47" s="135"/>
      <c r="G47" s="307" t="str">
        <f>'18'!G47</f>
        <v>WR</v>
      </c>
      <c r="H47" s="309">
        <f>'18'!H47</f>
        <v>0</v>
      </c>
      <c r="I47" s="309">
        <f>'18'!I47</f>
        <v>0</v>
      </c>
      <c r="J47" s="170">
        <f>'18'!J47</f>
        <v>0</v>
      </c>
      <c r="K47" s="310">
        <f>'18'!K47</f>
        <v>0</v>
      </c>
      <c r="L47" s="135"/>
      <c r="M47" s="307" t="str">
        <f>'18'!M47</f>
        <v>WR</v>
      </c>
      <c r="N47" s="309">
        <f>'18'!N47</f>
        <v>0</v>
      </c>
      <c r="O47" s="309">
        <f>'18'!O47</f>
        <v>0</v>
      </c>
      <c r="P47" s="170">
        <f>'18'!P47</f>
        <v>0</v>
      </c>
      <c r="Q47" s="310">
        <f>'18'!Q47</f>
        <v>0</v>
      </c>
    </row>
    <row r="48" spans="1:17" x14ac:dyDescent="0.3">
      <c r="A48" s="307" t="str">
        <f>'18'!A48</f>
        <v>WR</v>
      </c>
      <c r="B48" s="307">
        <f>'18'!B48</f>
        <v>6.5</v>
      </c>
      <c r="C48" s="307">
        <f>'18'!C48</f>
        <v>8</v>
      </c>
      <c r="D48" s="308">
        <f>'18'!D48</f>
        <v>144</v>
      </c>
      <c r="E48" s="308">
        <f>'18'!E48</f>
        <v>300807</v>
      </c>
      <c r="F48" s="135"/>
      <c r="G48" s="307" t="str">
        <f>'18'!G48</f>
        <v>WR</v>
      </c>
      <c r="H48" s="309">
        <f>'18'!H48</f>
        <v>0</v>
      </c>
      <c r="I48" s="309">
        <f>'18'!I48</f>
        <v>0</v>
      </c>
      <c r="J48" s="170">
        <f>'18'!J48</f>
        <v>0</v>
      </c>
      <c r="K48" s="310">
        <f>'18'!K48</f>
        <v>0</v>
      </c>
      <c r="L48" s="135"/>
      <c r="M48" s="307" t="str">
        <f>'18'!M48</f>
        <v>WR</v>
      </c>
      <c r="N48" s="309">
        <f>'18'!N48</f>
        <v>0</v>
      </c>
      <c r="O48" s="309">
        <f>'18'!O48</f>
        <v>0</v>
      </c>
      <c r="P48" s="170">
        <f>'18'!P48</f>
        <v>0</v>
      </c>
      <c r="Q48" s="310">
        <f>'18'!Q48</f>
        <v>0</v>
      </c>
    </row>
    <row r="49" spans="1:23" x14ac:dyDescent="0.3">
      <c r="A49" s="307" t="str">
        <f>'18'!A49</f>
        <v>WR</v>
      </c>
      <c r="B49" s="307">
        <f>'18'!B49</f>
        <v>6.5</v>
      </c>
      <c r="C49" s="307">
        <f>'18'!C49</f>
        <v>15</v>
      </c>
      <c r="D49" s="308">
        <f>'18'!D49</f>
        <v>119</v>
      </c>
      <c r="E49" s="308">
        <f>'18'!E49</f>
        <v>247182</v>
      </c>
      <c r="F49" s="3"/>
      <c r="G49" s="307" t="str">
        <f>'18'!G49</f>
        <v>WR</v>
      </c>
      <c r="H49" s="309">
        <f>'18'!H49</f>
        <v>0</v>
      </c>
      <c r="I49" s="309">
        <f>'18'!I49</f>
        <v>0</v>
      </c>
      <c r="J49" s="170">
        <f>'18'!J49</f>
        <v>0</v>
      </c>
      <c r="K49" s="310">
        <f>'18'!K49</f>
        <v>0</v>
      </c>
      <c r="L49" s="3"/>
      <c r="M49" s="307" t="str">
        <f>'18'!M49</f>
        <v>WR</v>
      </c>
      <c r="N49" s="309">
        <f>'18'!N49</f>
        <v>0</v>
      </c>
      <c r="O49" s="309">
        <f>'18'!O49</f>
        <v>0</v>
      </c>
      <c r="P49" s="170">
        <f>'18'!P49</f>
        <v>0</v>
      </c>
      <c r="Q49" s="310">
        <f>'18'!Q49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46041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389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40">
        <v>16</v>
      </c>
      <c r="C55" s="453"/>
      <c r="D55" s="506" t="s">
        <v>378</v>
      </c>
      <c r="E55" s="563"/>
      <c r="F55" s="563"/>
      <c r="G55" s="563"/>
      <c r="H55" s="563"/>
      <c r="I55" s="563"/>
      <c r="J55" s="93">
        <v>20</v>
      </c>
      <c r="K55" s="391"/>
      <c r="L55" s="466" t="s">
        <v>26</v>
      </c>
      <c r="M55" s="467"/>
      <c r="N55" s="467"/>
      <c r="O55" s="392" t="s">
        <v>13</v>
      </c>
      <c r="P55" s="393">
        <f>C16</f>
        <v>1097388</v>
      </c>
      <c r="Q55" s="394">
        <f>C26</f>
        <v>14853966</v>
      </c>
      <c r="R55" s="395"/>
      <c r="S55" s="388">
        <f>DAY(A52)</f>
        <v>19</v>
      </c>
      <c r="T55" s="383">
        <f>S55-U55</f>
        <v>14</v>
      </c>
      <c r="U55" s="383">
        <f>'18'!U55</f>
        <v>5</v>
      </c>
    </row>
    <row r="56" spans="1:23" x14ac:dyDescent="0.3">
      <c r="A56" s="95" t="s">
        <v>37</v>
      </c>
      <c r="B56" s="441">
        <v>24</v>
      </c>
      <c r="C56" s="454"/>
      <c r="D56" s="552"/>
      <c r="E56" s="553"/>
      <c r="F56" s="553"/>
      <c r="G56" s="553"/>
      <c r="H56" s="553"/>
      <c r="I56" s="55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1082958</v>
      </c>
      <c r="Q56" s="398">
        <f>K27</f>
        <v>14611186</v>
      </c>
      <c r="R56" s="399"/>
    </row>
    <row r="57" spans="1:23" x14ac:dyDescent="0.3">
      <c r="A57" s="95" t="s">
        <v>39</v>
      </c>
      <c r="B57" s="441">
        <v>25</v>
      </c>
      <c r="C57" s="454"/>
      <c r="D57" s="552"/>
      <c r="E57" s="553"/>
      <c r="F57" s="553"/>
      <c r="G57" s="553"/>
      <c r="H57" s="553"/>
      <c r="I57" s="553"/>
      <c r="J57" s="97"/>
      <c r="K57" s="391"/>
      <c r="L57" s="468" t="s">
        <v>19</v>
      </c>
      <c r="M57" s="469"/>
      <c r="N57" s="469"/>
      <c r="O57" s="400" t="s">
        <v>14</v>
      </c>
      <c r="P57" s="401">
        <f>L17</f>
        <v>0.98685059432033151</v>
      </c>
      <c r="Q57" s="430">
        <f>L27</f>
        <v>0.98365554357671214</v>
      </c>
      <c r="R57" s="403">
        <v>0.98499999999999999</v>
      </c>
    </row>
    <row r="58" spans="1:23" x14ac:dyDescent="0.3">
      <c r="A58" s="95" t="s">
        <v>41</v>
      </c>
      <c r="B58" s="441">
        <v>23</v>
      </c>
      <c r="C58" s="454"/>
      <c r="D58" s="552" t="s">
        <v>379</v>
      </c>
      <c r="E58" s="553"/>
      <c r="F58" s="553"/>
      <c r="G58" s="553"/>
      <c r="H58" s="553"/>
      <c r="I58" s="553"/>
      <c r="J58" s="97">
        <v>5</v>
      </c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40139</v>
      </c>
      <c r="R58" s="395"/>
    </row>
    <row r="59" spans="1:23" x14ac:dyDescent="0.3">
      <c r="A59" s="95" t="s">
        <v>43</v>
      </c>
      <c r="B59" s="441">
        <v>24</v>
      </c>
      <c r="C59" s="454"/>
      <c r="D59" s="498"/>
      <c r="E59" s="498"/>
      <c r="F59" s="498"/>
      <c r="G59" s="498"/>
      <c r="H59" s="498"/>
      <c r="I59" s="498"/>
      <c r="J59" s="97"/>
      <c r="K59" s="391"/>
      <c r="L59" s="509"/>
      <c r="M59" s="510"/>
      <c r="N59" s="510"/>
      <c r="O59" s="400" t="s">
        <v>14</v>
      </c>
      <c r="P59" s="401">
        <f>F16</f>
        <v>0</v>
      </c>
      <c r="Q59" s="430">
        <f>F26</f>
        <v>2.7022412734753801E-3</v>
      </c>
      <c r="R59" s="404">
        <v>1.5E-3</v>
      </c>
    </row>
    <row r="60" spans="1:23" x14ac:dyDescent="0.3">
      <c r="A60" s="95" t="s">
        <v>45</v>
      </c>
      <c r="B60" s="441">
        <v>18</v>
      </c>
      <c r="C60" s="454"/>
      <c r="D60" s="463" t="s">
        <v>380</v>
      </c>
      <c r="E60" s="543"/>
      <c r="F60" s="543"/>
      <c r="G60" s="543"/>
      <c r="H60" s="543"/>
      <c r="I60" s="543"/>
      <c r="J60" s="97">
        <v>14</v>
      </c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</f>
        <v>27360</v>
      </c>
      <c r="R60" s="406"/>
    </row>
    <row r="61" spans="1:23" x14ac:dyDescent="0.3">
      <c r="A61" s="95" t="s">
        <v>47</v>
      </c>
      <c r="B61" s="441">
        <v>25</v>
      </c>
      <c r="C61" s="454"/>
      <c r="D61" s="463"/>
      <c r="E61" s="543"/>
      <c r="F61" s="543"/>
      <c r="G61" s="543"/>
      <c r="H61" s="543"/>
      <c r="I61" s="543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</f>
        <v>7200</v>
      </c>
      <c r="R61" s="395"/>
    </row>
    <row r="62" spans="1:23" x14ac:dyDescent="0.3">
      <c r="A62" s="95" t="s">
        <v>49</v>
      </c>
      <c r="B62" s="441">
        <v>25</v>
      </c>
      <c r="C62" s="454"/>
      <c r="D62" s="463"/>
      <c r="E62" s="543"/>
      <c r="F62" s="543"/>
      <c r="G62" s="543"/>
      <c r="H62" s="543"/>
      <c r="I62" s="543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</f>
        <v>7200</v>
      </c>
      <c r="R62" s="399"/>
    </row>
    <row r="63" spans="1:23" x14ac:dyDescent="0.3">
      <c r="A63" s="95" t="s">
        <v>51</v>
      </c>
      <c r="B63" s="441">
        <v>24</v>
      </c>
      <c r="C63" s="454"/>
      <c r="D63" s="498" t="s">
        <v>381</v>
      </c>
      <c r="E63" s="498"/>
      <c r="F63" s="498"/>
      <c r="G63" s="498"/>
      <c r="H63" s="498"/>
      <c r="I63" s="498"/>
      <c r="J63" s="97">
        <v>2</v>
      </c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</f>
        <v>0</v>
      </c>
      <c r="R63" s="399"/>
    </row>
    <row r="64" spans="1:23" x14ac:dyDescent="0.3">
      <c r="A64" s="95" t="s">
        <v>53</v>
      </c>
      <c r="B64" s="441">
        <v>24</v>
      </c>
      <c r="C64" s="454"/>
      <c r="D64" s="498" t="s">
        <v>382</v>
      </c>
      <c r="E64" s="498"/>
      <c r="F64" s="498"/>
      <c r="G64" s="498"/>
      <c r="H64" s="498"/>
      <c r="I64" s="498"/>
      <c r="J64" s="97">
        <v>1</v>
      </c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41">
        <v>25</v>
      </c>
      <c r="C65" s="454"/>
      <c r="D65" s="498"/>
      <c r="E65" s="498"/>
      <c r="F65" s="498"/>
      <c r="G65" s="498"/>
      <c r="H65" s="498"/>
      <c r="I65" s="498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103</v>
      </c>
      <c r="Q65" s="100">
        <f>'1'!Q65+'2'!P65+'3'!P65+'4'!P65+'5'!P65+'6'!P65+'7'!P65+'8'!P65+'9'!P65+'10'!P65+'11'!P65+'12'!P65+'13'!P65+'14'!P65+'15'!P65+'16'!P65+'17'!P65+'18'!P65+'19'!P65</f>
        <v>2258</v>
      </c>
      <c r="R65" s="395"/>
      <c r="S65" s="171" t="s">
        <v>56</v>
      </c>
      <c r="T65" s="172"/>
      <c r="U65" s="173" t="s">
        <v>151</v>
      </c>
      <c r="V65" s="174"/>
      <c r="W65" s="181">
        <f>+'18'!W65+'19'!V65</f>
        <v>10</v>
      </c>
    </row>
    <row r="66" spans="1:23" x14ac:dyDescent="0.3">
      <c r="A66" s="95" t="s">
        <v>57</v>
      </c>
      <c r="B66" s="441">
        <v>4</v>
      </c>
      <c r="C66" s="454"/>
      <c r="D66" s="498" t="s">
        <v>383</v>
      </c>
      <c r="E66" s="498"/>
      <c r="F66" s="498"/>
      <c r="G66" s="498"/>
      <c r="H66" s="498"/>
      <c r="I66" s="498"/>
      <c r="J66" s="97">
        <v>49</v>
      </c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+'18'!W66+'19'!V66</f>
        <v>7</v>
      </c>
    </row>
    <row r="67" spans="1:23" x14ac:dyDescent="0.3">
      <c r="A67" s="95" t="s">
        <v>59</v>
      </c>
      <c r="B67" s="441">
        <v>24</v>
      </c>
      <c r="C67" s="454"/>
      <c r="D67" s="498"/>
      <c r="E67" s="498"/>
      <c r="F67" s="498"/>
      <c r="G67" s="498"/>
      <c r="H67" s="498"/>
      <c r="I67" s="498"/>
      <c r="J67" s="97"/>
      <c r="K67" s="391"/>
      <c r="L67" s="502" t="s">
        <v>50</v>
      </c>
      <c r="M67" s="498"/>
      <c r="N67" s="498"/>
      <c r="O67" s="408" t="s">
        <v>28</v>
      </c>
      <c r="P67" s="138">
        <v>95</v>
      </c>
      <c r="Q67" s="99">
        <f>'1'!Q67+'2'!P67+'3'!P67+'4'!P67+'5'!P67+'6'!P67+'7'!P67+'8'!P67+'9'!P67+'10'!P67+'11'!P67+'12'!P67+'13'!P67+'14'!P67+'15'!P67+'16'!P67+'17'!P67+'18'!P67+'19'!P67</f>
        <v>1954</v>
      </c>
      <c r="R67" s="399"/>
      <c r="S67" s="377" t="s">
        <v>60</v>
      </c>
      <c r="T67" s="175"/>
      <c r="U67" s="176" t="s">
        <v>151</v>
      </c>
      <c r="V67" s="177"/>
      <c r="W67" s="182">
        <f>+'18'!W67+'19'!V67</f>
        <v>0</v>
      </c>
    </row>
    <row r="68" spans="1:23" x14ac:dyDescent="0.3">
      <c r="A68" s="95" t="s">
        <v>61</v>
      </c>
      <c r="B68" s="441">
        <v>25</v>
      </c>
      <c r="C68" s="454"/>
      <c r="D68" s="498"/>
      <c r="E68" s="498"/>
      <c r="F68" s="498"/>
      <c r="G68" s="498"/>
      <c r="H68" s="498"/>
      <c r="I68" s="498"/>
      <c r="J68" s="97"/>
      <c r="K68" s="391"/>
      <c r="L68" s="468" t="s">
        <v>52</v>
      </c>
      <c r="M68" s="469"/>
      <c r="N68" s="469"/>
      <c r="O68" s="85" t="s">
        <v>28</v>
      </c>
      <c r="P68" s="141">
        <v>8</v>
      </c>
      <c r="Q68" s="86">
        <f>'1'!Q68+'2'!P68+'3'!P68+'4'!P68+'5'!P68+'6'!P68+'7'!P68+'8'!P68+'9'!P68+'10'!P68+'11'!P68+'12'!P68+'13'!P68+'14'!P68+'15'!P68+'16'!P68+'17'!P68+'18'!P68+'19'!P68</f>
        <v>304</v>
      </c>
      <c r="R68" s="409"/>
      <c r="S68" s="377" t="s">
        <v>62</v>
      </c>
      <c r="T68" s="175"/>
      <c r="U68" s="176" t="s">
        <v>151</v>
      </c>
      <c r="V68" s="177"/>
      <c r="W68" s="182">
        <f>+'18'!W68+'19'!V68</f>
        <v>2</v>
      </c>
    </row>
    <row r="69" spans="1:23" x14ac:dyDescent="0.3">
      <c r="A69" s="95" t="s">
        <v>63</v>
      </c>
      <c r="B69" s="441">
        <v>24</v>
      </c>
      <c r="C69" s="454"/>
      <c r="D69" s="498"/>
      <c r="E69" s="498"/>
      <c r="F69" s="498"/>
      <c r="G69" s="498"/>
      <c r="H69" s="498"/>
      <c r="I69" s="498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88</v>
      </c>
      <c r="Q69" s="100">
        <f>'1'!Q69+'2'!P69+'3'!P69+'4'!P69+'5'!P69+'6'!P69+'7'!P69+'8'!P69+'9'!P69+'10'!P69+'11'!P69+'12'!P69+'13'!P69+'14'!P69+'15'!P69+'16'!P69+'17'!P69+'18'!P69+'19'!P69</f>
        <v>996</v>
      </c>
      <c r="R69" s="395"/>
      <c r="S69" s="376" t="s">
        <v>64</v>
      </c>
      <c r="T69" s="178"/>
      <c r="U69" s="179" t="s">
        <v>151</v>
      </c>
      <c r="V69" s="180"/>
      <c r="W69" s="183">
        <f>+'18'!W69+'19'!V69</f>
        <v>0</v>
      </c>
    </row>
    <row r="70" spans="1:23" x14ac:dyDescent="0.3">
      <c r="A70" s="95" t="s">
        <v>65</v>
      </c>
      <c r="B70" s="441">
        <v>24</v>
      </c>
      <c r="C70" s="454"/>
      <c r="D70" s="552"/>
      <c r="E70" s="553"/>
      <c r="F70" s="553"/>
      <c r="G70" s="553"/>
      <c r="H70" s="553"/>
      <c r="I70" s="553"/>
      <c r="J70" s="97"/>
      <c r="K70" s="407"/>
      <c r="L70" s="497" t="s">
        <v>56</v>
      </c>
      <c r="M70" s="498"/>
      <c r="N70" s="498"/>
      <c r="O70" s="408" t="s">
        <v>28</v>
      </c>
      <c r="P70" s="138">
        <v>81</v>
      </c>
      <c r="Q70" s="429">
        <f>'1'!Q70+'2'!P70+'3'!P70+'4'!P70+'5'!P70+'6'!P70+'7'!P70+'8'!P70+'9'!P70+'10'!P70+'11'!P70+'12'!P70+'13'!P70+'14'!P70+'15'!P70+'16'!P70+'17'!P70+'18'!P70+'19'!P70</f>
        <v>568</v>
      </c>
      <c r="R70" s="399">
        <f>T55*30</f>
        <v>420</v>
      </c>
    </row>
    <row r="71" spans="1:23" x14ac:dyDescent="0.3">
      <c r="A71" s="95" t="s">
        <v>67</v>
      </c>
      <c r="B71" s="441">
        <v>21</v>
      </c>
      <c r="C71" s="454"/>
      <c r="D71" s="552" t="s">
        <v>384</v>
      </c>
      <c r="E71" s="553"/>
      <c r="F71" s="553"/>
      <c r="G71" s="553"/>
      <c r="H71" s="553"/>
      <c r="I71" s="553"/>
      <c r="J71" s="97">
        <v>6</v>
      </c>
      <c r="K71" s="391"/>
      <c r="L71" s="497" t="s">
        <v>58</v>
      </c>
      <c r="M71" s="498"/>
      <c r="N71" s="498"/>
      <c r="O71" s="408" t="s">
        <v>28</v>
      </c>
      <c r="P71" s="138">
        <v>7</v>
      </c>
      <c r="Q71" s="429">
        <f>'1'!Q71+'2'!P71+'3'!P71+'4'!P71+'5'!P71+'6'!P71+'7'!P71+'8'!P71+'9'!P71+'10'!P71+'11'!P71+'12'!P71+'13'!P71+'14'!P71+'15'!P71+'16'!P71+'17'!P71+'18'!P71+'19'!P71</f>
        <v>360</v>
      </c>
      <c r="R71" s="399">
        <f>T55*25</f>
        <v>350</v>
      </c>
    </row>
    <row r="72" spans="1:23" x14ac:dyDescent="0.3">
      <c r="A72" s="95" t="s">
        <v>69</v>
      </c>
      <c r="B72" s="441">
        <v>6</v>
      </c>
      <c r="C72" s="454"/>
      <c r="D72" s="552" t="s">
        <v>385</v>
      </c>
      <c r="E72" s="553"/>
      <c r="F72" s="553"/>
      <c r="G72" s="553"/>
      <c r="H72" s="553"/>
      <c r="I72" s="553"/>
      <c r="J72" s="97">
        <v>48</v>
      </c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'1'!Q72+'2'!P72+'3'!P72+'4'!P72+'5'!P72+'6'!P72+'7'!P72+'8'!P72+'9'!P72+'10'!P72+'11'!P72+'12'!P72+'13'!P72+'14'!P72+'15'!P72+'16'!P72+'17'!P72+'18'!P72+'19'!P72</f>
        <v>19</v>
      </c>
      <c r="R72" s="399">
        <f>T55*10</f>
        <v>140</v>
      </c>
    </row>
    <row r="73" spans="1:23" x14ac:dyDescent="0.3">
      <c r="A73" s="95" t="s">
        <v>71</v>
      </c>
      <c r="B73" s="441">
        <v>26</v>
      </c>
      <c r="C73" s="454"/>
      <c r="D73" s="552"/>
      <c r="E73" s="553"/>
      <c r="F73" s="553"/>
      <c r="G73" s="553"/>
      <c r="H73" s="553"/>
      <c r="I73" s="553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</f>
        <v>49</v>
      </c>
      <c r="R73" s="399"/>
    </row>
    <row r="74" spans="1:23" x14ac:dyDescent="0.3">
      <c r="A74" s="95" t="s">
        <v>73</v>
      </c>
      <c r="B74" s="441">
        <v>26</v>
      </c>
      <c r="C74" s="454"/>
      <c r="D74" s="463"/>
      <c r="E74" s="543"/>
      <c r="F74" s="543"/>
      <c r="G74" s="543"/>
      <c r="H74" s="543"/>
      <c r="I74" s="543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</f>
        <v>0</v>
      </c>
      <c r="R74" s="409"/>
    </row>
    <row r="75" spans="1:23" x14ac:dyDescent="0.3">
      <c r="A75" s="95" t="s">
        <v>75</v>
      </c>
      <c r="B75" s="441">
        <v>27</v>
      </c>
      <c r="C75" s="454"/>
      <c r="D75" s="463"/>
      <c r="E75" s="543"/>
      <c r="F75" s="543"/>
      <c r="G75" s="543"/>
      <c r="H75" s="543"/>
      <c r="I75" s="54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</f>
        <v>20160</v>
      </c>
      <c r="R75" s="406"/>
    </row>
    <row r="76" spans="1:23" x14ac:dyDescent="0.3">
      <c r="A76" s="95" t="s">
        <v>77</v>
      </c>
      <c r="B76" s="441">
        <v>21</v>
      </c>
      <c r="C76" s="454"/>
      <c r="D76" s="463" t="s">
        <v>386</v>
      </c>
      <c r="E76" s="543"/>
      <c r="F76" s="543"/>
      <c r="G76" s="543"/>
      <c r="H76" s="543"/>
      <c r="I76" s="543"/>
      <c r="J76" s="97">
        <v>10</v>
      </c>
      <c r="K76" s="391"/>
      <c r="L76" s="489" t="s">
        <v>68</v>
      </c>
      <c r="M76" s="490"/>
      <c r="N76" s="490"/>
      <c r="O76" s="405" t="s">
        <v>28</v>
      </c>
      <c r="P76" s="94">
        <f>P65+P69</f>
        <v>191</v>
      </c>
      <c r="Q76" s="94">
        <f>'1'!Q76+'2'!P76+'3'!P76+'4'!P76+'5'!P76+'6'!P76+'7'!P76+'8'!P76+'9'!P76+'10'!P76+'11'!P76+'12'!P76+'13'!P76+'14'!P76+'15'!P76+'16'!P76+'17'!P76+'18'!P76+'19'!P76</f>
        <v>3254</v>
      </c>
      <c r="R76" s="406"/>
    </row>
    <row r="77" spans="1:23" x14ac:dyDescent="0.3">
      <c r="A77" s="95" t="s">
        <v>79</v>
      </c>
      <c r="B77" s="441">
        <v>15</v>
      </c>
      <c r="C77" s="454"/>
      <c r="D77" s="463" t="s">
        <v>387</v>
      </c>
      <c r="E77" s="543"/>
      <c r="F77" s="543"/>
      <c r="G77" s="543"/>
      <c r="H77" s="543"/>
      <c r="I77" s="543"/>
      <c r="J77" s="97">
        <v>22</v>
      </c>
      <c r="K77" s="391"/>
      <c r="L77" s="486" t="s">
        <v>70</v>
      </c>
      <c r="M77" s="487"/>
      <c r="N77" s="488"/>
      <c r="O77" s="405" t="s">
        <v>28</v>
      </c>
      <c r="P77" s="142">
        <v>196</v>
      </c>
      <c r="Q77" s="94">
        <f>'1'!Q77+'2'!P77+'3'!P77+'4'!P77+'5'!P77+'6'!P77+'7'!P77+'8'!P77+'9'!P77+'10'!P77+'11'!P77+'12'!P77+'13'!P77+'14'!P77+'15'!P77+'16'!P77+'17'!P77+'18'!P77+'19'!P77</f>
        <v>3282</v>
      </c>
      <c r="R77" s="406"/>
    </row>
    <row r="78" spans="1:23" x14ac:dyDescent="0.3">
      <c r="A78" s="109" t="s">
        <v>82</v>
      </c>
      <c r="B78" s="442">
        <v>22</v>
      </c>
      <c r="C78" s="455"/>
      <c r="D78" s="463" t="s">
        <v>372</v>
      </c>
      <c r="E78" s="543"/>
      <c r="F78" s="543"/>
      <c r="G78" s="543"/>
      <c r="H78" s="543"/>
      <c r="I78" s="543"/>
      <c r="J78" s="97">
        <v>14</v>
      </c>
      <c r="K78" s="407"/>
      <c r="L78" s="486" t="s">
        <v>72</v>
      </c>
      <c r="M78" s="487"/>
      <c r="N78" s="488"/>
      <c r="O78" s="405" t="s">
        <v>28</v>
      </c>
      <c r="P78" s="94">
        <f>+P77-P76</f>
        <v>5</v>
      </c>
      <c r="Q78" s="94">
        <f>'1'!Q78+'2'!P78+'3'!P78+'4'!P78+'5'!P78+'6'!P78+'7'!P78+'8'!P78+'9'!P78+'10'!P78+'11'!P78+'12'!P78+'13'!P78+'14'!P78+'15'!P78+'16'!P78+'17'!P78+'18'!P78+'19'!P78</f>
        <v>28</v>
      </c>
      <c r="R78" s="406"/>
    </row>
    <row r="79" spans="1:23" x14ac:dyDescent="0.3">
      <c r="A79" s="114"/>
      <c r="B79" s="115">
        <f>SUM(B55:B78)</f>
        <v>518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191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1244</v>
      </c>
      <c r="Q79" s="94">
        <f>'1'!Q79+'2'!P79+'3'!P79+'4'!P79+'5'!P79+'6'!P79+'7'!P79+'8'!P79+'9'!P79+'10'!P79+'11'!P79+'12'!P79+'13'!P79+'14'!P79+'15'!P79+'16'!P79+'17'!P79+'18'!P79+'19'!P79</f>
        <v>16878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0.86388888888888893</v>
      </c>
      <c r="Q80" s="431">
        <f>Q79/Q75</f>
        <v>0.83720238095238098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0.86388888888888893</v>
      </c>
      <c r="Q81" s="165">
        <f>Q79/Q60</f>
        <v>0.61688596491228065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52.928681672025718</v>
      </c>
      <c r="Q82" s="150">
        <f>(C26/1000)/(Q79/60)</f>
        <v>52.80471382865268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45.724499999999999</v>
      </c>
      <c r="Q83" s="113">
        <f>(C26/1000)/(Q75/60)</f>
        <v>44.208232142857142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34076</v>
      </c>
      <c r="Q84" s="100">
        <f>'1'!Q84+'2'!P84+'3'!P84+'4'!P84+'5'!P84+'6'!P84+'7'!P84+'8'!P84+'9'!P84+'10'!P84+'11'!P84+'12'!P84+'13'!P84+'14'!P84+'15'!P84+'16'!P84+'17'!P84+'18'!P84+'19'!P84</f>
        <v>486036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31.465670875509481</v>
      </c>
      <c r="Q85" s="124">
        <f>Q84/(K27/1000)</f>
        <v>33.264650795630146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204.98</v>
      </c>
      <c r="Q86" s="100">
        <f>'1'!Q86+'2'!P86+'3'!P86+'4'!P86+'5'!P86+'6'!P86+'7'!P86+'8'!P86+'9'!P86+'10'!P86+'11'!P86+'12'!P86+'13'!P86+'14'!P86+'15'!P86+'16'!P86+'17'!P86+'18'!P86+'19'!P86</f>
        <v>2783.91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190.00864855444931</v>
      </c>
      <c r="Q87" s="124">
        <f>(Q86*1000)/(K26/1000)</f>
        <v>191.33191662497183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78</v>
      </c>
      <c r="Q88" s="100">
        <f>'1'!Q88+'2'!P88+'3'!P88+'4'!P88+'5'!P88+'6'!P88+'7'!P88+'8'!P88+'9'!P88+'10'!P88+'11'!P88+'12'!P88+'13'!P88+'14'!P88+'15'!P88+'16'!P88+'17'!P88+'18'!P88+'19'!P88</f>
        <v>1691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7.2303027550234392E-2</v>
      </c>
      <c r="Q89" s="124">
        <f>Q88/(K26/1000)</f>
        <v>0.11621865326566856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"/>
  <sheetViews>
    <sheetView topLeftCell="A52" zoomScaleNormal="100" workbookViewId="0">
      <selection activeCell="R61" sqref="R61"/>
    </sheetView>
  </sheetViews>
  <sheetFormatPr defaultRowHeight="16.5" x14ac:dyDescent="0.3"/>
  <cols>
    <col min="1" max="1" width="8.71093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'19'!A3:Q3+1</f>
        <v>46042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221</v>
      </c>
      <c r="B7" s="15">
        <v>49</v>
      </c>
      <c r="C7" s="15">
        <v>103929</v>
      </c>
      <c r="D7" s="16"/>
      <c r="E7" s="17"/>
      <c r="F7" s="18"/>
      <c r="G7" s="19" t="s">
        <v>1</v>
      </c>
      <c r="H7" s="20">
        <v>9</v>
      </c>
      <c r="I7" s="21" t="s">
        <v>204</v>
      </c>
      <c r="J7" s="22">
        <v>49</v>
      </c>
      <c r="K7" s="17">
        <v>102528</v>
      </c>
      <c r="L7" s="23">
        <f t="shared" ref="L7:L18" si="0">K7/C7</f>
        <v>0.98651964321796615</v>
      </c>
      <c r="M7" s="17"/>
      <c r="N7" s="22"/>
      <c r="O7" s="134"/>
      <c r="P7" s="134"/>
      <c r="Q7" s="134"/>
    </row>
    <row r="8" spans="1:17" x14ac:dyDescent="0.3">
      <c r="A8" s="24" t="s">
        <v>205</v>
      </c>
      <c r="B8" s="25">
        <v>48</v>
      </c>
      <c r="C8" s="25">
        <v>100704</v>
      </c>
      <c r="D8" s="26"/>
      <c r="E8" s="27"/>
      <c r="F8" s="28"/>
      <c r="G8" s="29" t="s">
        <v>1</v>
      </c>
      <c r="H8" s="30">
        <v>9</v>
      </c>
      <c r="I8" s="31" t="s">
        <v>206</v>
      </c>
      <c r="J8" s="32">
        <v>48</v>
      </c>
      <c r="K8" s="33">
        <v>99117</v>
      </c>
      <c r="L8" s="34">
        <f t="shared" si="0"/>
        <v>0.98424094375595805</v>
      </c>
      <c r="M8" s="33"/>
      <c r="N8" s="32"/>
      <c r="O8" s="135"/>
      <c r="P8" s="135"/>
      <c r="Q8" s="135"/>
    </row>
    <row r="9" spans="1:17" x14ac:dyDescent="0.3">
      <c r="A9" s="24" t="s">
        <v>319</v>
      </c>
      <c r="B9" s="25">
        <v>90</v>
      </c>
      <c r="C9" s="25">
        <v>188460</v>
      </c>
      <c r="D9" s="26"/>
      <c r="E9" s="27"/>
      <c r="F9" s="28"/>
      <c r="G9" s="29" t="s">
        <v>1</v>
      </c>
      <c r="H9" s="30">
        <v>5.5</v>
      </c>
      <c r="I9" s="31" t="s">
        <v>318</v>
      </c>
      <c r="J9" s="32">
        <v>90</v>
      </c>
      <c r="K9" s="33">
        <v>186011</v>
      </c>
      <c r="L9" s="34">
        <f t="shared" si="0"/>
        <v>0.98700520004244929</v>
      </c>
      <c r="M9" s="33"/>
      <c r="N9" s="32"/>
      <c r="O9" s="135"/>
      <c r="P9" s="135"/>
      <c r="Q9" s="135"/>
    </row>
    <row r="10" spans="1:17" s="451" customFormat="1" x14ac:dyDescent="0.3">
      <c r="A10" s="24" t="s">
        <v>319</v>
      </c>
      <c r="B10" s="25">
        <v>26</v>
      </c>
      <c r="C10" s="25">
        <v>54444</v>
      </c>
      <c r="D10" s="26"/>
      <c r="E10" s="27"/>
      <c r="F10" s="28"/>
      <c r="G10" s="29" t="s">
        <v>1</v>
      </c>
      <c r="H10" s="30">
        <v>5.5</v>
      </c>
      <c r="I10" s="31" t="s">
        <v>203</v>
      </c>
      <c r="J10" s="32">
        <v>26</v>
      </c>
      <c r="K10" s="33">
        <v>53648</v>
      </c>
      <c r="L10" s="34">
        <f t="shared" ref="L10:L11" si="1">K10/C10</f>
        <v>0.98537947248548963</v>
      </c>
      <c r="M10" s="33"/>
      <c r="N10" s="32"/>
      <c r="O10" s="452"/>
      <c r="P10" s="452"/>
      <c r="Q10" s="452"/>
    </row>
    <row r="11" spans="1:17" s="451" customFormat="1" x14ac:dyDescent="0.3">
      <c r="A11" s="24" t="s">
        <v>244</v>
      </c>
      <c r="B11" s="25">
        <v>47</v>
      </c>
      <c r="C11" s="25">
        <v>100204</v>
      </c>
      <c r="D11" s="26"/>
      <c r="E11" s="27"/>
      <c r="F11" s="28"/>
      <c r="G11" s="29" t="s">
        <v>1</v>
      </c>
      <c r="H11" s="30">
        <v>5.5</v>
      </c>
      <c r="I11" s="31" t="s">
        <v>404</v>
      </c>
      <c r="J11" s="32">
        <v>47</v>
      </c>
      <c r="K11" s="33">
        <v>99290</v>
      </c>
      <c r="L11" s="34">
        <f t="shared" si="1"/>
        <v>0.99087860764041358</v>
      </c>
      <c r="M11" s="33"/>
      <c r="N11" s="32"/>
      <c r="O11" s="452"/>
      <c r="P11" s="452"/>
      <c r="Q11" s="452"/>
    </row>
    <row r="12" spans="1:17" x14ac:dyDescent="0.3">
      <c r="A12" s="35" t="s">
        <v>405</v>
      </c>
      <c r="B12" s="36">
        <v>1</v>
      </c>
      <c r="C12" s="36">
        <v>2119</v>
      </c>
      <c r="D12" s="37"/>
      <c r="E12" s="38"/>
      <c r="F12" s="18"/>
      <c r="G12" s="39" t="s">
        <v>1</v>
      </c>
      <c r="H12" s="40">
        <v>5.5</v>
      </c>
      <c r="I12" s="31" t="s">
        <v>404</v>
      </c>
      <c r="J12" s="41">
        <v>1</v>
      </c>
      <c r="K12" s="42">
        <v>2104</v>
      </c>
      <c r="L12" s="34">
        <f t="shared" si="0"/>
        <v>0.99292118924020767</v>
      </c>
      <c r="M12" s="33"/>
      <c r="N12" s="32"/>
      <c r="O12" s="135"/>
      <c r="P12" s="135"/>
      <c r="Q12" s="135"/>
    </row>
    <row r="13" spans="1:17" x14ac:dyDescent="0.3">
      <c r="A13" s="35" t="s">
        <v>406</v>
      </c>
      <c r="B13" s="36">
        <v>20</v>
      </c>
      <c r="C13" s="36">
        <v>41980</v>
      </c>
      <c r="D13" s="37"/>
      <c r="E13" s="38"/>
      <c r="F13" s="18"/>
      <c r="G13" s="39" t="s">
        <v>1</v>
      </c>
      <c r="H13" s="40">
        <v>5.5</v>
      </c>
      <c r="I13" s="31" t="s">
        <v>407</v>
      </c>
      <c r="J13" s="41">
        <v>20</v>
      </c>
      <c r="K13" s="42">
        <v>42314</v>
      </c>
      <c r="L13" s="34">
        <f t="shared" si="0"/>
        <v>1.0079561696045736</v>
      </c>
      <c r="M13" s="33"/>
      <c r="N13" s="32"/>
      <c r="O13" s="135"/>
      <c r="P13" s="135"/>
      <c r="Q13" s="135"/>
    </row>
    <row r="14" spans="1:17" x14ac:dyDescent="0.3">
      <c r="A14" s="35" t="s">
        <v>408</v>
      </c>
      <c r="B14" s="36">
        <v>28</v>
      </c>
      <c r="C14" s="36">
        <v>59808</v>
      </c>
      <c r="D14" s="37"/>
      <c r="E14" s="38"/>
      <c r="F14" s="18"/>
      <c r="G14" s="39" t="s">
        <v>1</v>
      </c>
      <c r="H14" s="40">
        <v>5.5</v>
      </c>
      <c r="I14" s="31" t="s">
        <v>407</v>
      </c>
      <c r="J14" s="41">
        <v>28</v>
      </c>
      <c r="K14" s="42">
        <v>59044</v>
      </c>
      <c r="L14" s="34">
        <f t="shared" si="0"/>
        <v>0.98722578919208137</v>
      </c>
      <c r="M14" s="33"/>
      <c r="N14" s="32"/>
      <c r="O14" s="135"/>
      <c r="P14" s="135"/>
      <c r="Q14" s="135"/>
    </row>
    <row r="15" spans="1:17" s="451" customFormat="1" x14ac:dyDescent="0.3">
      <c r="A15" s="35" t="s">
        <v>319</v>
      </c>
      <c r="B15" s="36">
        <v>54</v>
      </c>
      <c r="C15" s="36">
        <v>113076</v>
      </c>
      <c r="D15" s="37"/>
      <c r="E15" s="38"/>
      <c r="F15" s="18"/>
      <c r="G15" s="39" t="s">
        <v>1</v>
      </c>
      <c r="H15" s="40">
        <v>12</v>
      </c>
      <c r="I15" s="31" t="s">
        <v>318</v>
      </c>
      <c r="J15" s="41">
        <v>54</v>
      </c>
      <c r="K15" s="42">
        <v>111148</v>
      </c>
      <c r="L15" s="34">
        <f t="shared" si="0"/>
        <v>0.98294952067635921</v>
      </c>
      <c r="M15" s="33"/>
      <c r="N15" s="32"/>
      <c r="O15" s="452"/>
      <c r="P15" s="452"/>
      <c r="Q15" s="452"/>
    </row>
    <row r="16" spans="1:17" s="451" customFormat="1" x14ac:dyDescent="0.3">
      <c r="A16" s="35" t="s">
        <v>319</v>
      </c>
      <c r="B16" s="36">
        <v>54</v>
      </c>
      <c r="C16" s="36">
        <v>113076</v>
      </c>
      <c r="D16" s="37"/>
      <c r="E16" s="38"/>
      <c r="F16" s="18"/>
      <c r="G16" s="39" t="s">
        <v>1</v>
      </c>
      <c r="H16" s="40">
        <v>9.5</v>
      </c>
      <c r="I16" s="31" t="s">
        <v>318</v>
      </c>
      <c r="J16" s="41">
        <v>53</v>
      </c>
      <c r="K16" s="42">
        <v>109289</v>
      </c>
      <c r="L16" s="34">
        <f t="shared" si="0"/>
        <v>0.96650925041564961</v>
      </c>
      <c r="M16" s="33">
        <v>1</v>
      </c>
      <c r="N16" s="32">
        <v>2021</v>
      </c>
      <c r="O16" s="452"/>
      <c r="P16" s="452"/>
      <c r="Q16" s="452"/>
    </row>
    <row r="17" spans="1:17" x14ac:dyDescent="0.3">
      <c r="A17" s="35" t="s">
        <v>319</v>
      </c>
      <c r="B17" s="36">
        <v>67</v>
      </c>
      <c r="C17" s="36">
        <v>140298</v>
      </c>
      <c r="D17" s="37">
        <v>1</v>
      </c>
      <c r="E17" s="38">
        <v>2094</v>
      </c>
      <c r="F17" s="18">
        <f>E17/C17</f>
        <v>1.4925373134328358E-2</v>
      </c>
      <c r="G17" s="39" t="s">
        <v>1</v>
      </c>
      <c r="H17" s="40">
        <v>7.5</v>
      </c>
      <c r="I17" s="31" t="s">
        <v>318</v>
      </c>
      <c r="J17" s="41">
        <v>66</v>
      </c>
      <c r="K17" s="42">
        <v>136302</v>
      </c>
      <c r="L17" s="34">
        <f t="shared" si="0"/>
        <v>0.97151776931959111</v>
      </c>
      <c r="M17" s="33"/>
      <c r="N17" s="32"/>
      <c r="O17" s="135"/>
      <c r="P17" s="135"/>
      <c r="Q17" s="135"/>
    </row>
    <row r="18" spans="1:17" x14ac:dyDescent="0.3">
      <c r="A18" s="48"/>
      <c r="B18" s="48">
        <f>SUM(B7:B17)</f>
        <v>484</v>
      </c>
      <c r="C18" s="48">
        <f>SUM(C7:C17)</f>
        <v>1018098</v>
      </c>
      <c r="D18" s="49">
        <f>SUM(D7:D17)</f>
        <v>1</v>
      </c>
      <c r="E18" s="50">
        <f>SUM(E7:E17)</f>
        <v>2094</v>
      </c>
      <c r="F18" s="51">
        <f>E18/C18</f>
        <v>2.0567764596335519E-3</v>
      </c>
      <c r="G18" s="52"/>
      <c r="H18" s="2"/>
      <c r="I18" s="2"/>
      <c r="J18" s="53">
        <f>SUM(J7:J17)</f>
        <v>482</v>
      </c>
      <c r="K18" s="53">
        <f>SUM(K7:K17)</f>
        <v>1000795</v>
      </c>
      <c r="L18" s="51">
        <f t="shared" si="0"/>
        <v>0.98300458305585514</v>
      </c>
      <c r="M18" s="50">
        <f>SUM(M7:M17)</f>
        <v>1</v>
      </c>
      <c r="N18" s="54">
        <f>SUM(N7:N17)</f>
        <v>2021</v>
      </c>
      <c r="O18" s="134"/>
      <c r="P18" s="134"/>
      <c r="Q18" s="134"/>
    </row>
    <row r="19" spans="1:17" x14ac:dyDescent="0.3">
      <c r="A19" s="511" t="s">
        <v>20</v>
      </c>
      <c r="B19" s="511"/>
      <c r="C19" s="511"/>
      <c r="D19" s="511"/>
      <c r="E19" s="511"/>
      <c r="F19" s="511"/>
      <c r="G19" s="511"/>
      <c r="H19" s="511"/>
      <c r="I19" s="511"/>
      <c r="J19" s="512"/>
      <c r="K19" s="53">
        <f>K18+N18</f>
        <v>1002816</v>
      </c>
      <c r="L19" s="51">
        <f>K19/C18</f>
        <v>0.98498965718427889</v>
      </c>
      <c r="M19" s="134"/>
      <c r="N19" s="134"/>
      <c r="O19" s="134"/>
      <c r="P19" s="134"/>
      <c r="Q19" s="134"/>
    </row>
    <row r="20" spans="1:17" x14ac:dyDescent="0.3">
      <c r="A20" s="55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135"/>
      <c r="P20" s="135"/>
      <c r="Q20" s="135"/>
    </row>
    <row r="21" spans="1:17" x14ac:dyDescent="0.3">
      <c r="A21" s="513" t="s">
        <v>5</v>
      </c>
      <c r="B21" s="514"/>
      <c r="C21" s="514"/>
      <c r="D21" s="514"/>
      <c r="E21" s="514"/>
      <c r="F21" s="515"/>
      <c r="G21" s="513" t="s">
        <v>6</v>
      </c>
      <c r="H21" s="516"/>
      <c r="I21" s="516"/>
      <c r="J21" s="516"/>
      <c r="K21" s="516"/>
      <c r="L21" s="516"/>
      <c r="M21" s="471"/>
      <c r="N21" s="472"/>
      <c r="O21" s="134"/>
      <c r="P21" s="134"/>
      <c r="Q21" s="134"/>
    </row>
    <row r="22" spans="1:17" x14ac:dyDescent="0.3">
      <c r="A22" s="517" t="s">
        <v>7</v>
      </c>
      <c r="B22" s="518"/>
      <c r="C22" s="471"/>
      <c r="D22" s="519" t="s">
        <v>8</v>
      </c>
      <c r="E22" s="519"/>
      <c r="F22" s="519"/>
      <c r="G22" s="517" t="s">
        <v>22</v>
      </c>
      <c r="H22" s="516"/>
      <c r="I22" s="516"/>
      <c r="J22" s="471"/>
      <c r="K22" s="471"/>
      <c r="L22" s="472"/>
      <c r="M22" s="517" t="s">
        <v>10</v>
      </c>
      <c r="N22" s="472"/>
      <c r="O22" s="134"/>
      <c r="P22" s="134"/>
      <c r="Q22" s="134"/>
    </row>
    <row r="23" spans="1:17" x14ac:dyDescent="0.3">
      <c r="A23" s="520"/>
      <c r="B23" s="379" t="s">
        <v>12</v>
      </c>
      <c r="C23" s="379" t="s">
        <v>13</v>
      </c>
      <c r="D23" s="379" t="s">
        <v>12</v>
      </c>
      <c r="E23" s="379" t="s">
        <v>13</v>
      </c>
      <c r="F23" s="9" t="s">
        <v>14</v>
      </c>
      <c r="G23" s="9" t="s">
        <v>15</v>
      </c>
      <c r="H23" s="56"/>
      <c r="I23" s="56"/>
      <c r="J23" s="13" t="s">
        <v>18</v>
      </c>
      <c r="K23" s="379" t="s">
        <v>13</v>
      </c>
      <c r="L23" s="9" t="s">
        <v>19</v>
      </c>
      <c r="M23" s="13" t="s">
        <v>18</v>
      </c>
      <c r="N23" s="379" t="s">
        <v>13</v>
      </c>
      <c r="O23" s="134"/>
      <c r="P23" s="134"/>
      <c r="Q23" s="134"/>
    </row>
    <row r="24" spans="1:17" x14ac:dyDescent="0.3">
      <c r="A24" s="521"/>
      <c r="B24" s="57">
        <f>'19'!B22+'20'!B18</f>
        <v>6361</v>
      </c>
      <c r="C24" s="57">
        <f>'19'!C22+'20'!C18</f>
        <v>13437193</v>
      </c>
      <c r="D24" s="57">
        <f>'19'!D22+'20'!D18</f>
        <v>14</v>
      </c>
      <c r="E24" s="57">
        <f>'19'!E22+'20'!E18</f>
        <v>29600</v>
      </c>
      <c r="F24" s="423">
        <f>E24/C24</f>
        <v>2.2028410249075084E-3</v>
      </c>
      <c r="G24" s="58" t="s">
        <v>1</v>
      </c>
      <c r="H24" s="59"/>
      <c r="I24" s="59"/>
      <c r="J24" s="57">
        <f>'19'!J22+'20'!J18</f>
        <v>6320</v>
      </c>
      <c r="K24" s="57">
        <f>'19'!K22+'20'!K18</f>
        <v>13171240</v>
      </c>
      <c r="L24" s="60">
        <f>K24/C24</f>
        <v>0.98020769665212071</v>
      </c>
      <c r="M24" s="57">
        <f>'19'!M22+'20'!M18</f>
        <v>27</v>
      </c>
      <c r="N24" s="57">
        <f>'19'!N22+'20'!N18</f>
        <v>55385</v>
      </c>
      <c r="O24" s="135"/>
      <c r="P24" s="135"/>
      <c r="Q24" s="135"/>
    </row>
    <row r="25" spans="1:17" x14ac:dyDescent="0.3">
      <c r="A25" s="521"/>
      <c r="B25" s="61">
        <f>'19'!B23</f>
        <v>1160</v>
      </c>
      <c r="C25" s="61">
        <f>'19'!C23</f>
        <v>2434871</v>
      </c>
      <c r="D25" s="61">
        <f>'19'!D23</f>
        <v>6</v>
      </c>
      <c r="E25" s="61">
        <f>'19'!E23</f>
        <v>12633</v>
      </c>
      <c r="F25" s="424">
        <f>E25/C25</f>
        <v>5.1883652152413823E-3</v>
      </c>
      <c r="G25" s="381" t="s">
        <v>195</v>
      </c>
      <c r="H25" s="59"/>
      <c r="I25" s="59"/>
      <c r="J25" s="61">
        <f>'19'!J23</f>
        <v>1150</v>
      </c>
      <c r="K25" s="61">
        <f>'19'!K23</f>
        <v>2379715</v>
      </c>
      <c r="L25" s="382">
        <f t="shared" ref="L25:L26" si="2">K25/C25</f>
        <v>0.97734746522505711</v>
      </c>
      <c r="M25" s="61">
        <f>'19'!M23</f>
        <v>4</v>
      </c>
      <c r="N25" s="61">
        <f>'19'!N23</f>
        <v>7662</v>
      </c>
      <c r="O25" s="135"/>
      <c r="P25" s="135"/>
      <c r="Q25" s="135"/>
    </row>
    <row r="26" spans="1:17" x14ac:dyDescent="0.3">
      <c r="A26" s="521"/>
      <c r="B26" s="61">
        <f>'19'!B24</f>
        <v>0</v>
      </c>
      <c r="C26" s="61">
        <f>'19'!C24</f>
        <v>0</v>
      </c>
      <c r="D26" s="61">
        <f>'19'!D24</f>
        <v>0</v>
      </c>
      <c r="E26" s="61">
        <f>'19'!E24</f>
        <v>0</v>
      </c>
      <c r="F26" s="424" t="e">
        <f t="shared" ref="F26" si="3">E26/C26</f>
        <v>#DIV/0!</v>
      </c>
      <c r="G26" s="381" t="s">
        <v>196</v>
      </c>
      <c r="H26" s="59"/>
      <c r="I26" s="59"/>
      <c r="J26" s="61">
        <f>'19'!J24</f>
        <v>0</v>
      </c>
      <c r="K26" s="61">
        <f>'19'!K24</f>
        <v>0</v>
      </c>
      <c r="L26" s="382" t="e">
        <f t="shared" si="2"/>
        <v>#DIV/0!</v>
      </c>
      <c r="M26" s="61">
        <f>'19'!M24</f>
        <v>0</v>
      </c>
      <c r="N26" s="61">
        <f>'19'!N24</f>
        <v>0</v>
      </c>
      <c r="O26" s="135"/>
      <c r="P26" s="135"/>
      <c r="Q26" s="135"/>
    </row>
    <row r="27" spans="1:17" x14ac:dyDescent="0.3">
      <c r="A27" s="521"/>
      <c r="B27" s="61"/>
      <c r="C27" s="62"/>
      <c r="D27" s="63"/>
      <c r="E27" s="64"/>
      <c r="F27" s="34"/>
      <c r="G27" s="34"/>
      <c r="H27" s="133"/>
      <c r="I27" s="133"/>
      <c r="J27" s="65"/>
      <c r="K27" s="62"/>
      <c r="L27" s="34"/>
      <c r="M27" s="65"/>
      <c r="N27" s="66"/>
      <c r="O27" s="135"/>
      <c r="P27" s="135"/>
      <c r="Q27" s="135"/>
    </row>
    <row r="28" spans="1:17" x14ac:dyDescent="0.3">
      <c r="A28" s="522"/>
      <c r="B28" s="67">
        <f>SUM(B23:B27)</f>
        <v>7521</v>
      </c>
      <c r="C28" s="68">
        <f>SUM(C23:C27)</f>
        <v>15872064</v>
      </c>
      <c r="D28" s="49">
        <f>SUM(D23:D27)</f>
        <v>20</v>
      </c>
      <c r="E28" s="69">
        <f>SUM(E24:E27)</f>
        <v>42233</v>
      </c>
      <c r="F28" s="51">
        <f>E28/C28</f>
        <v>2.6608385651670759E-3</v>
      </c>
      <c r="G28" s="51"/>
      <c r="H28" s="70"/>
      <c r="I28" s="70"/>
      <c r="J28" s="71">
        <f>SUM(J24:J27)</f>
        <v>7470</v>
      </c>
      <c r="K28" s="68">
        <f>SUM(K24:K27)</f>
        <v>15550955</v>
      </c>
      <c r="L28" s="51">
        <f>K28/C28</f>
        <v>0.97976891978258152</v>
      </c>
      <c r="M28" s="71">
        <f>SUM(M24:M27)</f>
        <v>31</v>
      </c>
      <c r="N28" s="54">
        <f>SUM(N24:N27)</f>
        <v>63047</v>
      </c>
      <c r="O28" s="134"/>
      <c r="P28" s="134"/>
      <c r="Q28" s="134"/>
    </row>
    <row r="29" spans="1:17" x14ac:dyDescent="0.3">
      <c r="A29" s="523" t="s">
        <v>20</v>
      </c>
      <c r="B29" s="524"/>
      <c r="C29" s="524"/>
      <c r="D29" s="525"/>
      <c r="E29" s="525"/>
      <c r="F29" s="525"/>
      <c r="G29" s="525"/>
      <c r="H29" s="525"/>
      <c r="I29" s="525"/>
      <c r="J29" s="526"/>
      <c r="K29" s="68">
        <f>K28+N28</f>
        <v>15614002</v>
      </c>
      <c r="L29" s="51">
        <f>K29/C28</f>
        <v>0.98374111898742345</v>
      </c>
      <c r="M29" s="134"/>
      <c r="N29" s="134"/>
      <c r="O29" s="134"/>
      <c r="P29" s="134"/>
      <c r="Q29" s="134"/>
    </row>
    <row r="30" spans="1:17" x14ac:dyDescent="0.3">
      <c r="A30" s="72"/>
      <c r="B30" s="73"/>
      <c r="C30" s="73"/>
      <c r="D30" s="135"/>
      <c r="E30" s="135"/>
      <c r="F30" s="135"/>
      <c r="G30" s="135"/>
      <c r="H30" s="135"/>
      <c r="I30" s="135"/>
      <c r="J30" s="135"/>
      <c r="K30" s="74"/>
      <c r="L30" s="75"/>
      <c r="M30" s="135"/>
      <c r="N30" s="135"/>
      <c r="O30" s="135"/>
      <c r="P30" s="135"/>
      <c r="Q30" s="135"/>
    </row>
    <row r="31" spans="1:17" x14ac:dyDescent="0.3">
      <c r="A31" s="11" t="s">
        <v>15</v>
      </c>
      <c r="B31" s="11" t="s">
        <v>16</v>
      </c>
      <c r="C31" s="11" t="s">
        <v>17</v>
      </c>
      <c r="D31" s="11" t="s">
        <v>18</v>
      </c>
      <c r="E31" s="11" t="s">
        <v>13</v>
      </c>
      <c r="F31" s="76"/>
      <c r="G31" s="11" t="s">
        <v>15</v>
      </c>
      <c r="H31" s="11" t="s">
        <v>16</v>
      </c>
      <c r="I31" s="11" t="s">
        <v>17</v>
      </c>
      <c r="J31" s="11" t="s">
        <v>18</v>
      </c>
      <c r="K31" s="11" t="s">
        <v>13</v>
      </c>
      <c r="L31" s="76"/>
      <c r="M31" s="11" t="s">
        <v>15</v>
      </c>
      <c r="N31" s="11" t="s">
        <v>16</v>
      </c>
      <c r="O31" s="11" t="s">
        <v>17</v>
      </c>
      <c r="P31" s="11" t="s">
        <v>18</v>
      </c>
      <c r="Q31" s="11" t="s">
        <v>13</v>
      </c>
    </row>
    <row r="32" spans="1:17" x14ac:dyDescent="0.3">
      <c r="A32" s="307" t="str">
        <f>'19'!A30</f>
        <v>BIC</v>
      </c>
      <c r="B32" s="307" t="str">
        <f>'19'!B30</f>
        <v>P.6</v>
      </c>
      <c r="C32" s="307" t="str">
        <f>'19'!C30</f>
        <v>BjTPG280</v>
      </c>
      <c r="D32" s="308">
        <f>'19'!D30</f>
        <v>239</v>
      </c>
      <c r="E32" s="308">
        <f>'19'!E30</f>
        <v>497038</v>
      </c>
      <c r="F32" s="79"/>
      <c r="G32" s="307" t="str">
        <f>'19'!G30</f>
        <v>WR</v>
      </c>
      <c r="H32" s="309">
        <f>'19'!H30</f>
        <v>18</v>
      </c>
      <c r="I32" s="309">
        <f>'19'!I30</f>
        <v>8</v>
      </c>
      <c r="J32" s="170">
        <f>'19'!J30</f>
        <v>68</v>
      </c>
      <c r="K32" s="310">
        <f>'19'!K30</f>
        <v>140152</v>
      </c>
      <c r="L32" s="79"/>
      <c r="M32" s="307" t="str">
        <f>'19'!M30</f>
        <v>WR</v>
      </c>
      <c r="N32" s="309">
        <f>'19'!N30</f>
        <v>0</v>
      </c>
      <c r="O32" s="309">
        <f>'19'!O30</f>
        <v>0</v>
      </c>
      <c r="P32" s="170">
        <f>'19'!P30</f>
        <v>0</v>
      </c>
      <c r="Q32" s="310">
        <f>'19'!Q30</f>
        <v>0</v>
      </c>
    </row>
    <row r="33" spans="1:17" x14ac:dyDescent="0.3">
      <c r="A33" s="307" t="str">
        <f>'19'!A31</f>
        <v>WR</v>
      </c>
      <c r="B33" s="307">
        <f>'19'!B31</f>
        <v>6.5</v>
      </c>
      <c r="C33" s="307">
        <f>'19'!C31</f>
        <v>8</v>
      </c>
      <c r="D33" s="308">
        <f>'19'!D31</f>
        <v>144</v>
      </c>
      <c r="E33" s="308">
        <f>'19'!E31</f>
        <v>301505</v>
      </c>
      <c r="F33" s="135"/>
      <c r="G33" s="307" t="str">
        <f>'19'!G31</f>
        <v>WR</v>
      </c>
      <c r="H33" s="309">
        <f>'19'!H31</f>
        <v>7.5</v>
      </c>
      <c r="I33" s="309">
        <f>'19'!I31</f>
        <v>8</v>
      </c>
      <c r="J33" s="170">
        <f>'19'!J31</f>
        <v>96</v>
      </c>
      <c r="K33" s="310">
        <f>'19'!K31</f>
        <v>200884</v>
      </c>
      <c r="L33" s="135"/>
      <c r="M33" s="307" t="str">
        <f>'19'!M31</f>
        <v>WR</v>
      </c>
      <c r="N33" s="309">
        <f>'19'!N31</f>
        <v>0</v>
      </c>
      <c r="O33" s="309">
        <f>'19'!O31</f>
        <v>0</v>
      </c>
      <c r="P33" s="170">
        <f>'19'!P31</f>
        <v>0</v>
      </c>
      <c r="Q33" s="310">
        <f>'19'!Q31</f>
        <v>0</v>
      </c>
    </row>
    <row r="34" spans="1:17" x14ac:dyDescent="0.3">
      <c r="A34" s="307" t="str">
        <f>'19'!A32</f>
        <v>WR</v>
      </c>
      <c r="B34" s="307">
        <f>'19'!B32</f>
        <v>6.5</v>
      </c>
      <c r="C34" s="307">
        <f>'19'!C32</f>
        <v>10</v>
      </c>
      <c r="D34" s="308">
        <f>'19'!D32</f>
        <v>48</v>
      </c>
      <c r="E34" s="308">
        <f>'19'!E32</f>
        <v>99149</v>
      </c>
      <c r="F34" s="135"/>
      <c r="G34" s="307" t="str">
        <f>'19'!G32</f>
        <v>WR</v>
      </c>
      <c r="H34" s="309">
        <f>'19'!H32</f>
        <v>7.5</v>
      </c>
      <c r="I34" s="309">
        <f>'19'!I32</f>
        <v>15</v>
      </c>
      <c r="J34" s="310">
        <f>'19'!J32+J17</f>
        <v>540</v>
      </c>
      <c r="K34" s="310">
        <f>'19'!K32+K17</f>
        <v>1118240</v>
      </c>
      <c r="L34" s="135"/>
      <c r="M34" s="307" t="str">
        <f>'19'!M32</f>
        <v>WR</v>
      </c>
      <c r="N34" s="309">
        <f>'19'!N32</f>
        <v>0</v>
      </c>
      <c r="O34" s="309">
        <f>'19'!O32</f>
        <v>0</v>
      </c>
      <c r="P34" s="170">
        <f>'19'!P32</f>
        <v>0</v>
      </c>
      <c r="Q34" s="310">
        <f>'19'!Q32</f>
        <v>0</v>
      </c>
    </row>
    <row r="35" spans="1:17" x14ac:dyDescent="0.3">
      <c r="A35" s="307" t="str">
        <f>'19'!A33</f>
        <v>WR</v>
      </c>
      <c r="B35" s="307">
        <f>'19'!B33</f>
        <v>6.5</v>
      </c>
      <c r="C35" s="307">
        <f>'19'!C33</f>
        <v>15</v>
      </c>
      <c r="D35" s="308">
        <f>'19'!D33</f>
        <v>6</v>
      </c>
      <c r="E35" s="308">
        <f>'19'!E33</f>
        <v>12304</v>
      </c>
      <c r="F35" s="135"/>
      <c r="G35" s="307" t="str">
        <f>'19'!G33</f>
        <v>WR</v>
      </c>
      <c r="H35" s="309">
        <f>'19'!H33</f>
        <v>5.5</v>
      </c>
      <c r="I35" s="309">
        <f>'19'!I33</f>
        <v>22</v>
      </c>
      <c r="J35" s="170">
        <f>'19'!J33</f>
        <v>436</v>
      </c>
      <c r="K35" s="310">
        <f>'19'!K33</f>
        <v>893285</v>
      </c>
      <c r="L35" s="135"/>
      <c r="M35" s="307" t="str">
        <f>'19'!M33</f>
        <v>WR</v>
      </c>
      <c r="N35" s="309">
        <f>'19'!N33</f>
        <v>0</v>
      </c>
      <c r="O35" s="309">
        <f>'19'!O33</f>
        <v>0</v>
      </c>
      <c r="P35" s="170">
        <f>'19'!P33</f>
        <v>0</v>
      </c>
      <c r="Q35" s="310">
        <f>'19'!Q33</f>
        <v>0</v>
      </c>
    </row>
    <row r="36" spans="1:17" x14ac:dyDescent="0.3">
      <c r="A36" s="307" t="str">
        <f>'19'!A34</f>
        <v>WR</v>
      </c>
      <c r="B36" s="307">
        <f>'19'!B34</f>
        <v>5.5</v>
      </c>
      <c r="C36" s="307">
        <f>'19'!C34</f>
        <v>6</v>
      </c>
      <c r="D36" s="308">
        <f>'19'!D34</f>
        <v>959</v>
      </c>
      <c r="E36" s="308">
        <f>'19'!E34</f>
        <v>2011148</v>
      </c>
      <c r="F36" s="135"/>
      <c r="G36" s="307" t="str">
        <f>'19'!G34</f>
        <v>WR</v>
      </c>
      <c r="H36" s="309">
        <f>'19'!H34</f>
        <v>5.5</v>
      </c>
      <c r="I36" s="309">
        <f>'19'!I34</f>
        <v>1045</v>
      </c>
      <c r="J36" s="170">
        <f>'19'!J34</f>
        <v>50</v>
      </c>
      <c r="K36" s="310">
        <f>'19'!K34</f>
        <v>104556</v>
      </c>
      <c r="L36" s="135"/>
      <c r="M36" s="307" t="str">
        <f>'19'!M34</f>
        <v>WR</v>
      </c>
      <c r="N36" s="309">
        <f>'19'!N34</f>
        <v>0</v>
      </c>
      <c r="O36" s="309">
        <f>'19'!O34</f>
        <v>0</v>
      </c>
      <c r="P36" s="170">
        <f>'19'!P34</f>
        <v>0</v>
      </c>
      <c r="Q36" s="310">
        <f>'19'!Q34</f>
        <v>0</v>
      </c>
    </row>
    <row r="37" spans="1:17" x14ac:dyDescent="0.3">
      <c r="A37" s="307" t="str">
        <f>'19'!A35</f>
        <v>WR</v>
      </c>
      <c r="B37" s="307">
        <f>'19'!B35</f>
        <v>5.5</v>
      </c>
      <c r="C37" s="307" t="str">
        <f>'19'!C35</f>
        <v>8.A</v>
      </c>
      <c r="D37" s="308">
        <f>'19'!D35</f>
        <v>75</v>
      </c>
      <c r="E37" s="308">
        <f>'19'!E35</f>
        <v>157414</v>
      </c>
      <c r="F37" s="135"/>
      <c r="G37" s="307" t="str">
        <f>'19'!G35</f>
        <v>WR</v>
      </c>
      <c r="H37" s="309">
        <f>'19'!H35</f>
        <v>9.5</v>
      </c>
      <c r="I37" s="309">
        <f>'19'!I35</f>
        <v>15</v>
      </c>
      <c r="J37" s="310">
        <f>'19'!J35+J16</f>
        <v>322</v>
      </c>
      <c r="K37" s="310">
        <f>'19'!K35+K16</f>
        <v>664963</v>
      </c>
      <c r="L37" s="135"/>
      <c r="M37" s="307" t="str">
        <f>'19'!M35</f>
        <v>WR</v>
      </c>
      <c r="N37" s="309">
        <f>'19'!N35</f>
        <v>0</v>
      </c>
      <c r="O37" s="309">
        <f>'19'!O35</f>
        <v>0</v>
      </c>
      <c r="P37" s="170">
        <f>'19'!P35</f>
        <v>0</v>
      </c>
      <c r="Q37" s="310">
        <f>'19'!Q35</f>
        <v>0</v>
      </c>
    </row>
    <row r="38" spans="1:17" x14ac:dyDescent="0.3">
      <c r="A38" s="307" t="str">
        <f>'19'!A36</f>
        <v>WR</v>
      </c>
      <c r="B38" s="307">
        <f>'19'!B36</f>
        <v>5.5</v>
      </c>
      <c r="C38" s="307" t="str">
        <f>'19'!C36</f>
        <v>22.A</v>
      </c>
      <c r="D38" s="308">
        <f>'19'!D36</f>
        <v>669</v>
      </c>
      <c r="E38" s="308">
        <f>'19'!E36</f>
        <v>1393156</v>
      </c>
      <c r="F38" s="135"/>
      <c r="G38" s="307" t="str">
        <f>'19'!G36</f>
        <v>WR</v>
      </c>
      <c r="H38" s="309">
        <f>'19'!H36</f>
        <v>12</v>
      </c>
      <c r="I38" s="309">
        <f>'19'!I36</f>
        <v>8</v>
      </c>
      <c r="J38" s="170">
        <f>'19'!J36</f>
        <v>143</v>
      </c>
      <c r="K38" s="310">
        <f>'19'!K36</f>
        <v>298814</v>
      </c>
      <c r="L38" s="135"/>
      <c r="M38" s="307" t="str">
        <f>'19'!M36</f>
        <v>WR</v>
      </c>
      <c r="N38" s="309">
        <f>'19'!N36</f>
        <v>0</v>
      </c>
      <c r="O38" s="309">
        <f>'19'!O36</f>
        <v>0</v>
      </c>
      <c r="P38" s="170">
        <f>'19'!P36</f>
        <v>0</v>
      </c>
      <c r="Q38" s="310">
        <f>'19'!Q36</f>
        <v>0</v>
      </c>
    </row>
    <row r="39" spans="1:17" x14ac:dyDescent="0.3">
      <c r="A39" s="307" t="str">
        <f>'19'!A37</f>
        <v>WR</v>
      </c>
      <c r="B39" s="307">
        <f>'19'!B37</f>
        <v>5.5</v>
      </c>
      <c r="C39" s="307" t="str">
        <f>'19'!C37</f>
        <v>Y.11</v>
      </c>
      <c r="D39" s="308">
        <f>'19'!D37</f>
        <v>813</v>
      </c>
      <c r="E39" s="308">
        <f>'19'!E37</f>
        <v>1702656</v>
      </c>
      <c r="F39" s="135"/>
      <c r="G39" s="307" t="str">
        <f>'19'!G37</f>
        <v>WR</v>
      </c>
      <c r="H39" s="309">
        <f>'19'!H37</f>
        <v>9</v>
      </c>
      <c r="I39" s="309">
        <f>'19'!I37</f>
        <v>8</v>
      </c>
      <c r="J39" s="310">
        <f>'19'!J37+J7</f>
        <v>191</v>
      </c>
      <c r="K39" s="310">
        <f>'19'!K37+K7</f>
        <v>398927</v>
      </c>
      <c r="L39" s="135"/>
      <c r="M39" s="307" t="str">
        <f>'19'!M37</f>
        <v>WR</v>
      </c>
      <c r="N39" s="309">
        <f>'19'!N37</f>
        <v>0</v>
      </c>
      <c r="O39" s="309">
        <f>'19'!O37</f>
        <v>0</v>
      </c>
      <c r="P39" s="170">
        <f>'19'!P37</f>
        <v>0</v>
      </c>
      <c r="Q39" s="310">
        <f>'19'!Q37</f>
        <v>0</v>
      </c>
    </row>
    <row r="40" spans="1:17" x14ac:dyDescent="0.3">
      <c r="A40" s="307" t="str">
        <f>'19'!A38</f>
        <v>WR</v>
      </c>
      <c r="B40" s="307">
        <f>'19'!B38</f>
        <v>5.5</v>
      </c>
      <c r="C40" s="307" t="str">
        <f>'19'!C38</f>
        <v>67.A</v>
      </c>
      <c r="D40" s="308">
        <f>'19'!D38+J11+J12</f>
        <v>120</v>
      </c>
      <c r="E40" s="308">
        <f>'19'!E38+K11+K12</f>
        <v>253576</v>
      </c>
      <c r="F40" s="135"/>
      <c r="G40" s="307" t="str">
        <f>'19'!G38</f>
        <v>WR</v>
      </c>
      <c r="H40" s="309">
        <v>9</v>
      </c>
      <c r="I40" s="309">
        <v>10</v>
      </c>
      <c r="J40" s="310">
        <f>J8</f>
        <v>48</v>
      </c>
      <c r="K40" s="310">
        <f>K8</f>
        <v>99117</v>
      </c>
      <c r="L40" s="135"/>
      <c r="M40" s="307" t="str">
        <f>'19'!M38</f>
        <v>WR</v>
      </c>
      <c r="N40" s="309">
        <f>'19'!N38</f>
        <v>0</v>
      </c>
      <c r="O40" s="309">
        <f>'19'!O38</f>
        <v>0</v>
      </c>
      <c r="P40" s="170">
        <f>'19'!P38</f>
        <v>0</v>
      </c>
      <c r="Q40" s="310">
        <f>'19'!Q38</f>
        <v>0</v>
      </c>
    </row>
    <row r="41" spans="1:17" x14ac:dyDescent="0.3">
      <c r="A41" s="307" t="str">
        <f>'19'!A39</f>
        <v>BIC</v>
      </c>
      <c r="B41" s="307" t="str">
        <f>'19'!B39</f>
        <v>P.8</v>
      </c>
      <c r="C41" s="307" t="str">
        <f>'19'!C39</f>
        <v>BjTPG280</v>
      </c>
      <c r="D41" s="308">
        <f>'19'!D39</f>
        <v>240</v>
      </c>
      <c r="E41" s="308">
        <f>'19'!E39</f>
        <v>499780</v>
      </c>
      <c r="F41" s="135"/>
      <c r="G41" s="307" t="str">
        <f>'19'!G39</f>
        <v>WR</v>
      </c>
      <c r="H41" s="309">
        <v>5.5</v>
      </c>
      <c r="I41" s="309">
        <v>15</v>
      </c>
      <c r="J41" s="310">
        <f>J9+J10</f>
        <v>116</v>
      </c>
      <c r="K41" s="310">
        <f>K9+K10</f>
        <v>239659</v>
      </c>
      <c r="L41" s="135"/>
      <c r="M41" s="307" t="str">
        <f>'19'!M39</f>
        <v>WR</v>
      </c>
      <c r="N41" s="309">
        <f>'19'!N39</f>
        <v>0</v>
      </c>
      <c r="O41" s="309">
        <f>'19'!O39</f>
        <v>0</v>
      </c>
      <c r="P41" s="170">
        <f>'19'!P39</f>
        <v>0</v>
      </c>
      <c r="Q41" s="310">
        <f>'19'!Q39</f>
        <v>0</v>
      </c>
    </row>
    <row r="42" spans="1:17" x14ac:dyDescent="0.3">
      <c r="A42" s="307" t="str">
        <f>'19'!A40</f>
        <v>BIC</v>
      </c>
      <c r="B42" s="307" t="str">
        <f>'19'!B40</f>
        <v>S.8</v>
      </c>
      <c r="C42" s="307" t="str">
        <f>'19'!C40</f>
        <v>BjTSG420</v>
      </c>
      <c r="D42" s="308">
        <f>'19'!D40</f>
        <v>335</v>
      </c>
      <c r="E42" s="308">
        <f>'19'!E40</f>
        <v>688721</v>
      </c>
      <c r="F42" s="135"/>
      <c r="G42" s="307" t="str">
        <f>'19'!G40</f>
        <v>WR</v>
      </c>
      <c r="H42" s="309">
        <v>5.5</v>
      </c>
      <c r="I42" s="309" t="s">
        <v>409</v>
      </c>
      <c r="J42" s="310">
        <f>J13+J14</f>
        <v>48</v>
      </c>
      <c r="K42" s="310">
        <f>K13+K14</f>
        <v>101358</v>
      </c>
      <c r="L42" s="135"/>
      <c r="M42" s="307" t="str">
        <f>'19'!M40</f>
        <v>WR</v>
      </c>
      <c r="N42" s="309">
        <f>'19'!N40</f>
        <v>0</v>
      </c>
      <c r="O42" s="309">
        <f>'19'!O40</f>
        <v>0</v>
      </c>
      <c r="P42" s="170">
        <f>'19'!P40</f>
        <v>0</v>
      </c>
      <c r="Q42" s="310">
        <f>'19'!Q40</f>
        <v>0</v>
      </c>
    </row>
    <row r="43" spans="1:17" x14ac:dyDescent="0.3">
      <c r="A43" s="307" t="str">
        <f>'19'!A41</f>
        <v>BIC</v>
      </c>
      <c r="B43" s="307" t="str">
        <f>'19'!B41</f>
        <v>S.10</v>
      </c>
      <c r="C43" s="307" t="str">
        <f>'19'!C41</f>
        <v>BjTSG420</v>
      </c>
      <c r="D43" s="308">
        <f>'19'!D41</f>
        <v>144</v>
      </c>
      <c r="E43" s="308">
        <f>'19'!E41</f>
        <v>295842</v>
      </c>
      <c r="F43" s="135"/>
      <c r="G43" s="307" t="str">
        <f>'19'!G41</f>
        <v>WR</v>
      </c>
      <c r="H43" s="309">
        <v>12</v>
      </c>
      <c r="I43" s="309">
        <v>15</v>
      </c>
      <c r="J43" s="310">
        <f>J15</f>
        <v>54</v>
      </c>
      <c r="K43" s="310">
        <f>K15</f>
        <v>111148</v>
      </c>
      <c r="L43" s="135"/>
      <c r="M43" s="307" t="str">
        <f>'19'!M41</f>
        <v>WR</v>
      </c>
      <c r="N43" s="309">
        <f>'19'!N41</f>
        <v>0</v>
      </c>
      <c r="O43" s="309">
        <f>'19'!O41</f>
        <v>0</v>
      </c>
      <c r="P43" s="170">
        <f>'19'!P41</f>
        <v>0</v>
      </c>
      <c r="Q43" s="310">
        <f>'19'!Q41</f>
        <v>0</v>
      </c>
    </row>
    <row r="44" spans="1:17" x14ac:dyDescent="0.3">
      <c r="A44" s="307" t="str">
        <f>'19'!A42</f>
        <v>WR</v>
      </c>
      <c r="B44" s="307">
        <f>'19'!B42</f>
        <v>5.5</v>
      </c>
      <c r="C44" s="307">
        <f>'19'!C42</f>
        <v>8</v>
      </c>
      <c r="D44" s="308">
        <f>'19'!D42</f>
        <v>444</v>
      </c>
      <c r="E44" s="308">
        <f>'19'!E42</f>
        <v>931256</v>
      </c>
      <c r="F44" s="135"/>
      <c r="G44" s="307" t="str">
        <f>'19'!G42</f>
        <v>WR</v>
      </c>
      <c r="H44" s="309">
        <f>'19'!H42</f>
        <v>0</v>
      </c>
      <c r="I44" s="309">
        <f>'19'!I42</f>
        <v>0</v>
      </c>
      <c r="J44" s="170">
        <f>'19'!J42</f>
        <v>0</v>
      </c>
      <c r="K44" s="310">
        <f>'19'!K42</f>
        <v>0</v>
      </c>
      <c r="L44" s="135"/>
      <c r="M44" s="307" t="str">
        <f>'19'!M42</f>
        <v>WR</v>
      </c>
      <c r="N44" s="309">
        <f>'19'!N42</f>
        <v>0</v>
      </c>
      <c r="O44" s="309">
        <f>'19'!O42</f>
        <v>0</v>
      </c>
      <c r="P44" s="170">
        <f>'19'!P42</f>
        <v>0</v>
      </c>
      <c r="Q44" s="310">
        <f>'19'!Q42</f>
        <v>0</v>
      </c>
    </row>
    <row r="45" spans="1:17" x14ac:dyDescent="0.3">
      <c r="A45" s="307" t="str">
        <f>'19'!A43</f>
        <v>WR</v>
      </c>
      <c r="B45" s="307">
        <f>'19'!B43</f>
        <v>5.5</v>
      </c>
      <c r="C45" s="307" t="str">
        <f>'19'!C43</f>
        <v>67.B</v>
      </c>
      <c r="D45" s="308">
        <f>'19'!D43</f>
        <v>144</v>
      </c>
      <c r="E45" s="308">
        <f>'19'!E43</f>
        <v>304535</v>
      </c>
      <c r="F45" s="135"/>
      <c r="G45" s="307" t="str">
        <f>'19'!G43</f>
        <v>WR</v>
      </c>
      <c r="H45" s="309">
        <f>'19'!H43</f>
        <v>0</v>
      </c>
      <c r="I45" s="309">
        <f>'19'!I43</f>
        <v>0</v>
      </c>
      <c r="J45" s="170">
        <f>'19'!J43</f>
        <v>0</v>
      </c>
      <c r="K45" s="310">
        <f>'19'!K43</f>
        <v>0</v>
      </c>
      <c r="L45" s="135"/>
      <c r="M45" s="307" t="str">
        <f>'19'!M43</f>
        <v>WR</v>
      </c>
      <c r="N45" s="309">
        <f>'19'!N43</f>
        <v>0</v>
      </c>
      <c r="O45" s="309">
        <f>'19'!O43</f>
        <v>0</v>
      </c>
      <c r="P45" s="170">
        <f>'19'!P43</f>
        <v>0</v>
      </c>
      <c r="Q45" s="310">
        <f>'19'!Q43</f>
        <v>0</v>
      </c>
    </row>
    <row r="46" spans="1:17" x14ac:dyDescent="0.3">
      <c r="A46" s="307" t="str">
        <f>'19'!A44</f>
        <v>BIC</v>
      </c>
      <c r="B46" s="307" t="str">
        <f>'19'!B44</f>
        <v>P.10</v>
      </c>
      <c r="C46" s="307" t="str">
        <f>'19'!C44</f>
        <v>BjTPG280</v>
      </c>
      <c r="D46" s="308">
        <f>'19'!D44</f>
        <v>144</v>
      </c>
      <c r="E46" s="308">
        <f>'19'!E44</f>
        <v>299930</v>
      </c>
      <c r="F46" s="135"/>
      <c r="G46" s="307" t="str">
        <f>'19'!G44</f>
        <v>WR</v>
      </c>
      <c r="H46" s="309">
        <f>'19'!H44</f>
        <v>0</v>
      </c>
      <c r="I46" s="309">
        <f>'19'!I44</f>
        <v>0</v>
      </c>
      <c r="J46" s="170">
        <f>'19'!J44</f>
        <v>0</v>
      </c>
      <c r="K46" s="310">
        <f>'19'!K44</f>
        <v>0</v>
      </c>
      <c r="L46" s="135"/>
      <c r="M46" s="307" t="str">
        <f>'19'!M44</f>
        <v>WR</v>
      </c>
      <c r="N46" s="309">
        <f>'19'!N44</f>
        <v>0</v>
      </c>
      <c r="O46" s="309">
        <f>'19'!O44</f>
        <v>0</v>
      </c>
      <c r="P46" s="170">
        <f>'19'!P44</f>
        <v>0</v>
      </c>
      <c r="Q46" s="310">
        <f>'19'!Q44</f>
        <v>0</v>
      </c>
    </row>
    <row r="47" spans="1:17" x14ac:dyDescent="0.3">
      <c r="A47" s="307" t="str">
        <f>'19'!A45</f>
        <v>BIC</v>
      </c>
      <c r="B47" s="307" t="str">
        <f>'19'!B45</f>
        <v>S.6</v>
      </c>
      <c r="C47" s="307" t="str">
        <f>'19'!C45</f>
        <v>BjTSG420</v>
      </c>
      <c r="D47" s="308">
        <f>'19'!D45</f>
        <v>48</v>
      </c>
      <c r="E47" s="308">
        <f>'19'!E45</f>
        <v>98404</v>
      </c>
      <c r="F47" s="135"/>
      <c r="G47" s="307" t="str">
        <f>'19'!G45</f>
        <v>WR</v>
      </c>
      <c r="H47" s="309">
        <f>'19'!H45</f>
        <v>0</v>
      </c>
      <c r="I47" s="309">
        <f>'19'!I45</f>
        <v>0</v>
      </c>
      <c r="J47" s="170">
        <f>'19'!J45</f>
        <v>0</v>
      </c>
      <c r="K47" s="310">
        <f>'19'!K45</f>
        <v>0</v>
      </c>
      <c r="L47" s="135"/>
      <c r="M47" s="307" t="str">
        <f>'19'!M45</f>
        <v>WR</v>
      </c>
      <c r="N47" s="309">
        <f>'19'!N45</f>
        <v>0</v>
      </c>
      <c r="O47" s="309">
        <f>'19'!O45</f>
        <v>0</v>
      </c>
      <c r="P47" s="170">
        <f>'19'!P45</f>
        <v>0</v>
      </c>
      <c r="Q47" s="310">
        <f>'19'!Q45</f>
        <v>0</v>
      </c>
    </row>
    <row r="48" spans="1:17" x14ac:dyDescent="0.3">
      <c r="A48" s="307" t="str">
        <f>'19'!A46</f>
        <v>WR</v>
      </c>
      <c r="B48" s="307">
        <f>'19'!B46</f>
        <v>17</v>
      </c>
      <c r="C48" s="307">
        <f>'19'!C46</f>
        <v>8</v>
      </c>
      <c r="D48" s="308">
        <f>'19'!D46</f>
        <v>91</v>
      </c>
      <c r="E48" s="308">
        <f>'19'!E46</f>
        <v>188048</v>
      </c>
      <c r="F48" s="135"/>
      <c r="G48" s="307" t="str">
        <f>'19'!G46</f>
        <v>WR</v>
      </c>
      <c r="H48" s="309">
        <f>'19'!H46</f>
        <v>0</v>
      </c>
      <c r="I48" s="309">
        <f>'19'!I46</f>
        <v>0</v>
      </c>
      <c r="J48" s="170">
        <f>'19'!J46</f>
        <v>0</v>
      </c>
      <c r="K48" s="310">
        <f>'19'!K46</f>
        <v>0</v>
      </c>
      <c r="L48" s="135"/>
      <c r="M48" s="307" t="str">
        <f>'19'!M46</f>
        <v>WR</v>
      </c>
      <c r="N48" s="309">
        <f>'19'!N46</f>
        <v>0</v>
      </c>
      <c r="O48" s="309">
        <f>'19'!O46</f>
        <v>0</v>
      </c>
      <c r="P48" s="170">
        <f>'19'!P46</f>
        <v>0</v>
      </c>
      <c r="Q48" s="310">
        <f>'19'!Q46</f>
        <v>0</v>
      </c>
    </row>
    <row r="49" spans="1:21" x14ac:dyDescent="0.3">
      <c r="A49" s="307" t="str">
        <f>'19'!A47</f>
        <v>WR</v>
      </c>
      <c r="B49" s="307">
        <f>'19'!B47</f>
        <v>8.5</v>
      </c>
      <c r="C49" s="307">
        <f>'19'!C47</f>
        <v>15</v>
      </c>
      <c r="D49" s="308">
        <f>'19'!D47</f>
        <v>432</v>
      </c>
      <c r="E49" s="308">
        <f>'19'!E47</f>
        <v>897401</v>
      </c>
      <c r="F49" s="135"/>
      <c r="G49" s="307" t="str">
        <f>'19'!G47</f>
        <v>WR</v>
      </c>
      <c r="H49" s="309">
        <f>'19'!H47</f>
        <v>0</v>
      </c>
      <c r="I49" s="309">
        <f>'19'!I47</f>
        <v>0</v>
      </c>
      <c r="J49" s="170">
        <f>'19'!J47</f>
        <v>0</v>
      </c>
      <c r="K49" s="310">
        <f>'19'!K47</f>
        <v>0</v>
      </c>
      <c r="L49" s="135"/>
      <c r="M49" s="307" t="str">
        <f>'19'!M47</f>
        <v>WR</v>
      </c>
      <c r="N49" s="309">
        <f>'19'!N47</f>
        <v>0</v>
      </c>
      <c r="O49" s="309">
        <f>'19'!O47</f>
        <v>0</v>
      </c>
      <c r="P49" s="170">
        <f>'19'!P47</f>
        <v>0</v>
      </c>
      <c r="Q49" s="310">
        <f>'19'!Q47</f>
        <v>0</v>
      </c>
    </row>
    <row r="50" spans="1:21" x14ac:dyDescent="0.3">
      <c r="A50" s="307" t="str">
        <f>'19'!A48</f>
        <v>WR</v>
      </c>
      <c r="B50" s="307">
        <f>'19'!B48</f>
        <v>6.5</v>
      </c>
      <c r="C50" s="307">
        <f>'19'!C48</f>
        <v>8</v>
      </c>
      <c r="D50" s="308">
        <f>'19'!D48</f>
        <v>144</v>
      </c>
      <c r="E50" s="308">
        <f>'19'!E48</f>
        <v>300807</v>
      </c>
      <c r="F50" s="135"/>
      <c r="G50" s="307" t="str">
        <f>'19'!G48</f>
        <v>WR</v>
      </c>
      <c r="H50" s="309">
        <f>'19'!H48</f>
        <v>0</v>
      </c>
      <c r="I50" s="309">
        <f>'19'!I48</f>
        <v>0</v>
      </c>
      <c r="J50" s="170">
        <f>'19'!J48</f>
        <v>0</v>
      </c>
      <c r="K50" s="310">
        <f>'19'!K48</f>
        <v>0</v>
      </c>
      <c r="L50" s="135"/>
      <c r="M50" s="307" t="str">
        <f>'19'!M48</f>
        <v>WR</v>
      </c>
      <c r="N50" s="309">
        <f>'19'!N48</f>
        <v>0</v>
      </c>
      <c r="O50" s="309">
        <f>'19'!O48</f>
        <v>0</v>
      </c>
      <c r="P50" s="170">
        <f>'19'!P48</f>
        <v>0</v>
      </c>
      <c r="Q50" s="310">
        <f>'19'!Q48</f>
        <v>0</v>
      </c>
    </row>
    <row r="51" spans="1:21" x14ac:dyDescent="0.3">
      <c r="A51" s="307" t="str">
        <f>'19'!A49</f>
        <v>WR</v>
      </c>
      <c r="B51" s="307">
        <f>'19'!B49</f>
        <v>6.5</v>
      </c>
      <c r="C51" s="307">
        <f>'19'!C49</f>
        <v>15</v>
      </c>
      <c r="D51" s="308">
        <f>'19'!D49</f>
        <v>119</v>
      </c>
      <c r="E51" s="308">
        <f>'19'!E49</f>
        <v>247182</v>
      </c>
      <c r="F51" s="3"/>
      <c r="G51" s="307" t="str">
        <f>'19'!G49</f>
        <v>WR</v>
      </c>
      <c r="H51" s="309">
        <f>'19'!H49</f>
        <v>0</v>
      </c>
      <c r="I51" s="309">
        <f>'19'!I49</f>
        <v>0</v>
      </c>
      <c r="J51" s="170">
        <f>'19'!J49</f>
        <v>0</v>
      </c>
      <c r="K51" s="310">
        <f>'19'!K49</f>
        <v>0</v>
      </c>
      <c r="L51" s="3"/>
      <c r="M51" s="307" t="str">
        <f>'19'!M49</f>
        <v>WR</v>
      </c>
      <c r="N51" s="309">
        <f>'19'!N49</f>
        <v>0</v>
      </c>
      <c r="O51" s="309">
        <f>'19'!O49</f>
        <v>0</v>
      </c>
      <c r="P51" s="170">
        <f>'19'!P49</f>
        <v>0</v>
      </c>
      <c r="Q51" s="310">
        <f>'19'!Q49</f>
        <v>0</v>
      </c>
    </row>
    <row r="52" spans="1:21" x14ac:dyDescent="0.3">
      <c r="A52" s="1" t="str">
        <f>A1</f>
        <v>TMS 4</v>
      </c>
      <c r="B52" s="2" t="str">
        <f>B1</f>
        <v>WR</v>
      </c>
      <c r="C52" s="3"/>
      <c r="D52" s="4"/>
      <c r="E52" s="4"/>
      <c r="F52" s="4"/>
      <c r="G52" s="5"/>
      <c r="H52" s="6"/>
      <c r="I52" s="6"/>
      <c r="J52" s="6"/>
      <c r="K52" s="6"/>
      <c r="L52" s="6"/>
      <c r="M52" s="6"/>
      <c r="N52" s="135"/>
      <c r="O52" s="135"/>
      <c r="P52" s="87" t="s">
        <v>2</v>
      </c>
      <c r="Q52" s="8" t="s">
        <v>23</v>
      </c>
    </row>
    <row r="53" spans="1:21" x14ac:dyDescent="0.3">
      <c r="A53" s="527" t="s">
        <v>24</v>
      </c>
      <c r="B53" s="528"/>
      <c r="C53" s="528"/>
      <c r="D53" s="528"/>
      <c r="E53" s="528"/>
      <c r="F53" s="528"/>
      <c r="G53" s="528"/>
      <c r="H53" s="528"/>
      <c r="I53" s="528"/>
      <c r="J53" s="528"/>
      <c r="K53" s="528"/>
      <c r="L53" s="528"/>
      <c r="M53" s="528"/>
      <c r="N53" s="528"/>
      <c r="O53" s="528"/>
      <c r="P53" s="528"/>
      <c r="Q53" s="529"/>
    </row>
    <row r="54" spans="1:21" x14ac:dyDescent="0.3">
      <c r="A54" s="374">
        <f>A3</f>
        <v>46042</v>
      </c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422" t="s">
        <v>410</v>
      </c>
      <c r="M54" s="384"/>
      <c r="N54" s="384"/>
      <c r="O54" s="384"/>
      <c r="P54" s="384"/>
      <c r="Q54" s="384"/>
    </row>
    <row r="55" spans="1:21" x14ac:dyDescent="0.3">
      <c r="A55" s="88" t="s">
        <v>25</v>
      </c>
      <c r="B55" s="380" t="s">
        <v>26</v>
      </c>
      <c r="C55" s="530" t="s">
        <v>8</v>
      </c>
      <c r="D55" s="532" t="s">
        <v>27</v>
      </c>
      <c r="E55" s="533"/>
      <c r="F55" s="533"/>
      <c r="G55" s="533"/>
      <c r="H55" s="533"/>
      <c r="I55" s="533"/>
      <c r="J55" s="530" t="s">
        <v>28</v>
      </c>
      <c r="K55" s="385"/>
      <c r="L55" s="505" t="s">
        <v>29</v>
      </c>
      <c r="M55" s="505"/>
      <c r="N55" s="505"/>
      <c r="O55" s="505" t="s">
        <v>30</v>
      </c>
      <c r="P55" s="536" t="s">
        <v>31</v>
      </c>
      <c r="Q55" s="505" t="s">
        <v>32</v>
      </c>
      <c r="R55" s="386" t="s">
        <v>111</v>
      </c>
      <c r="S55" s="387" t="s">
        <v>197</v>
      </c>
      <c r="T55" s="388" t="s">
        <v>193</v>
      </c>
      <c r="U55" s="388" t="s">
        <v>193</v>
      </c>
    </row>
    <row r="56" spans="1:21" x14ac:dyDescent="0.3">
      <c r="A56" s="89" t="s">
        <v>33</v>
      </c>
      <c r="B56" s="90" t="s">
        <v>34</v>
      </c>
      <c r="C56" s="531"/>
      <c r="D56" s="534"/>
      <c r="E56" s="535"/>
      <c r="F56" s="535"/>
      <c r="G56" s="535"/>
      <c r="H56" s="535"/>
      <c r="I56" s="535"/>
      <c r="J56" s="531"/>
      <c r="K56" s="385"/>
      <c r="L56" s="505"/>
      <c r="M56" s="505"/>
      <c r="N56" s="505"/>
      <c r="O56" s="505"/>
      <c r="P56" s="536"/>
      <c r="Q56" s="505"/>
      <c r="R56" s="389" t="s">
        <v>32</v>
      </c>
      <c r="S56" s="390" t="s">
        <v>193</v>
      </c>
      <c r="T56" s="388" t="s">
        <v>181</v>
      </c>
      <c r="U56" s="388" t="s">
        <v>194</v>
      </c>
    </row>
    <row r="57" spans="1:21" x14ac:dyDescent="0.3">
      <c r="A57" s="91" t="s">
        <v>35</v>
      </c>
      <c r="B57" s="440">
        <v>27</v>
      </c>
      <c r="C57" s="453"/>
      <c r="D57" s="506"/>
      <c r="E57" s="563"/>
      <c r="F57" s="563"/>
      <c r="G57" s="563"/>
      <c r="H57" s="563"/>
      <c r="I57" s="563"/>
      <c r="J57" s="93"/>
      <c r="K57" s="391"/>
      <c r="L57" s="466" t="s">
        <v>26</v>
      </c>
      <c r="M57" s="467"/>
      <c r="N57" s="467"/>
      <c r="O57" s="392" t="s">
        <v>13</v>
      </c>
      <c r="P57" s="393">
        <f>C18</f>
        <v>1018098</v>
      </c>
      <c r="Q57" s="394">
        <f>C28</f>
        <v>15872064</v>
      </c>
      <c r="R57" s="395"/>
      <c r="S57" s="388">
        <f>DAY(A54)</f>
        <v>20</v>
      </c>
      <c r="T57" s="383">
        <f>S57-U57</f>
        <v>15</v>
      </c>
      <c r="U57" s="383">
        <f>'19'!U55</f>
        <v>5</v>
      </c>
    </row>
    <row r="58" spans="1:21" x14ac:dyDescent="0.3">
      <c r="A58" s="95" t="s">
        <v>37</v>
      </c>
      <c r="B58" s="441">
        <v>22</v>
      </c>
      <c r="C58" s="454"/>
      <c r="D58" s="503" t="s">
        <v>390</v>
      </c>
      <c r="E58" s="564"/>
      <c r="F58" s="564"/>
      <c r="G58" s="564"/>
      <c r="H58" s="564"/>
      <c r="I58" s="564"/>
      <c r="J58" s="97">
        <v>11</v>
      </c>
      <c r="K58" s="391"/>
      <c r="L58" s="502" t="s">
        <v>191</v>
      </c>
      <c r="M58" s="498"/>
      <c r="N58" s="498"/>
      <c r="O58" s="396" t="s">
        <v>13</v>
      </c>
      <c r="P58" s="397">
        <f>K19</f>
        <v>1002816</v>
      </c>
      <c r="Q58" s="398">
        <f>K29</f>
        <v>15614002</v>
      </c>
      <c r="R58" s="399"/>
    </row>
    <row r="59" spans="1:21" x14ac:dyDescent="0.3">
      <c r="A59" s="95" t="s">
        <v>39</v>
      </c>
      <c r="B59" s="441">
        <v>20</v>
      </c>
      <c r="C59" s="454"/>
      <c r="D59" s="503"/>
      <c r="E59" s="564"/>
      <c r="F59" s="564"/>
      <c r="G59" s="564"/>
      <c r="H59" s="564"/>
      <c r="I59" s="564"/>
      <c r="J59" s="97"/>
      <c r="K59" s="391"/>
      <c r="L59" s="468" t="s">
        <v>19</v>
      </c>
      <c r="M59" s="469"/>
      <c r="N59" s="469"/>
      <c r="O59" s="400" t="s">
        <v>14</v>
      </c>
      <c r="P59" s="401">
        <f>L19</f>
        <v>0.98498965718427889</v>
      </c>
      <c r="Q59" s="430">
        <f>L29</f>
        <v>0.98374111898742345</v>
      </c>
      <c r="R59" s="403">
        <v>0.98499999999999999</v>
      </c>
    </row>
    <row r="60" spans="1:21" x14ac:dyDescent="0.3">
      <c r="A60" s="95" t="s">
        <v>41</v>
      </c>
      <c r="B60" s="441">
        <v>21</v>
      </c>
      <c r="C60" s="454"/>
      <c r="D60" s="503"/>
      <c r="E60" s="564"/>
      <c r="F60" s="564"/>
      <c r="G60" s="564"/>
      <c r="H60" s="564"/>
      <c r="I60" s="564"/>
      <c r="J60" s="97"/>
      <c r="K60" s="391"/>
      <c r="L60" s="507" t="s">
        <v>192</v>
      </c>
      <c r="M60" s="508"/>
      <c r="N60" s="508"/>
      <c r="O60" s="392" t="s">
        <v>13</v>
      </c>
      <c r="P60" s="393">
        <f>E18</f>
        <v>2094</v>
      </c>
      <c r="Q60" s="394">
        <f>E28</f>
        <v>42233</v>
      </c>
      <c r="R60" s="395"/>
    </row>
    <row r="61" spans="1:21" x14ac:dyDescent="0.3">
      <c r="A61" s="95" t="s">
        <v>43</v>
      </c>
      <c r="B61" s="441">
        <v>7</v>
      </c>
      <c r="C61" s="454"/>
      <c r="D61" s="503" t="s">
        <v>391</v>
      </c>
      <c r="E61" s="564"/>
      <c r="F61" s="564"/>
      <c r="G61" s="564"/>
      <c r="H61" s="564"/>
      <c r="I61" s="564"/>
      <c r="J61" s="97">
        <v>40</v>
      </c>
      <c r="K61" s="391"/>
      <c r="L61" s="509"/>
      <c r="M61" s="510"/>
      <c r="N61" s="510"/>
      <c r="O61" s="400" t="s">
        <v>14</v>
      </c>
      <c r="P61" s="401">
        <f>F18</f>
        <v>2.0567764596335519E-3</v>
      </c>
      <c r="Q61" s="430">
        <f>F28</f>
        <v>2.6608385651670759E-3</v>
      </c>
      <c r="R61" s="404">
        <v>1.5E-3</v>
      </c>
    </row>
    <row r="62" spans="1:21" x14ac:dyDescent="0.3">
      <c r="A62" s="95" t="s">
        <v>45</v>
      </c>
      <c r="B62" s="441">
        <v>19</v>
      </c>
      <c r="C62" s="454"/>
      <c r="D62" s="503" t="s">
        <v>392</v>
      </c>
      <c r="E62" s="564"/>
      <c r="F62" s="564"/>
      <c r="G62" s="564"/>
      <c r="H62" s="564"/>
      <c r="I62" s="564"/>
      <c r="J62" s="97">
        <v>13</v>
      </c>
      <c r="K62" s="391"/>
      <c r="L62" s="489" t="s">
        <v>36</v>
      </c>
      <c r="M62" s="490"/>
      <c r="N62" s="490"/>
      <c r="O62" s="405" t="s">
        <v>28</v>
      </c>
      <c r="P62" s="142">
        <v>1440</v>
      </c>
      <c r="Q62" s="94">
        <f>'1'!Q60+'2'!P60+'3'!P60+'4'!P60+'5'!P60+'6'!P60+'7'!P60+'8'!P60+'9'!P60+'10'!P60+'11'!P60+'12'!P60+'13'!P60+'14'!P60+'15'!P60+'16'!P60+'17'!P60+'18'!P60+'19'!P60+'20'!P62</f>
        <v>28800</v>
      </c>
      <c r="R62" s="406"/>
    </row>
    <row r="63" spans="1:21" x14ac:dyDescent="0.3">
      <c r="A63" s="95" t="s">
        <v>47</v>
      </c>
      <c r="B63" s="441">
        <v>23</v>
      </c>
      <c r="C63" s="454"/>
      <c r="D63" s="463" t="s">
        <v>210</v>
      </c>
      <c r="E63" s="543"/>
      <c r="F63" s="543"/>
      <c r="G63" s="543"/>
      <c r="H63" s="543"/>
      <c r="I63" s="543"/>
      <c r="J63" s="97">
        <v>4</v>
      </c>
      <c r="K63" s="407"/>
      <c r="L63" s="492" t="s">
        <v>38</v>
      </c>
      <c r="M63" s="493"/>
      <c r="N63" s="493"/>
      <c r="O63" s="106" t="s">
        <v>28</v>
      </c>
      <c r="P63" s="145">
        <f>SUM(P64:P66)</f>
        <v>0</v>
      </c>
      <c r="Q63" s="126">
        <f>'1'!Q61+'2'!P61+'3'!P61+'4'!P61+'5'!P61+'6'!P61+'7'!P61+'8'!P61+'9'!P61+'10'!P61+'11'!P61+'12'!P61+'13'!P61+'14'!P61+'15'!P61+'16'!P61+'17'!P61+'18'!P61+'19'!P61+'20'!P63</f>
        <v>7200</v>
      </c>
      <c r="R63" s="395"/>
    </row>
    <row r="64" spans="1:21" x14ac:dyDescent="0.3">
      <c r="A64" s="95" t="s">
        <v>49</v>
      </c>
      <c r="B64" s="441">
        <v>24</v>
      </c>
      <c r="C64" s="454"/>
      <c r="D64" s="463"/>
      <c r="E64" s="543"/>
      <c r="F64" s="543"/>
      <c r="G64" s="543"/>
      <c r="H64" s="543"/>
      <c r="I64" s="543"/>
      <c r="J64" s="97"/>
      <c r="K64" s="407"/>
      <c r="L64" s="497" t="s">
        <v>40</v>
      </c>
      <c r="M64" s="498"/>
      <c r="N64" s="498"/>
      <c r="O64" s="408" t="s">
        <v>28</v>
      </c>
      <c r="P64" s="138">
        <v>0</v>
      </c>
      <c r="Q64" s="99">
        <f>'1'!Q62+'2'!P62+'3'!P62+'4'!P62+'5'!P62+'6'!P62+'7'!P62+'8'!P62+'9'!P62+'10'!P62+'11'!P62+'12'!P62+'13'!P62+'14'!P62+'15'!P62+'16'!P62+'17'!P62+'18'!P62+'19'!P62+'20'!P64</f>
        <v>7200</v>
      </c>
      <c r="R64" s="399"/>
    </row>
    <row r="65" spans="1:23" x14ac:dyDescent="0.3">
      <c r="A65" s="95" t="s">
        <v>51</v>
      </c>
      <c r="B65" s="441">
        <v>24</v>
      </c>
      <c r="C65" s="454"/>
      <c r="D65" s="463"/>
      <c r="E65" s="543"/>
      <c r="F65" s="543"/>
      <c r="G65" s="543"/>
      <c r="H65" s="543"/>
      <c r="I65" s="543"/>
      <c r="J65" s="97"/>
      <c r="K65" s="391"/>
      <c r="L65" s="497" t="s">
        <v>42</v>
      </c>
      <c r="M65" s="498"/>
      <c r="N65" s="498"/>
      <c r="O65" s="408" t="s">
        <v>28</v>
      </c>
      <c r="P65" s="138">
        <v>0</v>
      </c>
      <c r="Q65" s="99">
        <f>'1'!Q63+'2'!P63+'3'!P63+'4'!P63+'5'!P63+'6'!P63+'7'!P63+'8'!P63+'9'!P63+'10'!P63+'11'!P63+'12'!P63+'13'!P63+'14'!P63+'15'!P63+'16'!P63+'17'!P63+'18'!P63+'19'!P63+'20'!P65</f>
        <v>0</v>
      </c>
      <c r="R65" s="399"/>
    </row>
    <row r="66" spans="1:23" x14ac:dyDescent="0.3">
      <c r="A66" s="95" t="s">
        <v>53</v>
      </c>
      <c r="B66" s="441">
        <v>22</v>
      </c>
      <c r="C66" s="454"/>
      <c r="D66" s="463" t="s">
        <v>393</v>
      </c>
      <c r="E66" s="543"/>
      <c r="F66" s="543"/>
      <c r="G66" s="543"/>
      <c r="H66" s="543"/>
      <c r="I66" s="543"/>
      <c r="J66" s="97">
        <v>6</v>
      </c>
      <c r="K66" s="391"/>
      <c r="L66" s="504" t="s">
        <v>44</v>
      </c>
      <c r="M66" s="465"/>
      <c r="N66" s="465"/>
      <c r="O66" s="85" t="s">
        <v>28</v>
      </c>
      <c r="P66" s="141">
        <v>0</v>
      </c>
      <c r="Q66" s="86">
        <f>'1'!Q64+'2'!P64+'3'!P64+'4'!P64+'5'!P64+'6'!P64+'7'!P64+'8'!P64+'9'!P64+'10'!P64+'11'!P64+'12'!P64+'13'!P64+'14'!P64+'15'!P64+'16'!P64+'17'!P64+'18'!P64+'19'!P64+'20'!P66</f>
        <v>0</v>
      </c>
      <c r="R66" s="409"/>
      <c r="S66" s="166" t="s">
        <v>150</v>
      </c>
      <c r="T66" s="167"/>
      <c r="U66" s="168"/>
      <c r="V66" s="169" t="s">
        <v>31</v>
      </c>
      <c r="W66" s="170" t="s">
        <v>32</v>
      </c>
    </row>
    <row r="67" spans="1:23" x14ac:dyDescent="0.3">
      <c r="A67" s="95" t="s">
        <v>55</v>
      </c>
      <c r="B67" s="441">
        <v>21</v>
      </c>
      <c r="C67" s="454"/>
      <c r="D67" s="463" t="s">
        <v>394</v>
      </c>
      <c r="E67" s="543"/>
      <c r="F67" s="543"/>
      <c r="G67" s="543"/>
      <c r="H67" s="543"/>
      <c r="I67" s="543"/>
      <c r="J67" s="97">
        <v>7</v>
      </c>
      <c r="K67" s="391"/>
      <c r="L67" s="466" t="s">
        <v>46</v>
      </c>
      <c r="M67" s="467"/>
      <c r="N67" s="467"/>
      <c r="O67" s="106" t="s">
        <v>28</v>
      </c>
      <c r="P67" s="126">
        <f>SUM(P68:P70)</f>
        <v>232</v>
      </c>
      <c r="Q67" s="100">
        <f>'1'!Q65+'2'!P65+'3'!P65+'4'!P65+'5'!P65+'6'!P65+'7'!P65+'8'!P65+'9'!P65+'10'!P65+'11'!P65+'12'!P65+'13'!P65+'14'!P65+'15'!P65+'16'!P65+'17'!P65+'18'!P65+'19'!P65+'20'!P67</f>
        <v>2490</v>
      </c>
      <c r="R67" s="395"/>
      <c r="S67" s="171" t="s">
        <v>56</v>
      </c>
      <c r="T67" s="172"/>
      <c r="U67" s="173" t="s">
        <v>151</v>
      </c>
      <c r="V67" s="174"/>
      <c r="W67" s="181">
        <f>+'19'!W65+'20'!V67</f>
        <v>10</v>
      </c>
    </row>
    <row r="68" spans="1:23" x14ac:dyDescent="0.3">
      <c r="A68" s="95" t="s">
        <v>57</v>
      </c>
      <c r="B68" s="441">
        <v>24</v>
      </c>
      <c r="C68" s="454"/>
      <c r="D68" s="463"/>
      <c r="E68" s="543"/>
      <c r="F68" s="543"/>
      <c r="G68" s="543"/>
      <c r="H68" s="543"/>
      <c r="I68" s="543"/>
      <c r="J68" s="97"/>
      <c r="K68" s="391"/>
      <c r="L68" s="502" t="s">
        <v>48</v>
      </c>
      <c r="M68" s="498"/>
      <c r="N68" s="498"/>
      <c r="O68" s="408" t="s">
        <v>28</v>
      </c>
      <c r="P68" s="138">
        <v>0</v>
      </c>
      <c r="Q68" s="99">
        <f>'1'!Q66+'2'!P66+'3'!P66+'4'!P66+'5'!P66+'6'!P66+'7'!P66+'8'!P66+'9'!P66+'10'!P66+'11'!P66+'12'!P66+'13'!P66+'14'!P66+'15'!P66+'16'!P66+'17'!P66+'18'!P66+'19'!P66+'20'!P68</f>
        <v>0</v>
      </c>
      <c r="R68" s="399"/>
      <c r="S68" s="377" t="s">
        <v>58</v>
      </c>
      <c r="T68" s="175"/>
      <c r="U68" s="176" t="s">
        <v>151</v>
      </c>
      <c r="V68" s="177"/>
      <c r="W68" s="182">
        <f>+'19'!W66+'20'!V68</f>
        <v>7</v>
      </c>
    </row>
    <row r="69" spans="1:23" x14ac:dyDescent="0.3">
      <c r="A69" s="95" t="s">
        <v>59</v>
      </c>
      <c r="B69" s="441">
        <v>20</v>
      </c>
      <c r="C69" s="454"/>
      <c r="D69" s="463" t="s">
        <v>395</v>
      </c>
      <c r="E69" s="543"/>
      <c r="F69" s="543"/>
      <c r="G69" s="543"/>
      <c r="H69" s="543"/>
      <c r="I69" s="543"/>
      <c r="J69" s="97">
        <v>7</v>
      </c>
      <c r="K69" s="391"/>
      <c r="L69" s="502" t="s">
        <v>50</v>
      </c>
      <c r="M69" s="498"/>
      <c r="N69" s="498"/>
      <c r="O69" s="408" t="s">
        <v>28</v>
      </c>
      <c r="P69" s="138">
        <v>203</v>
      </c>
      <c r="Q69" s="99">
        <f>'1'!Q67+'2'!P67+'3'!P67+'4'!P67+'5'!P67+'6'!P67+'7'!P67+'8'!P67+'9'!P67+'10'!P67+'11'!P67+'12'!P67+'13'!P67+'14'!P67+'15'!P67+'16'!P67+'17'!P67+'18'!P67+'19'!P67+'20'!P69</f>
        <v>2157</v>
      </c>
      <c r="R69" s="399"/>
      <c r="S69" s="377" t="s">
        <v>60</v>
      </c>
      <c r="T69" s="175"/>
      <c r="U69" s="176" t="s">
        <v>151</v>
      </c>
      <c r="V69" s="177"/>
      <c r="W69" s="182">
        <f>+'19'!W67+'20'!V69</f>
        <v>0</v>
      </c>
    </row>
    <row r="70" spans="1:23" x14ac:dyDescent="0.3">
      <c r="A70" s="95" t="s">
        <v>61</v>
      </c>
      <c r="B70" s="441">
        <v>22</v>
      </c>
      <c r="C70" s="454"/>
      <c r="D70" s="463" t="s">
        <v>396</v>
      </c>
      <c r="E70" s="543"/>
      <c r="F70" s="543"/>
      <c r="G70" s="543"/>
      <c r="H70" s="543"/>
      <c r="I70" s="543"/>
      <c r="J70" s="97">
        <v>3</v>
      </c>
      <c r="K70" s="391"/>
      <c r="L70" s="468" t="s">
        <v>52</v>
      </c>
      <c r="M70" s="469"/>
      <c r="N70" s="469"/>
      <c r="O70" s="85" t="s">
        <v>28</v>
      </c>
      <c r="P70" s="141">
        <v>29</v>
      </c>
      <c r="Q70" s="86">
        <f>'1'!Q68+'2'!P68+'3'!P68+'4'!P68+'5'!P68+'6'!P68+'7'!P68+'8'!P68+'9'!P68+'10'!P68+'11'!P68+'12'!P68+'13'!P68+'14'!P68+'15'!P68+'16'!P68+'17'!P68+'18'!P68+'19'!P68+'20'!P70</f>
        <v>333</v>
      </c>
      <c r="R70" s="409"/>
      <c r="S70" s="377" t="s">
        <v>62</v>
      </c>
      <c r="T70" s="175"/>
      <c r="U70" s="176" t="s">
        <v>151</v>
      </c>
      <c r="V70" s="177">
        <v>1</v>
      </c>
      <c r="W70" s="182">
        <f>+'19'!W68+'20'!V70</f>
        <v>3</v>
      </c>
    </row>
    <row r="71" spans="1:23" x14ac:dyDescent="0.3">
      <c r="A71" s="95" t="s">
        <v>63</v>
      </c>
      <c r="B71" s="441">
        <v>13</v>
      </c>
      <c r="C71" s="454"/>
      <c r="D71" s="463" t="s">
        <v>397</v>
      </c>
      <c r="E71" s="543"/>
      <c r="F71" s="543"/>
      <c r="G71" s="543"/>
      <c r="H71" s="543"/>
      <c r="I71" s="543"/>
      <c r="J71" s="97">
        <v>25</v>
      </c>
      <c r="K71" s="391"/>
      <c r="L71" s="466" t="s">
        <v>54</v>
      </c>
      <c r="M71" s="467"/>
      <c r="N71" s="467"/>
      <c r="O71" s="106" t="s">
        <v>28</v>
      </c>
      <c r="P71" s="100">
        <f>SUM(P72:P76)</f>
        <v>38</v>
      </c>
      <c r="Q71" s="100">
        <f>'1'!Q69+'2'!P69+'3'!P69+'4'!P69+'5'!P69+'6'!P69+'7'!P69+'8'!P69+'9'!P69+'10'!P69+'11'!P69+'12'!P69+'13'!P69+'14'!P69+'15'!P69+'16'!P69+'17'!P69+'18'!P69+'19'!P69+'20'!P71</f>
        <v>1034</v>
      </c>
      <c r="R71" s="395"/>
      <c r="S71" s="376" t="s">
        <v>64</v>
      </c>
      <c r="T71" s="178"/>
      <c r="U71" s="179" t="s">
        <v>151</v>
      </c>
      <c r="V71" s="180"/>
      <c r="W71" s="183">
        <f>+'19'!W69+'20'!V71</f>
        <v>0</v>
      </c>
    </row>
    <row r="72" spans="1:23" x14ac:dyDescent="0.3">
      <c r="A72" s="95" t="s">
        <v>65</v>
      </c>
      <c r="B72" s="441">
        <v>13</v>
      </c>
      <c r="C72" s="454"/>
      <c r="D72" s="463" t="s">
        <v>398</v>
      </c>
      <c r="E72" s="543"/>
      <c r="F72" s="543"/>
      <c r="G72" s="543"/>
      <c r="H72" s="543"/>
      <c r="I72" s="543"/>
      <c r="J72" s="97">
        <v>31</v>
      </c>
      <c r="K72" s="407"/>
      <c r="L72" s="497" t="s">
        <v>56</v>
      </c>
      <c r="M72" s="498"/>
      <c r="N72" s="498"/>
      <c r="O72" s="408" t="s">
        <v>28</v>
      </c>
      <c r="P72" s="138">
        <v>7</v>
      </c>
      <c r="Q72" s="429">
        <f>'1'!Q70+'2'!P70+'3'!P70+'4'!P70+'5'!P70+'6'!P70+'7'!P70+'8'!P70+'9'!P70+'10'!P70+'11'!P70+'12'!P70+'13'!P70+'14'!P70+'15'!P70+'16'!P70+'17'!P70+'18'!P70+'19'!P70+'20'!P72</f>
        <v>575</v>
      </c>
      <c r="R72" s="399">
        <f>T57*30</f>
        <v>450</v>
      </c>
    </row>
    <row r="73" spans="1:23" x14ac:dyDescent="0.3">
      <c r="A73" s="95" t="s">
        <v>67</v>
      </c>
      <c r="B73" s="441">
        <v>26</v>
      </c>
      <c r="C73" s="454"/>
      <c r="D73" s="463" t="s">
        <v>399</v>
      </c>
      <c r="E73" s="543"/>
      <c r="F73" s="543"/>
      <c r="G73" s="543"/>
      <c r="H73" s="543"/>
      <c r="I73" s="543"/>
      <c r="J73" s="97">
        <v>3</v>
      </c>
      <c r="K73" s="391"/>
      <c r="L73" s="497" t="s">
        <v>58</v>
      </c>
      <c r="M73" s="498"/>
      <c r="N73" s="498"/>
      <c r="O73" s="408" t="s">
        <v>28</v>
      </c>
      <c r="P73" s="138">
        <v>3</v>
      </c>
      <c r="Q73" s="99">
        <f>'1'!Q71+'2'!P71+'3'!P71+'4'!P71+'5'!P71+'6'!P71+'7'!P71+'8'!P71+'9'!P71+'10'!P71+'11'!P71+'12'!P71+'13'!P71+'14'!P71+'15'!P71+'16'!P71+'17'!P71+'18'!P71+'19'!P71+'20'!P73</f>
        <v>363</v>
      </c>
      <c r="R73" s="399">
        <f>T57*25</f>
        <v>375</v>
      </c>
    </row>
    <row r="74" spans="1:23" x14ac:dyDescent="0.3">
      <c r="A74" s="95" t="s">
        <v>69</v>
      </c>
      <c r="B74" s="441">
        <v>15</v>
      </c>
      <c r="C74" s="454"/>
      <c r="D74" s="498" t="s">
        <v>400</v>
      </c>
      <c r="E74" s="498"/>
      <c r="F74" s="498"/>
      <c r="G74" s="498"/>
      <c r="H74" s="498"/>
      <c r="I74" s="498"/>
      <c r="J74" s="97">
        <v>25</v>
      </c>
      <c r="K74" s="391"/>
      <c r="L74" s="497" t="s">
        <v>60</v>
      </c>
      <c r="M74" s="498"/>
      <c r="N74" s="498"/>
      <c r="O74" s="408" t="s">
        <v>28</v>
      </c>
      <c r="P74" s="138">
        <v>6</v>
      </c>
      <c r="Q74" s="99">
        <f>'1'!Q72+'2'!P72+'3'!P72+'4'!P72+'5'!P72+'6'!P72+'7'!P72+'8'!P72+'9'!P72+'10'!P72+'11'!P72+'12'!P72+'13'!P72+'14'!P72+'15'!P72+'16'!P72+'17'!P72+'18'!P72+'19'!P72+'20'!P74</f>
        <v>25</v>
      </c>
      <c r="R74" s="399">
        <f>T57*10</f>
        <v>150</v>
      </c>
    </row>
    <row r="75" spans="1:23" x14ac:dyDescent="0.3">
      <c r="A75" s="95" t="s">
        <v>71</v>
      </c>
      <c r="B75" s="441">
        <v>17</v>
      </c>
      <c r="C75" s="454"/>
      <c r="D75" s="498" t="s">
        <v>401</v>
      </c>
      <c r="E75" s="498"/>
      <c r="F75" s="498"/>
      <c r="G75" s="498"/>
      <c r="H75" s="498"/>
      <c r="I75" s="498"/>
      <c r="J75" s="97">
        <v>23</v>
      </c>
      <c r="K75" s="391"/>
      <c r="L75" s="497" t="s">
        <v>62</v>
      </c>
      <c r="M75" s="498"/>
      <c r="N75" s="498"/>
      <c r="O75" s="408" t="s">
        <v>28</v>
      </c>
      <c r="P75" s="138">
        <v>22</v>
      </c>
      <c r="Q75" s="99">
        <f>'1'!Q73+'2'!P73+'3'!P73+'4'!P73+'5'!P73+'6'!P73+'7'!P73+'8'!P73+'9'!P73+'10'!P73+'11'!P73+'12'!P73+'13'!P73+'14'!P73+'15'!P73+'16'!P73+'17'!P73+'18'!P73+'19'!P73+'20'!P75</f>
        <v>71</v>
      </c>
      <c r="R75" s="399"/>
    </row>
    <row r="76" spans="1:23" x14ac:dyDescent="0.3">
      <c r="A76" s="95" t="s">
        <v>73</v>
      </c>
      <c r="B76" s="441">
        <v>28</v>
      </c>
      <c r="C76" s="454"/>
      <c r="D76" s="463"/>
      <c r="E76" s="543"/>
      <c r="F76" s="543"/>
      <c r="G76" s="543"/>
      <c r="H76" s="543"/>
      <c r="I76" s="543"/>
      <c r="J76" s="97"/>
      <c r="K76" s="391"/>
      <c r="L76" s="491" t="s">
        <v>64</v>
      </c>
      <c r="M76" s="469"/>
      <c r="N76" s="469"/>
      <c r="O76" s="85" t="s">
        <v>28</v>
      </c>
      <c r="P76" s="139">
        <v>0</v>
      </c>
      <c r="Q76" s="86">
        <f>'1'!Q74+'2'!P74+'3'!P74+'4'!P74+'5'!P74+'6'!P74+'7'!P74+'8'!P74+'9'!P74+'10'!P74+'11'!P74+'12'!P74+'13'!P74+'14'!P74+'15'!P74+'16'!P74+'17'!P74+'18'!P74+'19'!P74+'20'!P76</f>
        <v>0</v>
      </c>
      <c r="R76" s="409"/>
    </row>
    <row r="77" spans="1:23" x14ac:dyDescent="0.3">
      <c r="A77" s="95" t="s">
        <v>75</v>
      </c>
      <c r="B77" s="441">
        <v>9</v>
      </c>
      <c r="C77" s="454"/>
      <c r="D77" s="463" t="s">
        <v>402</v>
      </c>
      <c r="E77" s="543"/>
      <c r="F77" s="543"/>
      <c r="G77" s="543"/>
      <c r="H77" s="543"/>
      <c r="I77" s="543"/>
      <c r="J77" s="97">
        <v>39</v>
      </c>
      <c r="K77" s="391"/>
      <c r="L77" s="489" t="s">
        <v>66</v>
      </c>
      <c r="M77" s="490"/>
      <c r="N77" s="490"/>
      <c r="O77" s="405" t="s">
        <v>28</v>
      </c>
      <c r="P77" s="94">
        <f>P62-P63</f>
        <v>1440</v>
      </c>
      <c r="Q77" s="94">
        <f>'1'!Q75+'2'!P75+'3'!P75+'4'!P75+'5'!P75+'6'!P75+'7'!P75+'8'!P75+'9'!P75+'10'!P75+'11'!P75+'12'!P75+'13'!P75+'14'!P75+'15'!P75+'16'!P75+'17'!P75+'18'!P75+'19'!P75+'20'!P77</f>
        <v>21600</v>
      </c>
      <c r="R77" s="406"/>
    </row>
    <row r="78" spans="1:23" x14ac:dyDescent="0.3">
      <c r="A78" s="95" t="s">
        <v>77</v>
      </c>
      <c r="B78" s="441">
        <v>11</v>
      </c>
      <c r="C78" s="454">
        <v>1</v>
      </c>
      <c r="D78" s="463" t="s">
        <v>403</v>
      </c>
      <c r="E78" s="543"/>
      <c r="F78" s="543"/>
      <c r="G78" s="543"/>
      <c r="H78" s="543"/>
      <c r="I78" s="543"/>
      <c r="J78" s="97">
        <v>33</v>
      </c>
      <c r="K78" s="391"/>
      <c r="L78" s="489" t="s">
        <v>68</v>
      </c>
      <c r="M78" s="490"/>
      <c r="N78" s="490"/>
      <c r="O78" s="405" t="s">
        <v>28</v>
      </c>
      <c r="P78" s="94">
        <f>P67+P71</f>
        <v>270</v>
      </c>
      <c r="Q78" s="94">
        <f>'1'!Q76+'2'!P76+'3'!P76+'4'!P76+'5'!P76+'6'!P76+'7'!P76+'8'!P76+'9'!P76+'10'!P76+'11'!P76+'12'!P76+'13'!P76+'14'!P76+'15'!P76+'16'!P76+'17'!P76+'18'!P76+'19'!P76+'20'!P78</f>
        <v>3524</v>
      </c>
      <c r="R78" s="406"/>
    </row>
    <row r="79" spans="1:23" x14ac:dyDescent="0.3">
      <c r="A79" s="95" t="s">
        <v>79</v>
      </c>
      <c r="B79" s="441">
        <v>28</v>
      </c>
      <c r="C79" s="454"/>
      <c r="D79" s="463"/>
      <c r="E79" s="543"/>
      <c r="F79" s="543"/>
      <c r="G79" s="543"/>
      <c r="H79" s="543"/>
      <c r="I79" s="543"/>
      <c r="J79" s="97"/>
      <c r="K79" s="391"/>
      <c r="L79" s="486" t="s">
        <v>70</v>
      </c>
      <c r="M79" s="487"/>
      <c r="N79" s="488"/>
      <c r="O79" s="405" t="s">
        <v>28</v>
      </c>
      <c r="P79" s="142">
        <v>271</v>
      </c>
      <c r="Q79" s="94">
        <f>'1'!Q77+'2'!P77+'3'!P77+'4'!P77+'5'!P77+'6'!P77+'7'!P77+'8'!P77+'9'!P77+'10'!P77+'11'!P77+'12'!P77+'13'!P77+'14'!P77+'15'!P77+'16'!P77+'17'!P77+'18'!P77+'19'!P77+'20'!P79</f>
        <v>3553</v>
      </c>
      <c r="R79" s="406"/>
    </row>
    <row r="80" spans="1:23" x14ac:dyDescent="0.3">
      <c r="A80" s="109" t="s">
        <v>82</v>
      </c>
      <c r="B80" s="442">
        <v>28</v>
      </c>
      <c r="C80" s="455"/>
      <c r="D80" s="463"/>
      <c r="E80" s="543"/>
      <c r="F80" s="543"/>
      <c r="G80" s="543"/>
      <c r="H80" s="543"/>
      <c r="I80" s="543"/>
      <c r="J80" s="97"/>
      <c r="K80" s="407"/>
      <c r="L80" s="486" t="s">
        <v>72</v>
      </c>
      <c r="M80" s="487"/>
      <c r="N80" s="488"/>
      <c r="O80" s="405" t="s">
        <v>28</v>
      </c>
      <c r="P80" s="94">
        <f>+P79-P78</f>
        <v>1</v>
      </c>
      <c r="Q80" s="94">
        <f>'1'!Q78+'2'!P78+'3'!P78+'4'!P78+'5'!P78+'6'!P78+'7'!P78+'8'!P78+'9'!P78+'10'!P78+'11'!P78+'12'!P78+'13'!P78+'14'!P78+'15'!P78+'16'!P78+'17'!P78+'18'!P78+'19'!P78+'20'!P80</f>
        <v>29</v>
      </c>
      <c r="R80" s="406"/>
    </row>
    <row r="81" spans="1:18" x14ac:dyDescent="0.3">
      <c r="A81" s="114"/>
      <c r="B81" s="115">
        <f>SUM(B57:B80)</f>
        <v>484</v>
      </c>
      <c r="C81" s="116">
        <f>SUM(C57:C80)</f>
        <v>1</v>
      </c>
      <c r="D81" s="470"/>
      <c r="E81" s="471"/>
      <c r="F81" s="471"/>
      <c r="G81" s="471"/>
      <c r="H81" s="471"/>
      <c r="I81" s="472"/>
      <c r="J81" s="117">
        <f>SUM(J57:J80)</f>
        <v>270</v>
      </c>
      <c r="K81" s="411"/>
      <c r="L81" s="489" t="s">
        <v>74</v>
      </c>
      <c r="M81" s="490"/>
      <c r="N81" s="490"/>
      <c r="O81" s="405" t="s">
        <v>28</v>
      </c>
      <c r="P81" s="94">
        <f>+P77-P78-P80</f>
        <v>1169</v>
      </c>
      <c r="Q81" s="94">
        <f>'1'!Q79+'2'!P79+'3'!P79+'4'!P79+'5'!P79+'6'!P79+'7'!P79+'8'!P79+'9'!P79+'10'!P79+'11'!P79+'12'!P79+'13'!P79+'14'!P79+'15'!P79+'16'!P79+'17'!P79+'18'!P79+'19'!P79+'20'!P81</f>
        <v>18047</v>
      </c>
      <c r="R81" s="406"/>
    </row>
    <row r="82" spans="1:18" x14ac:dyDescent="0.3">
      <c r="A82" s="411"/>
      <c r="B82" s="411"/>
      <c r="C82" s="411"/>
      <c r="D82" s="411"/>
      <c r="E82" s="411"/>
      <c r="F82" s="411"/>
      <c r="G82" s="411"/>
      <c r="H82" s="411"/>
      <c r="I82" s="411"/>
      <c r="J82" s="411"/>
      <c r="K82" s="411"/>
      <c r="L82" s="492" t="s">
        <v>76</v>
      </c>
      <c r="M82" s="493"/>
      <c r="N82" s="493"/>
      <c r="O82" s="102" t="s">
        <v>14</v>
      </c>
      <c r="P82" s="103">
        <f>P81/P77</f>
        <v>0.81180555555555556</v>
      </c>
      <c r="Q82" s="431">
        <f>Q81/Q77</f>
        <v>0.83550925925925923</v>
      </c>
      <c r="R82" s="412">
        <v>0.86</v>
      </c>
    </row>
    <row r="83" spans="1:18" x14ac:dyDescent="0.3">
      <c r="A83" s="120" t="s">
        <v>87</v>
      </c>
      <c r="B83" s="413"/>
      <c r="C83" s="413"/>
      <c r="D83" s="413"/>
      <c r="E83" s="413"/>
      <c r="F83" s="413"/>
      <c r="G83" s="413"/>
      <c r="H83" s="413"/>
      <c r="I83" s="413"/>
      <c r="J83" s="414"/>
      <c r="K83" s="411"/>
      <c r="L83" s="464" t="s">
        <v>78</v>
      </c>
      <c r="M83" s="465"/>
      <c r="N83" s="465"/>
      <c r="O83" s="104" t="s">
        <v>14</v>
      </c>
      <c r="P83" s="105">
        <f>P81/P62</f>
        <v>0.81180555555555556</v>
      </c>
      <c r="Q83" s="165">
        <f>Q81/Q62</f>
        <v>0.62663194444444448</v>
      </c>
      <c r="R83" s="409"/>
    </row>
    <row r="84" spans="1:18" x14ac:dyDescent="0.3">
      <c r="A84" s="415"/>
      <c r="J84" s="416"/>
      <c r="K84" s="411"/>
      <c r="L84" s="466" t="s">
        <v>80</v>
      </c>
      <c r="M84" s="467"/>
      <c r="N84" s="467"/>
      <c r="O84" s="106" t="s">
        <v>81</v>
      </c>
      <c r="P84" s="107">
        <f>(C18/1000)/(P81/60)</f>
        <v>52.254816082121465</v>
      </c>
      <c r="Q84" s="150">
        <f>(C28/1000)/(Q81/60)</f>
        <v>52.769094032249122</v>
      </c>
      <c r="R84" s="395"/>
    </row>
    <row r="85" spans="1:18" x14ac:dyDescent="0.3">
      <c r="A85" s="415"/>
      <c r="J85" s="416"/>
      <c r="K85" s="411"/>
      <c r="L85" s="468" t="s">
        <v>83</v>
      </c>
      <c r="M85" s="469"/>
      <c r="N85" s="469"/>
      <c r="O85" s="85" t="s">
        <v>81</v>
      </c>
      <c r="P85" s="112">
        <f>(C18/1000)/(P77/60)</f>
        <v>42.420749999999998</v>
      </c>
      <c r="Q85" s="113">
        <f>(C28/1000)/(Q77/60)</f>
        <v>44.089066666666668</v>
      </c>
      <c r="R85" s="409"/>
    </row>
    <row r="86" spans="1:18" x14ac:dyDescent="0.3">
      <c r="A86" s="415"/>
      <c r="J86" s="416"/>
      <c r="K86" s="411"/>
      <c r="L86" s="473" t="s">
        <v>84</v>
      </c>
      <c r="M86" s="474"/>
      <c r="N86" s="475"/>
      <c r="O86" s="102" t="s">
        <v>85</v>
      </c>
      <c r="P86" s="144">
        <v>32580</v>
      </c>
      <c r="Q86" s="100">
        <f>'1'!Q84+'2'!P84+'3'!P84+'4'!P84+'5'!P84+'6'!P84+'7'!P84+'8'!P84+'9'!P84+'10'!P84+'11'!P84+'12'!P84+'13'!P84+'14'!P84+'15'!P84+'16'!P84+'17'!P84+'18'!P84+'19'!P84+'20'!P86</f>
        <v>518616</v>
      </c>
      <c r="R86" s="395"/>
    </row>
    <row r="87" spans="1:18" x14ac:dyDescent="0.3">
      <c r="A87" s="415"/>
      <c r="J87" s="416"/>
      <c r="K87" s="411"/>
      <c r="L87" s="476"/>
      <c r="M87" s="477"/>
      <c r="N87" s="478"/>
      <c r="O87" s="118" t="s">
        <v>86</v>
      </c>
      <c r="P87" s="146">
        <f>P86/(K19/1000)</f>
        <v>32.488512349224585</v>
      </c>
      <c r="Q87" s="124">
        <f>Q86/(K29/1000)</f>
        <v>33.214802969795954</v>
      </c>
      <c r="R87" s="409"/>
    </row>
    <row r="88" spans="1:18" x14ac:dyDescent="0.3">
      <c r="A88" s="415"/>
      <c r="J88" s="416"/>
      <c r="K88" s="411"/>
      <c r="L88" s="479" t="s">
        <v>88</v>
      </c>
      <c r="M88" s="480"/>
      <c r="N88" s="481"/>
      <c r="O88" s="121" t="s">
        <v>89</v>
      </c>
      <c r="P88" s="143">
        <v>195.04</v>
      </c>
      <c r="Q88" s="100">
        <f>'1'!Q86+'2'!P86+'3'!P86+'4'!P86+'5'!P86+'6'!P86+'7'!P86+'8'!P86+'9'!P86+'10'!P86+'11'!P86+'12'!P86+'13'!P86+'14'!P86+'15'!P86+'16'!P86+'17'!P86+'18'!P86+'19'!P86+'20'!P88</f>
        <v>2978.95</v>
      </c>
      <c r="R88" s="395"/>
    </row>
    <row r="89" spans="1:18" x14ac:dyDescent="0.3">
      <c r="A89" s="415"/>
      <c r="J89" s="416"/>
      <c r="K89" s="411"/>
      <c r="L89" s="482"/>
      <c r="M89" s="483"/>
      <c r="N89" s="484"/>
      <c r="O89" s="123" t="s">
        <v>90</v>
      </c>
      <c r="P89" s="124">
        <f>(P88*1000)/(K18/1000)</f>
        <v>194.88506637223409</v>
      </c>
      <c r="Q89" s="124">
        <f>(Q88*1000)/(K28/1000)</f>
        <v>191.56058261373659</v>
      </c>
      <c r="R89" s="409"/>
    </row>
    <row r="90" spans="1:18" x14ac:dyDescent="0.3">
      <c r="A90" s="415"/>
      <c r="J90" s="416"/>
      <c r="K90" s="411"/>
      <c r="L90" s="485" t="s">
        <v>91</v>
      </c>
      <c r="M90" s="474"/>
      <c r="N90" s="475"/>
      <c r="O90" s="125" t="s">
        <v>92</v>
      </c>
      <c r="P90" s="140">
        <v>61</v>
      </c>
      <c r="Q90" s="100">
        <f>'1'!Q88+'2'!P88+'3'!P88+'4'!P88+'5'!P88+'6'!P88+'7'!P88+'8'!P88+'9'!P88+'10'!P88+'11'!P88+'12'!P88+'13'!P88+'14'!P88+'15'!P88+'16'!P88+'17'!P88+'18'!P88+'19'!P88+'20'!P90</f>
        <v>1752</v>
      </c>
      <c r="R90" s="395"/>
    </row>
    <row r="91" spans="1:18" x14ac:dyDescent="0.3">
      <c r="A91" s="415"/>
      <c r="J91" s="416"/>
      <c r="K91" s="411"/>
      <c r="L91" s="476"/>
      <c r="M91" s="477"/>
      <c r="N91" s="478"/>
      <c r="O91" s="127" t="s">
        <v>93</v>
      </c>
      <c r="P91" s="128">
        <f>P90/(K18/1000)</f>
        <v>6.0951543522899297E-2</v>
      </c>
      <c r="Q91" s="124">
        <f>Q90/(K28/1000)</f>
        <v>0.11266189118288877</v>
      </c>
      <c r="R91" s="409"/>
    </row>
    <row r="92" spans="1:18" x14ac:dyDescent="0.3">
      <c r="A92" s="415"/>
      <c r="J92" s="416"/>
      <c r="K92" s="411"/>
      <c r="L92" s="411"/>
      <c r="M92" s="411"/>
      <c r="N92" s="411"/>
      <c r="O92" s="411"/>
      <c r="P92" s="411"/>
      <c r="Q92" s="411"/>
    </row>
    <row r="93" spans="1:18" x14ac:dyDescent="0.3">
      <c r="A93" s="415"/>
      <c r="J93" s="416"/>
      <c r="K93" s="411"/>
      <c r="L93" s="411"/>
      <c r="M93" s="411"/>
      <c r="N93" s="461" t="s">
        <v>94</v>
      </c>
      <c r="O93" s="462"/>
      <c r="P93" s="461" t="s">
        <v>95</v>
      </c>
      <c r="Q93" s="462"/>
    </row>
    <row r="94" spans="1:18" x14ac:dyDescent="0.3">
      <c r="A94" s="417"/>
      <c r="B94" s="418"/>
      <c r="C94" s="418"/>
      <c r="D94" s="418"/>
      <c r="E94" s="418"/>
      <c r="F94" s="418"/>
      <c r="G94" s="418"/>
      <c r="H94" s="418"/>
      <c r="I94" s="418"/>
      <c r="J94" s="416"/>
      <c r="K94" s="411"/>
      <c r="L94" s="411"/>
      <c r="M94" s="411"/>
      <c r="N94" s="129"/>
      <c r="O94" s="130"/>
      <c r="P94" s="129"/>
      <c r="Q94" s="130"/>
    </row>
    <row r="95" spans="1:18" x14ac:dyDescent="0.3">
      <c r="A95" s="417"/>
      <c r="B95" s="418"/>
      <c r="C95" s="418"/>
      <c r="D95" s="418"/>
      <c r="E95" s="418"/>
      <c r="F95" s="418"/>
      <c r="G95" s="418"/>
      <c r="H95" s="418"/>
      <c r="I95" s="418"/>
      <c r="J95" s="416"/>
      <c r="K95" s="411"/>
      <c r="L95" s="411"/>
      <c r="M95" s="411"/>
      <c r="N95" s="129"/>
      <c r="O95" s="130"/>
      <c r="P95" s="129"/>
      <c r="Q95" s="130"/>
    </row>
    <row r="96" spans="1:18" x14ac:dyDescent="0.3">
      <c r="A96" s="419"/>
      <c r="B96" s="420"/>
      <c r="C96" s="420"/>
      <c r="D96" s="420"/>
      <c r="E96" s="420"/>
      <c r="F96" s="420"/>
      <c r="G96" s="420"/>
      <c r="H96" s="420"/>
      <c r="I96" s="420"/>
      <c r="J96" s="421"/>
      <c r="K96" s="411"/>
      <c r="L96" s="411"/>
      <c r="M96" s="411"/>
      <c r="N96" s="131"/>
      <c r="O96" s="132"/>
      <c r="P96" s="131"/>
      <c r="Q96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3:A28"/>
    <mergeCell ref="A29:J29"/>
    <mergeCell ref="A53:Q53"/>
    <mergeCell ref="C55:C56"/>
    <mergeCell ref="D55:I56"/>
    <mergeCell ref="J55:J56"/>
    <mergeCell ref="L55:N56"/>
    <mergeCell ref="O55:O56"/>
    <mergeCell ref="P55:P56"/>
    <mergeCell ref="Q55:Q56"/>
    <mergeCell ref="A19:J19"/>
    <mergeCell ref="A21:F21"/>
    <mergeCell ref="G21:N21"/>
    <mergeCell ref="A22:C22"/>
    <mergeCell ref="D22:F22"/>
    <mergeCell ref="G22:L22"/>
    <mergeCell ref="M22:N22"/>
    <mergeCell ref="D60:I60"/>
    <mergeCell ref="D57:I57"/>
    <mergeCell ref="D58:I58"/>
    <mergeCell ref="D61:I61"/>
    <mergeCell ref="L66:N66"/>
    <mergeCell ref="D59:I59"/>
    <mergeCell ref="L64:N64"/>
    <mergeCell ref="D62:I62"/>
    <mergeCell ref="L62:N62"/>
    <mergeCell ref="D63:I63"/>
    <mergeCell ref="D64:I64"/>
    <mergeCell ref="L63:N63"/>
    <mergeCell ref="D65:I65"/>
    <mergeCell ref="L65:N65"/>
    <mergeCell ref="D66:I66"/>
    <mergeCell ref="D67:I67"/>
    <mergeCell ref="L69:N69"/>
    <mergeCell ref="D68:I68"/>
    <mergeCell ref="L67:N67"/>
    <mergeCell ref="D69:I69"/>
    <mergeCell ref="L68:N68"/>
    <mergeCell ref="L74:N74"/>
    <mergeCell ref="D70:I70"/>
    <mergeCell ref="L72:N72"/>
    <mergeCell ref="D71:I71"/>
    <mergeCell ref="L70:N70"/>
    <mergeCell ref="L71:N71"/>
    <mergeCell ref="L88:N89"/>
    <mergeCell ref="L90:N91"/>
    <mergeCell ref="N93:O93"/>
    <mergeCell ref="P93:Q93"/>
    <mergeCell ref="D74:I74"/>
    <mergeCell ref="L79:N79"/>
    <mergeCell ref="D75:I75"/>
    <mergeCell ref="L80:N80"/>
    <mergeCell ref="D76:I76"/>
    <mergeCell ref="L81:N81"/>
    <mergeCell ref="L78:N78"/>
    <mergeCell ref="L84:N84"/>
    <mergeCell ref="D80:I80"/>
    <mergeCell ref="L85:N85"/>
    <mergeCell ref="D81:I81"/>
    <mergeCell ref="L86:N87"/>
    <mergeCell ref="L82:N82"/>
    <mergeCell ref="D78:I78"/>
    <mergeCell ref="L83:N83"/>
    <mergeCell ref="D79:I79"/>
    <mergeCell ref="L57:N57"/>
    <mergeCell ref="L58:N58"/>
    <mergeCell ref="L59:N59"/>
    <mergeCell ref="L60:N60"/>
    <mergeCell ref="L61:N61"/>
    <mergeCell ref="L76:N76"/>
    <mergeCell ref="D72:I72"/>
    <mergeCell ref="L77:N77"/>
    <mergeCell ref="D73:I73"/>
    <mergeCell ref="L75:N75"/>
    <mergeCell ref="D77:I77"/>
    <mergeCell ref="L73:N73"/>
  </mergeCells>
  <pageMargins left="0.7" right="0.7" top="0.25" bottom="0.25" header="0.3" footer="0.3"/>
  <pageSetup paperSize="9" scale="68" orientation="landscape" horizontalDpi="0" verticalDpi="0" r:id="rId1"/>
  <rowBreaks count="1" manualBreakCount="1">
    <brk id="51" max="1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52" zoomScaleNormal="100" workbookViewId="0">
      <selection activeCell="R59" sqref="R59"/>
    </sheetView>
  </sheetViews>
  <sheetFormatPr defaultRowHeight="16.5" x14ac:dyDescent="0.3"/>
  <cols>
    <col min="1" max="1" width="8.71093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'20'!A3:Q3+1</f>
        <v>46043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319</v>
      </c>
      <c r="B7" s="15">
        <v>3</v>
      </c>
      <c r="C7" s="15">
        <v>6282</v>
      </c>
      <c r="D7" s="16"/>
      <c r="E7" s="17"/>
      <c r="F7" s="18"/>
      <c r="G7" s="19" t="s">
        <v>1</v>
      </c>
      <c r="H7" s="20">
        <v>7.5</v>
      </c>
      <c r="I7" s="21" t="s">
        <v>318</v>
      </c>
      <c r="J7" s="22">
        <v>3</v>
      </c>
      <c r="K7" s="17">
        <v>6182</v>
      </c>
      <c r="L7" s="23">
        <f t="shared" ref="L7:L16" si="0">K7/C7</f>
        <v>0.98408150270614458</v>
      </c>
      <c r="M7" s="17"/>
      <c r="N7" s="22"/>
      <c r="O7" s="134"/>
      <c r="P7" s="134"/>
      <c r="Q7" s="134"/>
    </row>
    <row r="8" spans="1:17" x14ac:dyDescent="0.3">
      <c r="A8" s="24" t="s">
        <v>319</v>
      </c>
      <c r="B8" s="25">
        <v>144</v>
      </c>
      <c r="C8" s="25">
        <v>301536</v>
      </c>
      <c r="D8" s="26"/>
      <c r="E8" s="27"/>
      <c r="F8" s="28"/>
      <c r="G8" s="29" t="s">
        <v>1</v>
      </c>
      <c r="H8" s="30">
        <v>8.5</v>
      </c>
      <c r="I8" s="31" t="s">
        <v>318</v>
      </c>
      <c r="J8" s="32">
        <v>144</v>
      </c>
      <c r="K8" s="33">
        <v>297326</v>
      </c>
      <c r="L8" s="34">
        <f t="shared" si="0"/>
        <v>0.98603815133184758</v>
      </c>
      <c r="M8" s="33"/>
      <c r="N8" s="32"/>
      <c r="O8" s="135"/>
      <c r="P8" s="135"/>
      <c r="Q8" s="135"/>
    </row>
    <row r="9" spans="1:17" x14ac:dyDescent="0.3">
      <c r="A9" s="24" t="s">
        <v>221</v>
      </c>
      <c r="B9" s="25">
        <v>168</v>
      </c>
      <c r="C9" s="25">
        <v>356328</v>
      </c>
      <c r="D9" s="26"/>
      <c r="E9" s="27"/>
      <c r="F9" s="28"/>
      <c r="G9" s="29" t="s">
        <v>1</v>
      </c>
      <c r="H9" s="30">
        <v>8.5</v>
      </c>
      <c r="I9" s="31" t="s">
        <v>204</v>
      </c>
      <c r="J9" s="32">
        <v>168</v>
      </c>
      <c r="K9" s="33">
        <v>351899</v>
      </c>
      <c r="L9" s="34">
        <f t="shared" si="0"/>
        <v>0.98757044071754119</v>
      </c>
      <c r="M9" s="33"/>
      <c r="N9" s="32"/>
      <c r="O9" s="135"/>
      <c r="P9" s="135"/>
      <c r="Q9" s="135"/>
    </row>
    <row r="10" spans="1:17" x14ac:dyDescent="0.3">
      <c r="A10" s="35" t="s">
        <v>319</v>
      </c>
      <c r="B10" s="36">
        <v>132</v>
      </c>
      <c r="C10" s="36">
        <v>276408</v>
      </c>
      <c r="D10" s="37"/>
      <c r="E10" s="38"/>
      <c r="F10" s="18"/>
      <c r="G10" s="39" t="s">
        <v>1</v>
      </c>
      <c r="H10" s="40">
        <v>6.5</v>
      </c>
      <c r="I10" s="31" t="s">
        <v>318</v>
      </c>
      <c r="J10" s="41">
        <v>132</v>
      </c>
      <c r="K10" s="42">
        <v>272597</v>
      </c>
      <c r="L10" s="34">
        <f t="shared" si="0"/>
        <v>0.98621241063934473</v>
      </c>
      <c r="M10" s="33"/>
      <c r="N10" s="32"/>
      <c r="O10" s="135"/>
      <c r="P10" s="135"/>
      <c r="Q10" s="135"/>
    </row>
    <row r="11" spans="1:17" x14ac:dyDescent="0.3">
      <c r="A11" s="35" t="s">
        <v>329</v>
      </c>
      <c r="B11" s="36">
        <v>30</v>
      </c>
      <c r="C11" s="36">
        <v>63180</v>
      </c>
      <c r="D11" s="37"/>
      <c r="E11" s="38"/>
      <c r="F11" s="18"/>
      <c r="G11" s="39" t="s">
        <v>1</v>
      </c>
      <c r="H11" s="40">
        <v>6.5</v>
      </c>
      <c r="I11" s="31" t="s">
        <v>318</v>
      </c>
      <c r="J11" s="41">
        <v>30</v>
      </c>
      <c r="K11" s="42">
        <v>62382</v>
      </c>
      <c r="L11" s="34">
        <f t="shared" si="0"/>
        <v>0.98736942070275402</v>
      </c>
      <c r="M11" s="33"/>
      <c r="N11" s="32"/>
      <c r="O11" s="135"/>
      <c r="P11" s="135"/>
      <c r="Q11" s="135"/>
    </row>
    <row r="12" spans="1:17" x14ac:dyDescent="0.3">
      <c r="A12" s="35" t="s">
        <v>221</v>
      </c>
      <c r="B12" s="36">
        <v>120</v>
      </c>
      <c r="C12" s="36">
        <v>254520</v>
      </c>
      <c r="D12" s="37"/>
      <c r="E12" s="38"/>
      <c r="F12" s="18"/>
      <c r="G12" s="39" t="s">
        <v>1</v>
      </c>
      <c r="H12" s="40">
        <v>6.5</v>
      </c>
      <c r="I12" s="31" t="s">
        <v>204</v>
      </c>
      <c r="J12" s="41">
        <v>120</v>
      </c>
      <c r="K12" s="42">
        <v>251907</v>
      </c>
      <c r="L12" s="34">
        <f t="shared" si="0"/>
        <v>0.98973361621876477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597</v>
      </c>
      <c r="C16" s="48">
        <f>SUM(C7:C15)</f>
        <v>1258254</v>
      </c>
      <c r="D16" s="49">
        <f>SUM(D7:D15)</f>
        <v>0</v>
      </c>
      <c r="E16" s="50">
        <f>SUM(E7:E15)</f>
        <v>0</v>
      </c>
      <c r="F16" s="51">
        <f>E16/C16</f>
        <v>0</v>
      </c>
      <c r="G16" s="52"/>
      <c r="H16" s="2"/>
      <c r="I16" s="2"/>
      <c r="J16" s="53">
        <f>SUM(J7:J15)</f>
        <v>597</v>
      </c>
      <c r="K16" s="53">
        <f>SUM(K7:K15)</f>
        <v>1242293</v>
      </c>
      <c r="L16" s="51">
        <f t="shared" si="0"/>
        <v>0.98731496184395207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1242293</v>
      </c>
      <c r="L17" s="51">
        <f>K17/C16</f>
        <v>0.98731496184395207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'20'!B24+'21'!B16</f>
        <v>6958</v>
      </c>
      <c r="C22" s="57">
        <f>'20'!C24+'21'!C16</f>
        <v>14695447</v>
      </c>
      <c r="D22" s="57">
        <f>'20'!D24+'21'!D16</f>
        <v>14</v>
      </c>
      <c r="E22" s="57">
        <f>'20'!E24+'21'!E16</f>
        <v>29600</v>
      </c>
      <c r="F22" s="423">
        <f>E22/C22</f>
        <v>2.0142293051718671E-3</v>
      </c>
      <c r="G22" s="58" t="s">
        <v>1</v>
      </c>
      <c r="H22" s="59"/>
      <c r="I22" s="59"/>
      <c r="J22" s="57">
        <f>'20'!J24+'21'!J16</f>
        <v>6917</v>
      </c>
      <c r="K22" s="57">
        <f>'20'!K24+'21'!K16</f>
        <v>14413533</v>
      </c>
      <c r="L22" s="60">
        <f>K22/C22</f>
        <v>0.98081623512370875</v>
      </c>
      <c r="M22" s="57">
        <f>'20'!M24+'21'!M16</f>
        <v>27</v>
      </c>
      <c r="N22" s="57">
        <f>'20'!N24+'21'!N16</f>
        <v>55385</v>
      </c>
      <c r="O22" s="135"/>
      <c r="P22" s="135"/>
      <c r="Q22" s="135"/>
    </row>
    <row r="23" spans="1:17" x14ac:dyDescent="0.3">
      <c r="A23" s="521"/>
      <c r="B23" s="61">
        <f>'20'!B25</f>
        <v>1160</v>
      </c>
      <c r="C23" s="61">
        <f>'20'!C25</f>
        <v>2434871</v>
      </c>
      <c r="D23" s="61">
        <f>'20'!D25</f>
        <v>6</v>
      </c>
      <c r="E23" s="61">
        <f>'20'!E25</f>
        <v>12633</v>
      </c>
      <c r="F23" s="424">
        <f>E23/C23</f>
        <v>5.1883652152413823E-3</v>
      </c>
      <c r="G23" s="381" t="s">
        <v>195</v>
      </c>
      <c r="H23" s="59"/>
      <c r="I23" s="59"/>
      <c r="J23" s="61">
        <f>'20'!J25</f>
        <v>1150</v>
      </c>
      <c r="K23" s="61">
        <f>'20'!K25</f>
        <v>2379715</v>
      </c>
      <c r="L23" s="382">
        <f t="shared" ref="L23:L24" si="1">K23/C23</f>
        <v>0.97734746522505711</v>
      </c>
      <c r="M23" s="61">
        <f>'20'!M25</f>
        <v>4</v>
      </c>
      <c r="N23" s="61">
        <f>'20'!N25</f>
        <v>7662</v>
      </c>
      <c r="O23" s="135"/>
      <c r="P23" s="135"/>
      <c r="Q23" s="135"/>
    </row>
    <row r="24" spans="1:17" x14ac:dyDescent="0.3">
      <c r="A24" s="521"/>
      <c r="B24" s="61">
        <f>'20'!B26</f>
        <v>0</v>
      </c>
      <c r="C24" s="61">
        <f>'20'!C26</f>
        <v>0</v>
      </c>
      <c r="D24" s="61">
        <f>'20'!D26</f>
        <v>0</v>
      </c>
      <c r="E24" s="61">
        <f>'20'!E26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'20'!J26</f>
        <v>0</v>
      </c>
      <c r="K24" s="61">
        <f>'20'!K26</f>
        <v>0</v>
      </c>
      <c r="L24" s="382" t="e">
        <f t="shared" si="1"/>
        <v>#DIV/0!</v>
      </c>
      <c r="M24" s="61">
        <f>'20'!M26</f>
        <v>0</v>
      </c>
      <c r="N24" s="61">
        <f>'20'!N26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8118</v>
      </c>
      <c r="C26" s="68">
        <f>SUM(C21:C25)</f>
        <v>17130318</v>
      </c>
      <c r="D26" s="49">
        <f>SUM(D21:D25)</f>
        <v>20</v>
      </c>
      <c r="E26" s="69">
        <f>SUM(E22:E25)</f>
        <v>42233</v>
      </c>
      <c r="F26" s="51">
        <f>E26/C26</f>
        <v>2.4653949798246594E-3</v>
      </c>
      <c r="G26" s="51"/>
      <c r="H26" s="70"/>
      <c r="I26" s="70"/>
      <c r="J26" s="71">
        <f>SUM(J22:J25)</f>
        <v>8067</v>
      </c>
      <c r="K26" s="68">
        <f>SUM(K22:K25)</f>
        <v>16793248</v>
      </c>
      <c r="L26" s="51">
        <f>K26/C26</f>
        <v>0.98032319073119367</v>
      </c>
      <c r="M26" s="71">
        <f>SUM(M22:M25)</f>
        <v>31</v>
      </c>
      <c r="N26" s="54">
        <f>SUM(N22:N25)</f>
        <v>63047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16856295</v>
      </c>
      <c r="L27" s="51">
        <f>K27/C26</f>
        <v>0.98400362445110479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'20'!A32</f>
        <v>BIC</v>
      </c>
      <c r="B30" s="307" t="str">
        <f>'20'!B32</f>
        <v>P.6</v>
      </c>
      <c r="C30" s="307" t="str">
        <f>'20'!C32</f>
        <v>BjTPG280</v>
      </c>
      <c r="D30" s="308">
        <f>'20'!D32</f>
        <v>239</v>
      </c>
      <c r="E30" s="308">
        <f>'20'!E32</f>
        <v>497038</v>
      </c>
      <c r="F30" s="79"/>
      <c r="G30" s="307" t="str">
        <f>'20'!G32</f>
        <v>WR</v>
      </c>
      <c r="H30" s="309">
        <f>'20'!H32</f>
        <v>18</v>
      </c>
      <c r="I30" s="309">
        <f>'20'!I32</f>
        <v>8</v>
      </c>
      <c r="J30" s="170">
        <f>'20'!J32</f>
        <v>68</v>
      </c>
      <c r="K30" s="310">
        <f>'20'!K32</f>
        <v>140152</v>
      </c>
      <c r="L30" s="79"/>
      <c r="M30" s="307" t="str">
        <f>'20'!M32</f>
        <v>WR</v>
      </c>
      <c r="N30" s="309">
        <f>'20'!N32</f>
        <v>0</v>
      </c>
      <c r="O30" s="309">
        <f>'20'!O32</f>
        <v>0</v>
      </c>
      <c r="P30" s="170">
        <f>'20'!P32</f>
        <v>0</v>
      </c>
      <c r="Q30" s="310">
        <f>'20'!Q32</f>
        <v>0</v>
      </c>
    </row>
    <row r="31" spans="1:17" x14ac:dyDescent="0.3">
      <c r="A31" s="307" t="str">
        <f>'20'!A33</f>
        <v>WR</v>
      </c>
      <c r="B31" s="307">
        <f>'20'!B33</f>
        <v>6.5</v>
      </c>
      <c r="C31" s="307">
        <f>'20'!C33</f>
        <v>8</v>
      </c>
      <c r="D31" s="308">
        <f>'20'!D33</f>
        <v>144</v>
      </c>
      <c r="E31" s="308">
        <f>'20'!E33</f>
        <v>301505</v>
      </c>
      <c r="F31" s="135"/>
      <c r="G31" s="307" t="str">
        <f>'20'!G33</f>
        <v>WR</v>
      </c>
      <c r="H31" s="309">
        <f>'20'!H33</f>
        <v>7.5</v>
      </c>
      <c r="I31" s="309">
        <f>'20'!I33</f>
        <v>8</v>
      </c>
      <c r="J31" s="170">
        <f>'20'!J33</f>
        <v>96</v>
      </c>
      <c r="K31" s="310">
        <f>'20'!K33</f>
        <v>200884</v>
      </c>
      <c r="L31" s="135"/>
      <c r="M31" s="307" t="str">
        <f>'20'!M33</f>
        <v>WR</v>
      </c>
      <c r="N31" s="309">
        <f>'20'!N33</f>
        <v>0</v>
      </c>
      <c r="O31" s="309">
        <f>'20'!O33</f>
        <v>0</v>
      </c>
      <c r="P31" s="170">
        <f>'20'!P33</f>
        <v>0</v>
      </c>
      <c r="Q31" s="310">
        <f>'20'!Q33</f>
        <v>0</v>
      </c>
    </row>
    <row r="32" spans="1:17" x14ac:dyDescent="0.3">
      <c r="A32" s="307" t="str">
        <f>'20'!A34</f>
        <v>WR</v>
      </c>
      <c r="B32" s="307">
        <f>'20'!B34</f>
        <v>6.5</v>
      </c>
      <c r="C32" s="307">
        <f>'20'!C34</f>
        <v>10</v>
      </c>
      <c r="D32" s="308">
        <f>'20'!D34</f>
        <v>48</v>
      </c>
      <c r="E32" s="308">
        <f>'20'!E34</f>
        <v>99149</v>
      </c>
      <c r="F32" s="135"/>
      <c r="G32" s="307" t="str">
        <f>'20'!G34</f>
        <v>WR</v>
      </c>
      <c r="H32" s="309">
        <f>'20'!H34</f>
        <v>7.5</v>
      </c>
      <c r="I32" s="309">
        <f>'20'!I34</f>
        <v>15</v>
      </c>
      <c r="J32" s="310">
        <f>'20'!J34+J7</f>
        <v>543</v>
      </c>
      <c r="K32" s="310">
        <f>'20'!K34+K7</f>
        <v>1124422</v>
      </c>
      <c r="L32" s="135"/>
      <c r="M32" s="307" t="str">
        <f>'20'!M34</f>
        <v>WR</v>
      </c>
      <c r="N32" s="309">
        <f>'20'!N34</f>
        <v>0</v>
      </c>
      <c r="O32" s="309">
        <f>'20'!O34</f>
        <v>0</v>
      </c>
      <c r="P32" s="170">
        <f>'20'!P34</f>
        <v>0</v>
      </c>
      <c r="Q32" s="310">
        <f>'20'!Q34</f>
        <v>0</v>
      </c>
    </row>
    <row r="33" spans="1:17" x14ac:dyDescent="0.3">
      <c r="A33" s="307" t="str">
        <f>'20'!A35</f>
        <v>WR</v>
      </c>
      <c r="B33" s="307">
        <f>'20'!B35</f>
        <v>6.5</v>
      </c>
      <c r="C33" s="307">
        <f>'20'!C35</f>
        <v>15</v>
      </c>
      <c r="D33" s="308">
        <f>'20'!D35</f>
        <v>6</v>
      </c>
      <c r="E33" s="308">
        <f>'20'!E35</f>
        <v>12304</v>
      </c>
      <c r="F33" s="135"/>
      <c r="G33" s="307" t="str">
        <f>'20'!G35</f>
        <v>WR</v>
      </c>
      <c r="H33" s="309">
        <f>'20'!H35</f>
        <v>5.5</v>
      </c>
      <c r="I33" s="309">
        <f>'20'!I35</f>
        <v>22</v>
      </c>
      <c r="J33" s="170">
        <f>'20'!J35</f>
        <v>436</v>
      </c>
      <c r="K33" s="310">
        <f>'20'!K35</f>
        <v>893285</v>
      </c>
      <c r="L33" s="135"/>
      <c r="M33" s="307" t="str">
        <f>'20'!M35</f>
        <v>WR</v>
      </c>
      <c r="N33" s="309">
        <f>'20'!N35</f>
        <v>0</v>
      </c>
      <c r="O33" s="309">
        <f>'20'!O35</f>
        <v>0</v>
      </c>
      <c r="P33" s="170">
        <f>'20'!P35</f>
        <v>0</v>
      </c>
      <c r="Q33" s="310">
        <f>'20'!Q35</f>
        <v>0</v>
      </c>
    </row>
    <row r="34" spans="1:17" x14ac:dyDescent="0.3">
      <c r="A34" s="307" t="str">
        <f>'20'!A36</f>
        <v>WR</v>
      </c>
      <c r="B34" s="307">
        <f>'20'!B36</f>
        <v>5.5</v>
      </c>
      <c r="C34" s="307">
        <f>'20'!C36</f>
        <v>6</v>
      </c>
      <c r="D34" s="308">
        <f>'20'!D36</f>
        <v>959</v>
      </c>
      <c r="E34" s="308">
        <f>'20'!E36</f>
        <v>2011148</v>
      </c>
      <c r="F34" s="135"/>
      <c r="G34" s="307" t="str">
        <f>'20'!G36</f>
        <v>WR</v>
      </c>
      <c r="H34" s="309">
        <f>'20'!H36</f>
        <v>5.5</v>
      </c>
      <c r="I34" s="309">
        <f>'20'!I36</f>
        <v>1045</v>
      </c>
      <c r="J34" s="170">
        <f>'20'!J36</f>
        <v>50</v>
      </c>
      <c r="K34" s="310">
        <f>'20'!K36</f>
        <v>104556</v>
      </c>
      <c r="L34" s="135"/>
      <c r="M34" s="307" t="str">
        <f>'20'!M36</f>
        <v>WR</v>
      </c>
      <c r="N34" s="309">
        <f>'20'!N36</f>
        <v>0</v>
      </c>
      <c r="O34" s="309">
        <f>'20'!O36</f>
        <v>0</v>
      </c>
      <c r="P34" s="170">
        <f>'20'!P36</f>
        <v>0</v>
      </c>
      <c r="Q34" s="310">
        <f>'20'!Q36</f>
        <v>0</v>
      </c>
    </row>
    <row r="35" spans="1:17" x14ac:dyDescent="0.3">
      <c r="A35" s="307" t="str">
        <f>'20'!A37</f>
        <v>WR</v>
      </c>
      <c r="B35" s="307">
        <f>'20'!B37</f>
        <v>5.5</v>
      </c>
      <c r="C35" s="307" t="str">
        <f>'20'!C37</f>
        <v>8.A</v>
      </c>
      <c r="D35" s="308">
        <f>'20'!D37</f>
        <v>75</v>
      </c>
      <c r="E35" s="308">
        <f>'20'!E37</f>
        <v>157414</v>
      </c>
      <c r="F35" s="135"/>
      <c r="G35" s="307" t="str">
        <f>'20'!G37</f>
        <v>WR</v>
      </c>
      <c r="H35" s="309">
        <f>'20'!H37</f>
        <v>9.5</v>
      </c>
      <c r="I35" s="309">
        <f>'20'!I37</f>
        <v>15</v>
      </c>
      <c r="J35" s="170">
        <f>'20'!J37</f>
        <v>322</v>
      </c>
      <c r="K35" s="310">
        <f>'20'!K37</f>
        <v>664963</v>
      </c>
      <c r="L35" s="135"/>
      <c r="M35" s="307" t="str">
        <f>'20'!M37</f>
        <v>WR</v>
      </c>
      <c r="N35" s="309">
        <f>'20'!N37</f>
        <v>0</v>
      </c>
      <c r="O35" s="309">
        <f>'20'!O37</f>
        <v>0</v>
      </c>
      <c r="P35" s="170">
        <f>'20'!P37</f>
        <v>0</v>
      </c>
      <c r="Q35" s="310">
        <f>'20'!Q37</f>
        <v>0</v>
      </c>
    </row>
    <row r="36" spans="1:17" x14ac:dyDescent="0.3">
      <c r="A36" s="307" t="str">
        <f>'20'!A38</f>
        <v>WR</v>
      </c>
      <c r="B36" s="307">
        <f>'20'!B38</f>
        <v>5.5</v>
      </c>
      <c r="C36" s="307" t="str">
        <f>'20'!C38</f>
        <v>22.A</v>
      </c>
      <c r="D36" s="308">
        <f>'20'!D38</f>
        <v>669</v>
      </c>
      <c r="E36" s="308">
        <f>'20'!E38</f>
        <v>1393156</v>
      </c>
      <c r="F36" s="135"/>
      <c r="G36" s="307" t="str">
        <f>'20'!G38</f>
        <v>WR</v>
      </c>
      <c r="H36" s="309">
        <f>'20'!H38</f>
        <v>12</v>
      </c>
      <c r="I36" s="309">
        <f>'20'!I38</f>
        <v>8</v>
      </c>
      <c r="J36" s="170">
        <f>'20'!J38</f>
        <v>143</v>
      </c>
      <c r="K36" s="310">
        <f>'20'!K38</f>
        <v>298814</v>
      </c>
      <c r="L36" s="135"/>
      <c r="M36" s="307" t="str">
        <f>'20'!M38</f>
        <v>WR</v>
      </c>
      <c r="N36" s="309">
        <f>'20'!N38</f>
        <v>0</v>
      </c>
      <c r="O36" s="309">
        <f>'20'!O38</f>
        <v>0</v>
      </c>
      <c r="P36" s="170">
        <f>'20'!P38</f>
        <v>0</v>
      </c>
      <c r="Q36" s="310">
        <f>'20'!Q38</f>
        <v>0</v>
      </c>
    </row>
    <row r="37" spans="1:17" x14ac:dyDescent="0.3">
      <c r="A37" s="307" t="str">
        <f>'20'!A39</f>
        <v>WR</v>
      </c>
      <c r="B37" s="307">
        <f>'20'!B39</f>
        <v>5.5</v>
      </c>
      <c r="C37" s="307" t="str">
        <f>'20'!C39</f>
        <v>Y.11</v>
      </c>
      <c r="D37" s="308">
        <f>'20'!D39</f>
        <v>813</v>
      </c>
      <c r="E37" s="308">
        <f>'20'!E39</f>
        <v>1702656</v>
      </c>
      <c r="F37" s="135"/>
      <c r="G37" s="307" t="str">
        <f>'20'!G39</f>
        <v>WR</v>
      </c>
      <c r="H37" s="309">
        <f>'20'!H39</f>
        <v>9</v>
      </c>
      <c r="I37" s="309">
        <f>'20'!I39</f>
        <v>8</v>
      </c>
      <c r="J37" s="170">
        <f>'20'!J39</f>
        <v>191</v>
      </c>
      <c r="K37" s="310">
        <f>'20'!K39</f>
        <v>398927</v>
      </c>
      <c r="L37" s="135"/>
      <c r="M37" s="307" t="str">
        <f>'20'!M39</f>
        <v>WR</v>
      </c>
      <c r="N37" s="309">
        <f>'20'!N39</f>
        <v>0</v>
      </c>
      <c r="O37" s="309">
        <f>'20'!O39</f>
        <v>0</v>
      </c>
      <c r="P37" s="170">
        <f>'20'!P39</f>
        <v>0</v>
      </c>
      <c r="Q37" s="310">
        <f>'20'!Q39</f>
        <v>0</v>
      </c>
    </row>
    <row r="38" spans="1:17" x14ac:dyDescent="0.3">
      <c r="A38" s="307" t="str">
        <f>'20'!A40</f>
        <v>WR</v>
      </c>
      <c r="B38" s="307">
        <f>'20'!B40</f>
        <v>5.5</v>
      </c>
      <c r="C38" s="307" t="str">
        <f>'20'!C40</f>
        <v>67.A</v>
      </c>
      <c r="D38" s="308">
        <f>'20'!D40</f>
        <v>120</v>
      </c>
      <c r="E38" s="308">
        <f>'20'!E40</f>
        <v>253576</v>
      </c>
      <c r="F38" s="135"/>
      <c r="G38" s="307" t="str">
        <f>'20'!G40</f>
        <v>WR</v>
      </c>
      <c r="H38" s="309">
        <f>'20'!H40</f>
        <v>9</v>
      </c>
      <c r="I38" s="309">
        <f>'20'!I40</f>
        <v>10</v>
      </c>
      <c r="J38" s="170">
        <f>'20'!J40</f>
        <v>48</v>
      </c>
      <c r="K38" s="310">
        <f>'20'!K40</f>
        <v>99117</v>
      </c>
      <c r="L38" s="135"/>
      <c r="M38" s="307" t="str">
        <f>'20'!M40</f>
        <v>WR</v>
      </c>
      <c r="N38" s="309">
        <f>'20'!N40</f>
        <v>0</v>
      </c>
      <c r="O38" s="309">
        <f>'20'!O40</f>
        <v>0</v>
      </c>
      <c r="P38" s="170">
        <f>'20'!P40</f>
        <v>0</v>
      </c>
      <c r="Q38" s="310">
        <f>'20'!Q40</f>
        <v>0</v>
      </c>
    </row>
    <row r="39" spans="1:17" x14ac:dyDescent="0.3">
      <c r="A39" s="307" t="str">
        <f>'20'!A41</f>
        <v>BIC</v>
      </c>
      <c r="B39" s="307" t="str">
        <f>'20'!B41</f>
        <v>P.8</v>
      </c>
      <c r="C39" s="307" t="str">
        <f>'20'!C41</f>
        <v>BjTPG280</v>
      </c>
      <c r="D39" s="308">
        <f>'20'!D41</f>
        <v>240</v>
      </c>
      <c r="E39" s="308">
        <f>'20'!E41</f>
        <v>499780</v>
      </c>
      <c r="F39" s="135"/>
      <c r="G39" s="307" t="str">
        <f>'20'!G41</f>
        <v>WR</v>
      </c>
      <c r="H39" s="309">
        <f>'20'!H41</f>
        <v>5.5</v>
      </c>
      <c r="I39" s="309">
        <f>'20'!I41</f>
        <v>15</v>
      </c>
      <c r="J39" s="170">
        <f>'20'!J41</f>
        <v>116</v>
      </c>
      <c r="K39" s="310">
        <f>'20'!K41</f>
        <v>239659</v>
      </c>
      <c r="L39" s="135"/>
      <c r="M39" s="307" t="str">
        <f>'20'!M41</f>
        <v>WR</v>
      </c>
      <c r="N39" s="309">
        <f>'20'!N41</f>
        <v>0</v>
      </c>
      <c r="O39" s="309">
        <f>'20'!O41</f>
        <v>0</v>
      </c>
      <c r="P39" s="170">
        <f>'20'!P41</f>
        <v>0</v>
      </c>
      <c r="Q39" s="310">
        <f>'20'!Q41</f>
        <v>0</v>
      </c>
    </row>
    <row r="40" spans="1:17" x14ac:dyDescent="0.3">
      <c r="A40" s="307" t="str">
        <f>'20'!A42</f>
        <v>BIC</v>
      </c>
      <c r="B40" s="307" t="str">
        <f>'20'!B42</f>
        <v>S.8</v>
      </c>
      <c r="C40" s="307" t="str">
        <f>'20'!C42</f>
        <v>BjTSG420</v>
      </c>
      <c r="D40" s="308">
        <f>'20'!D42</f>
        <v>335</v>
      </c>
      <c r="E40" s="308">
        <f>'20'!E42</f>
        <v>688721</v>
      </c>
      <c r="F40" s="135"/>
      <c r="G40" s="307" t="str">
        <f>'20'!G42</f>
        <v>WR</v>
      </c>
      <c r="H40" s="309">
        <f>'20'!H42</f>
        <v>5.5</v>
      </c>
      <c r="I40" s="309" t="str">
        <f>'20'!I42</f>
        <v>72.A</v>
      </c>
      <c r="J40" s="170">
        <f>'20'!J42</f>
        <v>48</v>
      </c>
      <c r="K40" s="310">
        <f>'20'!K42</f>
        <v>101358</v>
      </c>
      <c r="L40" s="135"/>
      <c r="M40" s="307" t="str">
        <f>'20'!M42</f>
        <v>WR</v>
      </c>
      <c r="N40" s="309">
        <f>'20'!N42</f>
        <v>0</v>
      </c>
      <c r="O40" s="309">
        <f>'20'!O42</f>
        <v>0</v>
      </c>
      <c r="P40" s="170">
        <f>'20'!P42</f>
        <v>0</v>
      </c>
      <c r="Q40" s="310">
        <f>'20'!Q42</f>
        <v>0</v>
      </c>
    </row>
    <row r="41" spans="1:17" x14ac:dyDescent="0.3">
      <c r="A41" s="307" t="str">
        <f>'20'!A43</f>
        <v>BIC</v>
      </c>
      <c r="B41" s="307" t="str">
        <f>'20'!B43</f>
        <v>S.10</v>
      </c>
      <c r="C41" s="307" t="str">
        <f>'20'!C43</f>
        <v>BjTSG420</v>
      </c>
      <c r="D41" s="308">
        <f>'20'!D43</f>
        <v>144</v>
      </c>
      <c r="E41" s="308">
        <f>'20'!E43</f>
        <v>295842</v>
      </c>
      <c r="F41" s="135"/>
      <c r="G41" s="307" t="str">
        <f>'20'!G43</f>
        <v>WR</v>
      </c>
      <c r="H41" s="309">
        <f>'20'!H43</f>
        <v>12</v>
      </c>
      <c r="I41" s="309">
        <f>'20'!I43</f>
        <v>15</v>
      </c>
      <c r="J41" s="170">
        <f>'20'!J43</f>
        <v>54</v>
      </c>
      <c r="K41" s="310">
        <f>'20'!K43</f>
        <v>111148</v>
      </c>
      <c r="L41" s="135"/>
      <c r="M41" s="307" t="str">
        <f>'20'!M43</f>
        <v>WR</v>
      </c>
      <c r="N41" s="309">
        <f>'20'!N43</f>
        <v>0</v>
      </c>
      <c r="O41" s="309">
        <f>'20'!O43</f>
        <v>0</v>
      </c>
      <c r="P41" s="170">
        <f>'20'!P43</f>
        <v>0</v>
      </c>
      <c r="Q41" s="310">
        <f>'20'!Q43</f>
        <v>0</v>
      </c>
    </row>
    <row r="42" spans="1:17" x14ac:dyDescent="0.3">
      <c r="A42" s="307" t="str">
        <f>'20'!A44</f>
        <v>WR</v>
      </c>
      <c r="B42" s="307">
        <f>'20'!B44</f>
        <v>5.5</v>
      </c>
      <c r="C42" s="307">
        <f>'20'!C44</f>
        <v>8</v>
      </c>
      <c r="D42" s="308">
        <f>'20'!D44</f>
        <v>444</v>
      </c>
      <c r="E42" s="308">
        <f>'20'!E44</f>
        <v>931256</v>
      </c>
      <c r="F42" s="135"/>
      <c r="G42" s="307" t="str">
        <f>'20'!G44</f>
        <v>WR</v>
      </c>
      <c r="H42" s="309">
        <v>8.5</v>
      </c>
      <c r="I42" s="309">
        <v>8</v>
      </c>
      <c r="J42" s="310">
        <f>J9</f>
        <v>168</v>
      </c>
      <c r="K42" s="310">
        <f>K9</f>
        <v>351899</v>
      </c>
      <c r="L42" s="135"/>
      <c r="M42" s="307" t="str">
        <f>'20'!M44</f>
        <v>WR</v>
      </c>
      <c r="N42" s="309">
        <f>'20'!N44</f>
        <v>0</v>
      </c>
      <c r="O42" s="309">
        <f>'20'!O44</f>
        <v>0</v>
      </c>
      <c r="P42" s="170">
        <f>'20'!P44</f>
        <v>0</v>
      </c>
      <c r="Q42" s="310">
        <f>'20'!Q44</f>
        <v>0</v>
      </c>
    </row>
    <row r="43" spans="1:17" x14ac:dyDescent="0.3">
      <c r="A43" s="307" t="str">
        <f>'20'!A45</f>
        <v>WR</v>
      </c>
      <c r="B43" s="307">
        <f>'20'!B45</f>
        <v>5.5</v>
      </c>
      <c r="C43" s="307" t="str">
        <f>'20'!C45</f>
        <v>67.B</v>
      </c>
      <c r="D43" s="308">
        <f>'20'!D45</f>
        <v>144</v>
      </c>
      <c r="E43" s="308">
        <f>'20'!E45</f>
        <v>304535</v>
      </c>
      <c r="F43" s="135"/>
      <c r="G43" s="307" t="str">
        <f>'20'!G45</f>
        <v>WR</v>
      </c>
      <c r="H43" s="309">
        <f>'20'!H45</f>
        <v>0</v>
      </c>
      <c r="I43" s="309">
        <f>'20'!I45</f>
        <v>0</v>
      </c>
      <c r="J43" s="170">
        <f>'20'!J45</f>
        <v>0</v>
      </c>
      <c r="K43" s="310">
        <f>'20'!K45</f>
        <v>0</v>
      </c>
      <c r="L43" s="135"/>
      <c r="M43" s="307" t="str">
        <f>'20'!M45</f>
        <v>WR</v>
      </c>
      <c r="N43" s="309">
        <f>'20'!N45</f>
        <v>0</v>
      </c>
      <c r="O43" s="309">
        <f>'20'!O45</f>
        <v>0</v>
      </c>
      <c r="P43" s="170">
        <f>'20'!P45</f>
        <v>0</v>
      </c>
      <c r="Q43" s="310">
        <f>'20'!Q45</f>
        <v>0</v>
      </c>
    </row>
    <row r="44" spans="1:17" x14ac:dyDescent="0.3">
      <c r="A44" s="307" t="str">
        <f>'20'!A46</f>
        <v>BIC</v>
      </c>
      <c r="B44" s="307" t="str">
        <f>'20'!B46</f>
        <v>P.10</v>
      </c>
      <c r="C44" s="307" t="str">
        <f>'20'!C46</f>
        <v>BjTPG280</v>
      </c>
      <c r="D44" s="308">
        <f>'20'!D46</f>
        <v>144</v>
      </c>
      <c r="E44" s="308">
        <f>'20'!E46</f>
        <v>299930</v>
      </c>
      <c r="F44" s="135"/>
      <c r="G44" s="307" t="str">
        <f>'20'!G46</f>
        <v>WR</v>
      </c>
      <c r="H44" s="309">
        <f>'20'!H46</f>
        <v>0</v>
      </c>
      <c r="I44" s="309">
        <f>'20'!I46</f>
        <v>0</v>
      </c>
      <c r="J44" s="170">
        <f>'20'!J46</f>
        <v>0</v>
      </c>
      <c r="K44" s="310">
        <f>'20'!K46</f>
        <v>0</v>
      </c>
      <c r="L44" s="135"/>
      <c r="M44" s="307" t="str">
        <f>'20'!M46</f>
        <v>WR</v>
      </c>
      <c r="N44" s="309">
        <f>'20'!N46</f>
        <v>0</v>
      </c>
      <c r="O44" s="309">
        <f>'20'!O46</f>
        <v>0</v>
      </c>
      <c r="P44" s="170">
        <f>'20'!P46</f>
        <v>0</v>
      </c>
      <c r="Q44" s="310">
        <f>'20'!Q46</f>
        <v>0</v>
      </c>
    </row>
    <row r="45" spans="1:17" x14ac:dyDescent="0.3">
      <c r="A45" s="307" t="str">
        <f>'20'!A47</f>
        <v>BIC</v>
      </c>
      <c r="B45" s="307" t="str">
        <f>'20'!B47</f>
        <v>S.6</v>
      </c>
      <c r="C45" s="307" t="str">
        <f>'20'!C47</f>
        <v>BjTSG420</v>
      </c>
      <c r="D45" s="308">
        <f>'20'!D47</f>
        <v>48</v>
      </c>
      <c r="E45" s="308">
        <f>'20'!E47</f>
        <v>98404</v>
      </c>
      <c r="F45" s="135"/>
      <c r="G45" s="307" t="str">
        <f>'20'!G47</f>
        <v>WR</v>
      </c>
      <c r="H45" s="309">
        <f>'20'!H47</f>
        <v>0</v>
      </c>
      <c r="I45" s="309">
        <f>'20'!I47</f>
        <v>0</v>
      </c>
      <c r="J45" s="170">
        <f>'20'!J47</f>
        <v>0</v>
      </c>
      <c r="K45" s="310">
        <f>'20'!K47</f>
        <v>0</v>
      </c>
      <c r="L45" s="135"/>
      <c r="M45" s="307" t="str">
        <f>'20'!M47</f>
        <v>WR</v>
      </c>
      <c r="N45" s="309">
        <f>'20'!N47</f>
        <v>0</v>
      </c>
      <c r="O45" s="309">
        <f>'20'!O47</f>
        <v>0</v>
      </c>
      <c r="P45" s="170">
        <f>'20'!P47</f>
        <v>0</v>
      </c>
      <c r="Q45" s="310">
        <f>'20'!Q47</f>
        <v>0</v>
      </c>
    </row>
    <row r="46" spans="1:17" x14ac:dyDescent="0.3">
      <c r="A46" s="307" t="str">
        <f>'20'!A48</f>
        <v>WR</v>
      </c>
      <c r="B46" s="307">
        <f>'20'!B48</f>
        <v>17</v>
      </c>
      <c r="C46" s="307">
        <f>'20'!C48</f>
        <v>8</v>
      </c>
      <c r="D46" s="308">
        <f>'20'!D48</f>
        <v>91</v>
      </c>
      <c r="E46" s="308">
        <f>'20'!E48</f>
        <v>188048</v>
      </c>
      <c r="F46" s="135"/>
      <c r="G46" s="307" t="str">
        <f>'20'!G48</f>
        <v>WR</v>
      </c>
      <c r="H46" s="309">
        <f>'20'!H48</f>
        <v>0</v>
      </c>
      <c r="I46" s="309">
        <f>'20'!I48</f>
        <v>0</v>
      </c>
      <c r="J46" s="170">
        <f>'20'!J48</f>
        <v>0</v>
      </c>
      <c r="K46" s="310">
        <f>'20'!K48</f>
        <v>0</v>
      </c>
      <c r="L46" s="135"/>
      <c r="M46" s="307" t="str">
        <f>'20'!M48</f>
        <v>WR</v>
      </c>
      <c r="N46" s="309">
        <f>'20'!N48</f>
        <v>0</v>
      </c>
      <c r="O46" s="309">
        <f>'20'!O48</f>
        <v>0</v>
      </c>
      <c r="P46" s="170">
        <f>'20'!P48</f>
        <v>0</v>
      </c>
      <c r="Q46" s="310">
        <f>'20'!Q48</f>
        <v>0</v>
      </c>
    </row>
    <row r="47" spans="1:17" x14ac:dyDescent="0.3">
      <c r="A47" s="307" t="str">
        <f>'20'!A49</f>
        <v>WR</v>
      </c>
      <c r="B47" s="307">
        <f>'20'!B49</f>
        <v>8.5</v>
      </c>
      <c r="C47" s="307">
        <f>'20'!C49</f>
        <v>15</v>
      </c>
      <c r="D47" s="308">
        <f>'20'!D49+J8</f>
        <v>576</v>
      </c>
      <c r="E47" s="308">
        <f>'20'!E49+K8</f>
        <v>1194727</v>
      </c>
      <c r="F47" s="135"/>
      <c r="G47" s="307" t="str">
        <f>'20'!G49</f>
        <v>WR</v>
      </c>
      <c r="H47" s="309">
        <f>'20'!H49</f>
        <v>0</v>
      </c>
      <c r="I47" s="309">
        <f>'20'!I49</f>
        <v>0</v>
      </c>
      <c r="J47" s="170">
        <f>'20'!J49</f>
        <v>0</v>
      </c>
      <c r="K47" s="310">
        <f>'20'!K49</f>
        <v>0</v>
      </c>
      <c r="L47" s="135"/>
      <c r="M47" s="307" t="str">
        <f>'20'!M49</f>
        <v>WR</v>
      </c>
      <c r="N47" s="309">
        <f>'20'!N49</f>
        <v>0</v>
      </c>
      <c r="O47" s="309">
        <f>'20'!O49</f>
        <v>0</v>
      </c>
      <c r="P47" s="170">
        <f>'20'!P49</f>
        <v>0</v>
      </c>
      <c r="Q47" s="310">
        <f>'20'!Q49</f>
        <v>0</v>
      </c>
    </row>
    <row r="48" spans="1:17" x14ac:dyDescent="0.3">
      <c r="A48" s="307" t="str">
        <f>'20'!A50</f>
        <v>WR</v>
      </c>
      <c r="B48" s="307">
        <f>'20'!B50</f>
        <v>6.5</v>
      </c>
      <c r="C48" s="307">
        <f>'20'!C50</f>
        <v>8</v>
      </c>
      <c r="D48" s="308">
        <f>'20'!D50+J12</f>
        <v>264</v>
      </c>
      <c r="E48" s="308">
        <f>'20'!E50+K12</f>
        <v>552714</v>
      </c>
      <c r="F48" s="135"/>
      <c r="G48" s="307" t="str">
        <f>'20'!G50</f>
        <v>WR</v>
      </c>
      <c r="H48" s="309">
        <f>'20'!H50</f>
        <v>0</v>
      </c>
      <c r="I48" s="309">
        <f>'20'!I50</f>
        <v>0</v>
      </c>
      <c r="J48" s="170">
        <f>'20'!J50</f>
        <v>0</v>
      </c>
      <c r="K48" s="310">
        <f>'20'!K50</f>
        <v>0</v>
      </c>
      <c r="L48" s="135"/>
      <c r="M48" s="307" t="str">
        <f>'20'!M50</f>
        <v>WR</v>
      </c>
      <c r="N48" s="309">
        <f>'20'!N50</f>
        <v>0</v>
      </c>
      <c r="O48" s="309">
        <f>'20'!O50</f>
        <v>0</v>
      </c>
      <c r="P48" s="170">
        <f>'20'!P50</f>
        <v>0</v>
      </c>
      <c r="Q48" s="310">
        <f>'20'!Q50</f>
        <v>0</v>
      </c>
    </row>
    <row r="49" spans="1:23" x14ac:dyDescent="0.3">
      <c r="A49" s="307" t="str">
        <f>'20'!A51</f>
        <v>WR</v>
      </c>
      <c r="B49" s="307">
        <f>'20'!B51</f>
        <v>6.5</v>
      </c>
      <c r="C49" s="307">
        <f>'20'!C51</f>
        <v>15</v>
      </c>
      <c r="D49" s="308">
        <f>'20'!D51+J10+J11</f>
        <v>281</v>
      </c>
      <c r="E49" s="308">
        <f>'20'!E51+K10+K11</f>
        <v>582161</v>
      </c>
      <c r="F49" s="3"/>
      <c r="G49" s="307" t="str">
        <f>'20'!G51</f>
        <v>WR</v>
      </c>
      <c r="H49" s="309">
        <f>'20'!H51</f>
        <v>0</v>
      </c>
      <c r="I49" s="309">
        <f>'20'!I51</f>
        <v>0</v>
      </c>
      <c r="J49" s="170">
        <f>'20'!J51</f>
        <v>0</v>
      </c>
      <c r="K49" s="310">
        <f>'20'!K51</f>
        <v>0</v>
      </c>
      <c r="L49" s="3"/>
      <c r="M49" s="307" t="str">
        <f>'20'!M51</f>
        <v>WR</v>
      </c>
      <c r="N49" s="309">
        <f>'20'!N51</f>
        <v>0</v>
      </c>
      <c r="O49" s="309">
        <f>'20'!O51</f>
        <v>0</v>
      </c>
      <c r="P49" s="170">
        <f>'20'!P51</f>
        <v>0</v>
      </c>
      <c r="Q49" s="310">
        <f>'20'!Q51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46043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418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40">
        <v>3</v>
      </c>
      <c r="C55" s="453"/>
      <c r="D55" s="494" t="s">
        <v>411</v>
      </c>
      <c r="E55" s="495"/>
      <c r="F55" s="495"/>
      <c r="G55" s="495"/>
      <c r="H55" s="495"/>
      <c r="I55" s="496"/>
      <c r="J55" s="97">
        <v>52</v>
      </c>
      <c r="K55" s="391"/>
      <c r="L55" s="466" t="s">
        <v>26</v>
      </c>
      <c r="M55" s="467"/>
      <c r="N55" s="467"/>
      <c r="O55" s="392" t="s">
        <v>13</v>
      </c>
      <c r="P55" s="393">
        <f>C16</f>
        <v>1258254</v>
      </c>
      <c r="Q55" s="394">
        <f>C26</f>
        <v>17130318</v>
      </c>
      <c r="R55" s="395"/>
      <c r="S55" s="388">
        <f>DAY(A52)</f>
        <v>21</v>
      </c>
      <c r="T55" s="383">
        <f>S55-U55</f>
        <v>16</v>
      </c>
      <c r="U55" s="383">
        <f>'20'!U57</f>
        <v>5</v>
      </c>
    </row>
    <row r="56" spans="1:23" x14ac:dyDescent="0.3">
      <c r="A56" s="95" t="s">
        <v>37</v>
      </c>
      <c r="B56" s="441">
        <v>17</v>
      </c>
      <c r="C56" s="454"/>
      <c r="D56" s="498" t="s">
        <v>411</v>
      </c>
      <c r="E56" s="498"/>
      <c r="F56" s="498"/>
      <c r="G56" s="498"/>
      <c r="H56" s="498"/>
      <c r="I56" s="498"/>
      <c r="J56" s="97">
        <v>20</v>
      </c>
      <c r="K56" s="391"/>
      <c r="L56" s="502" t="s">
        <v>191</v>
      </c>
      <c r="M56" s="498"/>
      <c r="N56" s="498"/>
      <c r="O56" s="396" t="s">
        <v>13</v>
      </c>
      <c r="P56" s="397">
        <f>K17</f>
        <v>1242293</v>
      </c>
      <c r="Q56" s="398">
        <f>K27</f>
        <v>16856295</v>
      </c>
      <c r="R56" s="399"/>
    </row>
    <row r="57" spans="1:23" x14ac:dyDescent="0.3">
      <c r="A57" s="95" t="s">
        <v>39</v>
      </c>
      <c r="B57" s="441">
        <v>29</v>
      </c>
      <c r="C57" s="454"/>
      <c r="D57" s="498"/>
      <c r="E57" s="498"/>
      <c r="F57" s="498"/>
      <c r="G57" s="498"/>
      <c r="H57" s="498"/>
      <c r="I57" s="498"/>
      <c r="J57" s="97"/>
      <c r="K57" s="391"/>
      <c r="L57" s="468" t="s">
        <v>19</v>
      </c>
      <c r="M57" s="469"/>
      <c r="N57" s="469"/>
      <c r="O57" s="400" t="s">
        <v>14</v>
      </c>
      <c r="P57" s="401">
        <f>L17</f>
        <v>0.98731496184395207</v>
      </c>
      <c r="Q57" s="430">
        <f>L27</f>
        <v>0.98400362445110479</v>
      </c>
      <c r="R57" s="403">
        <v>0.98499999999999999</v>
      </c>
    </row>
    <row r="58" spans="1:23" x14ac:dyDescent="0.3">
      <c r="A58" s="95" t="s">
        <v>41</v>
      </c>
      <c r="B58" s="441">
        <v>28</v>
      </c>
      <c r="C58" s="454"/>
      <c r="D58" s="498"/>
      <c r="E58" s="498"/>
      <c r="F58" s="498"/>
      <c r="G58" s="498"/>
      <c r="H58" s="498"/>
      <c r="I58" s="498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42233</v>
      </c>
      <c r="R58" s="395"/>
    </row>
    <row r="59" spans="1:23" x14ac:dyDescent="0.3">
      <c r="A59" s="95" t="s">
        <v>43</v>
      </c>
      <c r="B59" s="441">
        <v>29</v>
      </c>
      <c r="C59" s="454"/>
      <c r="D59" s="498"/>
      <c r="E59" s="498"/>
      <c r="F59" s="498"/>
      <c r="G59" s="498"/>
      <c r="H59" s="498"/>
      <c r="I59" s="498"/>
      <c r="J59" s="97"/>
      <c r="K59" s="391"/>
      <c r="L59" s="509"/>
      <c r="M59" s="510"/>
      <c r="N59" s="510"/>
      <c r="O59" s="400" t="s">
        <v>14</v>
      </c>
      <c r="P59" s="401">
        <f>F16</f>
        <v>0</v>
      </c>
      <c r="Q59" s="430">
        <f>F26</f>
        <v>2.4653949798246594E-3</v>
      </c>
      <c r="R59" s="404">
        <v>1.5E-3</v>
      </c>
    </row>
    <row r="60" spans="1:23" x14ac:dyDescent="0.3">
      <c r="A60" s="95" t="s">
        <v>45</v>
      </c>
      <c r="B60" s="441">
        <v>28</v>
      </c>
      <c r="C60" s="454"/>
      <c r="D60" s="498"/>
      <c r="E60" s="498"/>
      <c r="F60" s="498"/>
      <c r="G60" s="498"/>
      <c r="H60" s="498"/>
      <c r="I60" s="498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'1'!Q60+'2'!P60+'3'!P60+'4'!P60+'5'!P60+'6'!P60+'7'!P60+'8'!P60+'9'!P60+'10'!P60+'11'!P60+'12'!P60+'13'!P60+'14'!P60+'15'!P60+'16'!P60+'17'!P60+'18'!P60+'19'!P60+'20'!P62+'21'!P60</f>
        <v>30240</v>
      </c>
      <c r="R60" s="406"/>
    </row>
    <row r="61" spans="1:23" x14ac:dyDescent="0.3">
      <c r="A61" s="95" t="s">
        <v>47</v>
      </c>
      <c r="B61" s="441">
        <v>29</v>
      </c>
      <c r="C61" s="454"/>
      <c r="D61" s="463"/>
      <c r="E61" s="543"/>
      <c r="F61" s="543"/>
      <c r="G61" s="543"/>
      <c r="H61" s="543"/>
      <c r="I61" s="543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'1'!Q61+'2'!P61+'3'!P61+'4'!P61+'5'!P61+'6'!P61+'7'!P61+'8'!P61+'9'!P61+'10'!P61+'11'!P61+'12'!P61+'13'!P61+'14'!P61+'15'!P61+'16'!P61+'17'!P61+'18'!P61+'19'!P61+'20'!P63+'21'!P61</f>
        <v>7200</v>
      </c>
      <c r="R61" s="395"/>
    </row>
    <row r="62" spans="1:23" x14ac:dyDescent="0.3">
      <c r="A62" s="95" t="s">
        <v>49</v>
      </c>
      <c r="B62" s="441">
        <v>28</v>
      </c>
      <c r="C62" s="454"/>
      <c r="D62" s="463"/>
      <c r="E62" s="543"/>
      <c r="F62" s="543"/>
      <c r="G62" s="543"/>
      <c r="H62" s="543"/>
      <c r="I62" s="543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'1'!Q62+'2'!P62+'3'!P62+'4'!P62+'5'!P62+'6'!P62+'7'!P62+'8'!P62+'9'!P62+'10'!P62+'11'!P62+'12'!P62+'13'!P62+'14'!P62+'15'!P62+'16'!P62+'17'!P62+'18'!P62+'19'!P62+'20'!P64+'21'!P62</f>
        <v>7200</v>
      </c>
      <c r="R62" s="399"/>
    </row>
    <row r="63" spans="1:23" x14ac:dyDescent="0.3">
      <c r="A63" s="95" t="s">
        <v>51</v>
      </c>
      <c r="B63" s="441">
        <v>26</v>
      </c>
      <c r="C63" s="454"/>
      <c r="D63" s="463" t="s">
        <v>412</v>
      </c>
      <c r="E63" s="543"/>
      <c r="F63" s="543"/>
      <c r="G63" s="543"/>
      <c r="H63" s="543"/>
      <c r="I63" s="543"/>
      <c r="J63" s="97">
        <v>5</v>
      </c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'1'!Q63+'2'!P63+'3'!P63+'4'!P63+'5'!P63+'6'!P63+'7'!P63+'8'!P63+'9'!P63+'10'!P63+'11'!P63+'12'!P63+'13'!P63+'14'!P63+'15'!P63+'16'!P63+'17'!P63+'18'!P63+'19'!P63+'20'!P65+'21'!P63</f>
        <v>0</v>
      </c>
      <c r="R63" s="399"/>
    </row>
    <row r="64" spans="1:23" x14ac:dyDescent="0.3">
      <c r="A64" s="95" t="s">
        <v>53</v>
      </c>
      <c r="B64" s="441">
        <v>27</v>
      </c>
      <c r="C64" s="454"/>
      <c r="D64" s="463" t="s">
        <v>413</v>
      </c>
      <c r="E64" s="543"/>
      <c r="F64" s="543"/>
      <c r="G64" s="543"/>
      <c r="H64" s="543"/>
      <c r="I64" s="543"/>
      <c r="J64" s="97">
        <v>2</v>
      </c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'1'!Q64+'2'!P64+'3'!P64+'4'!P64+'5'!P64+'6'!P64+'7'!P64+'8'!P64+'9'!P64+'10'!P64+'11'!P64+'12'!P64+'13'!P64+'14'!P64+'15'!P64+'16'!P64+'17'!P64+'18'!P64+'19'!P64+'20'!P66+'21'!P64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41">
        <v>28</v>
      </c>
      <c r="C65" s="454"/>
      <c r="D65" s="463"/>
      <c r="E65" s="543"/>
      <c r="F65" s="543"/>
      <c r="G65" s="543"/>
      <c r="H65" s="543"/>
      <c r="I65" s="54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153</v>
      </c>
      <c r="Q65" s="100">
        <f>'1'!Q65+'2'!P65+'3'!P65+'4'!P65+'5'!P65+'6'!P65+'7'!P65+'8'!P65+'9'!P65+'10'!P65+'11'!P65+'12'!P65+'13'!P65+'14'!P65+'15'!P65+'16'!P65+'17'!P65+'18'!P65+'19'!P65+'20'!P67+'21'!P65</f>
        <v>2643</v>
      </c>
      <c r="R65" s="395"/>
      <c r="S65" s="171" t="s">
        <v>56</v>
      </c>
      <c r="T65" s="172"/>
      <c r="U65" s="173" t="s">
        <v>151</v>
      </c>
      <c r="V65" s="174"/>
      <c r="W65" s="181">
        <f>+'20'!W67+'21'!V65</f>
        <v>10</v>
      </c>
    </row>
    <row r="66" spans="1:23" x14ac:dyDescent="0.3">
      <c r="A66" s="95" t="s">
        <v>57</v>
      </c>
      <c r="B66" s="441">
        <v>28</v>
      </c>
      <c r="C66" s="454"/>
      <c r="D66" s="463"/>
      <c r="E66" s="543"/>
      <c r="F66" s="543"/>
      <c r="G66" s="543"/>
      <c r="H66" s="543"/>
      <c r="I66" s="543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'1'!Q66+'2'!P66+'3'!P66+'4'!P66+'5'!P66+'6'!P66+'7'!P66+'8'!P66+'9'!P66+'10'!P66+'11'!P66+'12'!P66+'13'!P66+'14'!P66+'15'!P66+'16'!P66+'17'!P66+'18'!P66+'19'!P66+'20'!P68+'21'!P66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+'20'!W68+'21'!V66</f>
        <v>7</v>
      </c>
    </row>
    <row r="67" spans="1:23" x14ac:dyDescent="0.3">
      <c r="A67" s="95" t="s">
        <v>59</v>
      </c>
      <c r="B67" s="441">
        <v>15</v>
      </c>
      <c r="C67" s="454"/>
      <c r="D67" s="498" t="s">
        <v>323</v>
      </c>
      <c r="E67" s="498"/>
      <c r="F67" s="498"/>
      <c r="G67" s="498"/>
      <c r="H67" s="498"/>
      <c r="I67" s="498"/>
      <c r="J67" s="97">
        <v>26</v>
      </c>
      <c r="K67" s="391"/>
      <c r="L67" s="502" t="s">
        <v>50</v>
      </c>
      <c r="M67" s="498"/>
      <c r="N67" s="498"/>
      <c r="O67" s="408" t="s">
        <v>28</v>
      </c>
      <c r="P67" s="138">
        <v>133</v>
      </c>
      <c r="Q67" s="99">
        <f>'1'!Q67+'2'!P67+'3'!P67+'4'!P67+'5'!P67+'6'!P67+'7'!P67+'8'!P67+'9'!P67+'10'!P67+'11'!P67+'12'!P67+'13'!P67+'14'!P67+'15'!P67+'16'!P67+'17'!P67+'18'!P67+'19'!P67+'20'!P69+'21'!P67</f>
        <v>2290</v>
      </c>
      <c r="R67" s="399"/>
      <c r="S67" s="377" t="s">
        <v>60</v>
      </c>
      <c r="T67" s="175"/>
      <c r="U67" s="176" t="s">
        <v>151</v>
      </c>
      <c r="V67" s="177"/>
      <c r="W67" s="182">
        <f>+'20'!W69+'21'!V67</f>
        <v>0</v>
      </c>
    </row>
    <row r="68" spans="1:23" x14ac:dyDescent="0.3">
      <c r="A68" s="95" t="s">
        <v>61</v>
      </c>
      <c r="B68" s="441">
        <v>7</v>
      </c>
      <c r="C68" s="454"/>
      <c r="D68" s="498" t="s">
        <v>414</v>
      </c>
      <c r="E68" s="498"/>
      <c r="F68" s="498"/>
      <c r="G68" s="498"/>
      <c r="H68" s="498"/>
      <c r="I68" s="498"/>
      <c r="J68" s="97">
        <v>41</v>
      </c>
      <c r="K68" s="391"/>
      <c r="L68" s="468" t="s">
        <v>52</v>
      </c>
      <c r="M68" s="469"/>
      <c r="N68" s="469"/>
      <c r="O68" s="85" t="s">
        <v>28</v>
      </c>
      <c r="P68" s="141">
        <v>20</v>
      </c>
      <c r="Q68" s="86">
        <f>'1'!Q68+'2'!P68+'3'!P68+'4'!P68+'5'!P68+'6'!P68+'7'!P68+'8'!P68+'9'!P68+'10'!P68+'11'!P68+'12'!P68+'13'!P68+'14'!P68+'15'!P68+'16'!P68+'17'!P68+'18'!P68+'19'!P68+'20'!P70+'21'!P68</f>
        <v>353</v>
      </c>
      <c r="R68" s="409"/>
      <c r="S68" s="377" t="s">
        <v>62</v>
      </c>
      <c r="T68" s="175"/>
      <c r="U68" s="176" t="s">
        <v>151</v>
      </c>
      <c r="V68" s="177"/>
      <c r="W68" s="182">
        <f>+'20'!W70+'21'!V68</f>
        <v>3</v>
      </c>
    </row>
    <row r="69" spans="1:23" x14ac:dyDescent="0.3">
      <c r="A69" s="95" t="s">
        <v>63</v>
      </c>
      <c r="B69" s="441">
        <v>25</v>
      </c>
      <c r="C69" s="454"/>
      <c r="D69" s="463" t="s">
        <v>415</v>
      </c>
      <c r="E69" s="543"/>
      <c r="F69" s="543"/>
      <c r="G69" s="543"/>
      <c r="H69" s="543"/>
      <c r="I69" s="543"/>
      <c r="J69" s="97">
        <v>7</v>
      </c>
      <c r="K69" s="391"/>
      <c r="L69" s="466" t="s">
        <v>54</v>
      </c>
      <c r="M69" s="467"/>
      <c r="N69" s="467"/>
      <c r="O69" s="106" t="s">
        <v>28</v>
      </c>
      <c r="P69" s="100">
        <f>SUM(P70:P74)</f>
        <v>10</v>
      </c>
      <c r="Q69" s="100">
        <f>'1'!Q69+'2'!P69+'3'!P69+'4'!P69+'5'!P69+'6'!P69+'7'!P69+'8'!P69+'9'!P69+'10'!P69+'11'!P69+'12'!P69+'13'!P69+'14'!P69+'15'!P69+'16'!P69+'17'!P69+'18'!P69+'19'!P69+'20'!P71+'21'!P69</f>
        <v>1044</v>
      </c>
      <c r="R69" s="395"/>
      <c r="S69" s="376" t="s">
        <v>64</v>
      </c>
      <c r="T69" s="178"/>
      <c r="U69" s="179" t="s">
        <v>151</v>
      </c>
      <c r="V69" s="180"/>
      <c r="W69" s="183">
        <f>+'20'!W71+'21'!V69</f>
        <v>0</v>
      </c>
    </row>
    <row r="70" spans="1:23" x14ac:dyDescent="0.3">
      <c r="A70" s="95" t="s">
        <v>65</v>
      </c>
      <c r="B70" s="441">
        <v>26</v>
      </c>
      <c r="C70" s="454"/>
      <c r="D70" s="463" t="s">
        <v>415</v>
      </c>
      <c r="E70" s="543"/>
      <c r="F70" s="543"/>
      <c r="G70" s="543"/>
      <c r="H70" s="543"/>
      <c r="I70" s="543"/>
      <c r="J70" s="97">
        <v>6</v>
      </c>
      <c r="K70" s="407"/>
      <c r="L70" s="497" t="s">
        <v>56</v>
      </c>
      <c r="M70" s="498"/>
      <c r="N70" s="498"/>
      <c r="O70" s="408" t="s">
        <v>28</v>
      </c>
      <c r="P70" s="138">
        <v>8</v>
      </c>
      <c r="Q70" s="429">
        <f>'1'!Q70+'2'!P70+'3'!P70+'4'!P70+'5'!P70+'6'!P70+'7'!P70+'8'!P70+'9'!P70+'10'!P70+'11'!P70+'12'!P70+'13'!P70+'14'!P70+'15'!P70+'16'!P70+'17'!P70+'18'!P70+'19'!P70+'20'!P72+'21'!P70</f>
        <v>583</v>
      </c>
      <c r="R70" s="399">
        <f>T55*30</f>
        <v>480</v>
      </c>
    </row>
    <row r="71" spans="1:23" x14ac:dyDescent="0.3">
      <c r="A71" s="95" t="s">
        <v>67</v>
      </c>
      <c r="B71" s="441">
        <v>28</v>
      </c>
      <c r="C71" s="454"/>
      <c r="D71" s="463"/>
      <c r="E71" s="543"/>
      <c r="F71" s="543"/>
      <c r="G71" s="543"/>
      <c r="H71" s="543"/>
      <c r="I71" s="543"/>
      <c r="J71" s="97"/>
      <c r="K71" s="391"/>
      <c r="L71" s="497" t="s">
        <v>58</v>
      </c>
      <c r="M71" s="498"/>
      <c r="N71" s="498"/>
      <c r="O71" s="408" t="s">
        <v>28</v>
      </c>
      <c r="P71" s="138">
        <v>2</v>
      </c>
      <c r="Q71" s="99">
        <f>'1'!Q71+'2'!P71+'3'!P71+'4'!P71+'5'!P71+'6'!P71+'7'!P71+'8'!P71+'9'!P71+'10'!P71+'11'!P71+'12'!P71+'13'!P71+'14'!P71+'15'!P71+'16'!P71+'17'!P71+'18'!P71+'19'!P71+'20'!P73+'21'!P71</f>
        <v>365</v>
      </c>
      <c r="R71" s="399">
        <f>T55*25</f>
        <v>400</v>
      </c>
    </row>
    <row r="72" spans="1:23" x14ac:dyDescent="0.3">
      <c r="A72" s="95" t="s">
        <v>69</v>
      </c>
      <c r="B72" s="441">
        <v>29</v>
      </c>
      <c r="C72" s="454"/>
      <c r="D72" s="463"/>
      <c r="E72" s="543"/>
      <c r="F72" s="543"/>
      <c r="G72" s="543"/>
      <c r="H72" s="543"/>
      <c r="I72" s="543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'1'!Q72+'2'!P72+'3'!P72+'4'!P72+'5'!P72+'6'!P72+'7'!P72+'8'!P72+'9'!P72+'10'!P72+'11'!P72+'12'!P72+'13'!P72+'14'!P72+'15'!P72+'16'!P72+'17'!P72+'18'!P72+'19'!P72+'20'!P74+'21'!P72</f>
        <v>25</v>
      </c>
      <c r="R72" s="399">
        <f>T55*10</f>
        <v>160</v>
      </c>
    </row>
    <row r="73" spans="1:23" x14ac:dyDescent="0.3">
      <c r="A73" s="95" t="s">
        <v>71</v>
      </c>
      <c r="B73" s="441">
        <v>28</v>
      </c>
      <c r="C73" s="454"/>
      <c r="D73" s="463"/>
      <c r="E73" s="543"/>
      <c r="F73" s="543"/>
      <c r="G73" s="543"/>
      <c r="H73" s="543"/>
      <c r="I73" s="543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'1'!Q73+'2'!P73+'3'!P73+'4'!P73+'5'!P73+'6'!P73+'7'!P73+'8'!P73+'9'!P73+'10'!P73+'11'!P73+'12'!P73+'13'!P73+'14'!P73+'15'!P73+'16'!P73+'17'!P73+'18'!P73+'19'!P73+'20'!P75+'21'!P73</f>
        <v>71</v>
      </c>
      <c r="R73" s="399"/>
    </row>
    <row r="74" spans="1:23" x14ac:dyDescent="0.3">
      <c r="A74" s="95" t="s">
        <v>73</v>
      </c>
      <c r="B74" s="441">
        <v>28</v>
      </c>
      <c r="C74" s="454"/>
      <c r="D74" s="552" t="s">
        <v>416</v>
      </c>
      <c r="E74" s="553"/>
      <c r="F74" s="553"/>
      <c r="G74" s="553"/>
      <c r="H74" s="553"/>
      <c r="I74" s="553"/>
      <c r="J74" s="97">
        <v>1</v>
      </c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'1'!Q74+'2'!P74+'3'!P74+'4'!P74+'5'!P74+'6'!P74+'7'!P74+'8'!P74+'9'!P74+'10'!P74+'11'!P74+'12'!P74+'13'!P74+'14'!P74+'15'!P74+'16'!P74+'17'!P74+'18'!P74+'19'!P74+'20'!P76+'21'!P74</f>
        <v>0</v>
      </c>
      <c r="R74" s="409"/>
    </row>
    <row r="75" spans="1:23" x14ac:dyDescent="0.3">
      <c r="A75" s="95" t="s">
        <v>75</v>
      </c>
      <c r="B75" s="441">
        <v>25</v>
      </c>
      <c r="C75" s="454"/>
      <c r="D75" s="552" t="s">
        <v>417</v>
      </c>
      <c r="E75" s="553"/>
      <c r="F75" s="553"/>
      <c r="G75" s="553"/>
      <c r="H75" s="553"/>
      <c r="I75" s="553"/>
      <c r="J75" s="97">
        <v>3</v>
      </c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'1'!Q75+'2'!P75+'3'!P75+'4'!P75+'5'!P75+'6'!P75+'7'!P75+'8'!P75+'9'!P75+'10'!P75+'11'!P75+'12'!P75+'13'!P75+'14'!P75+'15'!P75+'16'!P75+'17'!P75+'18'!P75+'19'!P75+'20'!P77+'21'!P75</f>
        <v>23040</v>
      </c>
      <c r="R75" s="406"/>
    </row>
    <row r="76" spans="1:23" x14ac:dyDescent="0.3">
      <c r="A76" s="95" t="s">
        <v>77</v>
      </c>
      <c r="B76" s="441">
        <v>28</v>
      </c>
      <c r="C76" s="454"/>
      <c r="D76" s="552"/>
      <c r="E76" s="553"/>
      <c r="F76" s="553"/>
      <c r="G76" s="553"/>
      <c r="H76" s="553"/>
      <c r="I76" s="55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163</v>
      </c>
      <c r="Q76" s="94">
        <f>'1'!Q76+'2'!P76+'3'!P76+'4'!P76+'5'!P76+'6'!P76+'7'!P76+'8'!P76+'9'!P76+'10'!P76+'11'!P76+'12'!P76+'13'!P76+'14'!P76+'15'!P76+'16'!P76+'17'!P76+'18'!P76+'19'!P76+'20'!P78+'21'!P76</f>
        <v>3687</v>
      </c>
      <c r="R76" s="406"/>
    </row>
    <row r="77" spans="1:23" x14ac:dyDescent="0.3">
      <c r="A77" s="95" t="s">
        <v>79</v>
      </c>
      <c r="B77" s="441">
        <v>29</v>
      </c>
      <c r="C77" s="454"/>
      <c r="D77" s="552"/>
      <c r="E77" s="553"/>
      <c r="F77" s="553"/>
      <c r="G77" s="553"/>
      <c r="H77" s="553"/>
      <c r="I77" s="553"/>
      <c r="J77" s="97"/>
      <c r="K77" s="391"/>
      <c r="L77" s="486" t="s">
        <v>70</v>
      </c>
      <c r="M77" s="487"/>
      <c r="N77" s="488"/>
      <c r="O77" s="405" t="s">
        <v>28</v>
      </c>
      <c r="P77" s="142">
        <v>168</v>
      </c>
      <c r="Q77" s="94">
        <f>'1'!Q77+'2'!P77+'3'!P77+'4'!P77+'5'!P77+'6'!P77+'7'!P77+'8'!P77+'9'!P77+'10'!P77+'11'!P77+'12'!P77+'13'!P77+'14'!P77+'15'!P77+'16'!P77+'17'!P77+'18'!P77+'19'!P77+'20'!P79+'21'!P77</f>
        <v>3721</v>
      </c>
      <c r="R77" s="406"/>
    </row>
    <row r="78" spans="1:23" x14ac:dyDescent="0.3">
      <c r="A78" s="109" t="s">
        <v>82</v>
      </c>
      <c r="B78" s="442">
        <v>29</v>
      </c>
      <c r="C78" s="455"/>
      <c r="D78" s="552"/>
      <c r="E78" s="553"/>
      <c r="F78" s="553"/>
      <c r="G78" s="553"/>
      <c r="H78" s="553"/>
      <c r="I78" s="55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5</v>
      </c>
      <c r="Q78" s="94">
        <f>'1'!Q78+'2'!P78+'3'!P78+'4'!P78+'5'!P78+'6'!P78+'7'!P78+'8'!P78+'9'!P78+'10'!P78+'11'!P78+'12'!P78+'13'!P78+'14'!P78+'15'!P78+'16'!P78+'17'!P78+'18'!P78+'19'!P78+'20'!P80+'21'!P78</f>
        <v>34</v>
      </c>
      <c r="R78" s="406"/>
    </row>
    <row r="79" spans="1:23" x14ac:dyDescent="0.3">
      <c r="A79" s="114"/>
      <c r="B79" s="115">
        <f>SUM(B55:B78)</f>
        <v>597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163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1272</v>
      </c>
      <c r="Q79" s="94">
        <f>'1'!Q79+'2'!P79+'3'!P79+'4'!P79+'5'!P79+'6'!P79+'7'!P79+'8'!P79+'9'!P79+'10'!P79+'11'!P79+'12'!P79+'13'!P79+'14'!P79+'15'!P79+'16'!P79+'17'!P79+'18'!P79+'19'!P79+'20'!P81+'21'!P79</f>
        <v>19319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0.8833333333333333</v>
      </c>
      <c r="Q80" s="431">
        <f>Q79/Q75</f>
        <v>0.83849826388888893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0.8833333333333333</v>
      </c>
      <c r="Q81" s="165">
        <f>Q79/Q60</f>
        <v>0.63885582010582009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59.351603773584905</v>
      </c>
      <c r="Q82" s="150">
        <f>(C26/1000)/(Q79/60)</f>
        <v>53.202499094156011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52.427249999999994</v>
      </c>
      <c r="Q83" s="113">
        <f>(C26/1000)/(Q75/60)</f>
        <v>44.610203124999998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37435</v>
      </c>
      <c r="Q84" s="100">
        <f>'1'!Q84+'2'!P84+'3'!P84+'4'!P84+'5'!P84+'6'!P84+'7'!P84+'8'!P84+'9'!P84+'10'!P84+'11'!P84+'12'!P84+'13'!P84+'14'!P84+'15'!P84+'16'!P84+'17'!P84+'18'!P84+'19'!P84+'20'!P86+'21'!P84</f>
        <v>556051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30.133792913588021</v>
      </c>
      <c r="Q85" s="124">
        <f>Q84/(K27/1000)</f>
        <v>32.987735442456369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201.8</v>
      </c>
      <c r="Q86" s="100">
        <f>'1'!Q86+'2'!P86+'3'!P86+'4'!P86+'5'!P86+'6'!P86+'7'!P86+'8'!P86+'9'!P86+'10'!P86+'11'!P86+'12'!P86+'13'!P86+'14'!P86+'15'!P86+'16'!P86+'17'!P86+'18'!P86+'19'!P86+'20'!P88+'21'!P86</f>
        <v>3180.75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162.44154961832677</v>
      </c>
      <c r="Q87" s="124">
        <f>(Q86*1000)/(K26/1000)</f>
        <v>189.40648050930946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123</v>
      </c>
      <c r="Q88" s="100">
        <f>'1'!Q88+'2'!P88+'3'!P88+'4'!P88+'5'!P88+'6'!P88+'7'!P88+'8'!P88+'9'!P88+'10'!P88+'11'!P88+'12'!P88+'13'!P88+'14'!P88+'15'!P88+'16'!P88+'17'!P88+'18'!P88+'19'!P88+'20'!P90+'21'!P88</f>
        <v>1875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9.9010458885303229E-2</v>
      </c>
      <c r="Q89" s="124">
        <f>Q88/(K26/1000)</f>
        <v>0.11165201633418384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5"/>
  <sheetViews>
    <sheetView zoomScaleNormal="100" workbookViewId="0">
      <selection activeCell="R60" sqref="R60"/>
    </sheetView>
  </sheetViews>
  <sheetFormatPr defaultRowHeight="16.5" x14ac:dyDescent="0.3"/>
  <cols>
    <col min="1" max="1" width="9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'21'!A3:Q3+1</f>
        <v>46044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221</v>
      </c>
      <c r="B7" s="15">
        <v>36</v>
      </c>
      <c r="C7" s="15">
        <v>76356</v>
      </c>
      <c r="D7" s="16"/>
      <c r="E7" s="17"/>
      <c r="F7" s="18"/>
      <c r="G7" s="19" t="s">
        <v>1</v>
      </c>
      <c r="H7" s="20">
        <v>6.5</v>
      </c>
      <c r="I7" s="21" t="s">
        <v>204</v>
      </c>
      <c r="J7" s="22">
        <v>36</v>
      </c>
      <c r="K7" s="17">
        <v>75590</v>
      </c>
      <c r="L7" s="23">
        <f t="shared" ref="L7:L17" si="0">K7/C7</f>
        <v>0.98996804442348996</v>
      </c>
      <c r="M7" s="17"/>
      <c r="N7" s="22"/>
      <c r="O7" s="134"/>
      <c r="P7" s="134"/>
      <c r="Q7" s="134"/>
    </row>
    <row r="8" spans="1:17" x14ac:dyDescent="0.3">
      <c r="A8" s="24" t="s">
        <v>221</v>
      </c>
      <c r="B8" s="25">
        <v>132</v>
      </c>
      <c r="C8" s="25">
        <v>279972</v>
      </c>
      <c r="D8" s="26"/>
      <c r="E8" s="27"/>
      <c r="F8" s="28"/>
      <c r="G8" s="29" t="s">
        <v>1</v>
      </c>
      <c r="H8" s="30">
        <v>7</v>
      </c>
      <c r="I8" s="31" t="s">
        <v>204</v>
      </c>
      <c r="J8" s="32">
        <v>131</v>
      </c>
      <c r="K8" s="33">
        <v>274235</v>
      </c>
      <c r="L8" s="34">
        <f t="shared" si="0"/>
        <v>0.97950866515222956</v>
      </c>
      <c r="M8" s="33">
        <v>1</v>
      </c>
      <c r="N8" s="32">
        <v>2087</v>
      </c>
      <c r="O8" s="135"/>
      <c r="P8" s="135"/>
      <c r="Q8" s="135"/>
    </row>
    <row r="9" spans="1:17" x14ac:dyDescent="0.3">
      <c r="A9" s="24" t="s">
        <v>221</v>
      </c>
      <c r="B9" s="25">
        <v>12</v>
      </c>
      <c r="C9" s="25">
        <v>25452</v>
      </c>
      <c r="D9" s="26"/>
      <c r="E9" s="27"/>
      <c r="F9" s="28"/>
      <c r="G9" s="29" t="s">
        <v>1</v>
      </c>
      <c r="H9" s="30">
        <v>7</v>
      </c>
      <c r="I9" s="31" t="s">
        <v>429</v>
      </c>
      <c r="J9" s="32">
        <v>12</v>
      </c>
      <c r="K9" s="33">
        <v>25140</v>
      </c>
      <c r="L9" s="34">
        <f t="shared" si="0"/>
        <v>0.98774163130598769</v>
      </c>
      <c r="M9" s="33"/>
      <c r="N9" s="32"/>
      <c r="O9" s="135"/>
      <c r="P9" s="135"/>
      <c r="Q9" s="135"/>
    </row>
    <row r="10" spans="1:17" x14ac:dyDescent="0.3">
      <c r="A10" s="35" t="s">
        <v>205</v>
      </c>
      <c r="B10" s="36">
        <v>48</v>
      </c>
      <c r="C10" s="36">
        <v>100704</v>
      </c>
      <c r="D10" s="37"/>
      <c r="E10" s="38"/>
      <c r="F10" s="18"/>
      <c r="G10" s="39" t="s">
        <v>1</v>
      </c>
      <c r="H10" s="40">
        <v>7</v>
      </c>
      <c r="I10" s="31" t="s">
        <v>206</v>
      </c>
      <c r="J10" s="41">
        <v>48</v>
      </c>
      <c r="K10" s="42">
        <v>98999</v>
      </c>
      <c r="L10" s="34">
        <f t="shared" si="0"/>
        <v>0.98306919288210992</v>
      </c>
      <c r="M10" s="33"/>
      <c r="N10" s="32"/>
      <c r="O10" s="135"/>
      <c r="P10" s="135"/>
      <c r="Q10" s="135"/>
    </row>
    <row r="11" spans="1:17" x14ac:dyDescent="0.3">
      <c r="A11" s="35" t="s">
        <v>236</v>
      </c>
      <c r="B11" s="36">
        <v>48</v>
      </c>
      <c r="C11" s="36">
        <v>101712</v>
      </c>
      <c r="D11" s="37"/>
      <c r="E11" s="38"/>
      <c r="F11" s="18"/>
      <c r="G11" s="39" t="s">
        <v>1</v>
      </c>
      <c r="H11" s="40">
        <v>7</v>
      </c>
      <c r="I11" s="31" t="s">
        <v>237</v>
      </c>
      <c r="J11" s="41">
        <v>48</v>
      </c>
      <c r="K11" s="42">
        <v>100641</v>
      </c>
      <c r="L11" s="34">
        <f t="shared" si="0"/>
        <v>0.98947026899480883</v>
      </c>
      <c r="M11" s="33"/>
      <c r="N11" s="32"/>
      <c r="O11" s="135"/>
      <c r="P11" s="135"/>
      <c r="Q11" s="135"/>
    </row>
    <row r="12" spans="1:17" x14ac:dyDescent="0.3">
      <c r="A12" s="35" t="s">
        <v>236</v>
      </c>
      <c r="B12" s="36">
        <v>12</v>
      </c>
      <c r="C12" s="36">
        <v>25428</v>
      </c>
      <c r="D12" s="37"/>
      <c r="E12" s="38"/>
      <c r="F12" s="18"/>
      <c r="G12" s="39" t="s">
        <v>1</v>
      </c>
      <c r="H12" s="40">
        <v>5.5</v>
      </c>
      <c r="I12" s="31" t="s">
        <v>237</v>
      </c>
      <c r="J12" s="41">
        <v>12</v>
      </c>
      <c r="K12" s="42">
        <v>25046</v>
      </c>
      <c r="L12" s="34">
        <f t="shared" si="0"/>
        <v>0.98497719049866295</v>
      </c>
      <c r="M12" s="33"/>
      <c r="N12" s="32"/>
      <c r="O12" s="135"/>
      <c r="P12" s="135"/>
      <c r="Q12" s="135"/>
    </row>
    <row r="13" spans="1:17" s="456" customFormat="1" x14ac:dyDescent="0.3">
      <c r="A13" s="35" t="s">
        <v>236</v>
      </c>
      <c r="B13" s="36">
        <v>12</v>
      </c>
      <c r="C13" s="36">
        <v>25428</v>
      </c>
      <c r="D13" s="37"/>
      <c r="E13" s="38"/>
      <c r="F13" s="18"/>
      <c r="G13" s="39" t="s">
        <v>1</v>
      </c>
      <c r="H13" s="40">
        <v>5.5</v>
      </c>
      <c r="I13" s="31" t="s">
        <v>204</v>
      </c>
      <c r="J13" s="41">
        <v>12</v>
      </c>
      <c r="K13" s="42">
        <v>25030</v>
      </c>
      <c r="L13" s="34">
        <f t="shared" ref="L13" si="1">K13/C13</f>
        <v>0.98434796287557025</v>
      </c>
      <c r="M13" s="33"/>
      <c r="N13" s="32"/>
      <c r="O13" s="457"/>
      <c r="P13" s="457"/>
      <c r="Q13" s="457"/>
    </row>
    <row r="14" spans="1:17" x14ac:dyDescent="0.3">
      <c r="A14" s="35" t="s">
        <v>430</v>
      </c>
      <c r="B14" s="36">
        <v>14</v>
      </c>
      <c r="C14" s="36">
        <v>29722</v>
      </c>
      <c r="D14" s="37"/>
      <c r="E14" s="38"/>
      <c r="F14" s="18"/>
      <c r="G14" s="39" t="s">
        <v>1</v>
      </c>
      <c r="H14" s="40">
        <v>5.5</v>
      </c>
      <c r="I14" s="31" t="s">
        <v>239</v>
      </c>
      <c r="J14" s="41">
        <v>14</v>
      </c>
      <c r="K14" s="42">
        <v>29396</v>
      </c>
      <c r="L14" s="34">
        <f t="shared" si="0"/>
        <v>0.98903169369490618</v>
      </c>
      <c r="M14" s="33"/>
      <c r="N14" s="32"/>
      <c r="O14" s="135"/>
      <c r="P14" s="135"/>
      <c r="Q14" s="135"/>
    </row>
    <row r="15" spans="1:17" x14ac:dyDescent="0.3">
      <c r="A15" s="35" t="s">
        <v>238</v>
      </c>
      <c r="B15" s="36">
        <v>130</v>
      </c>
      <c r="C15" s="36">
        <v>274820</v>
      </c>
      <c r="D15" s="37"/>
      <c r="E15" s="38"/>
      <c r="F15" s="18"/>
      <c r="G15" s="39" t="s">
        <v>1</v>
      </c>
      <c r="H15" s="40">
        <v>5.5</v>
      </c>
      <c r="I15" s="31" t="s">
        <v>239</v>
      </c>
      <c r="J15" s="41">
        <v>130</v>
      </c>
      <c r="K15" s="42">
        <v>271827</v>
      </c>
      <c r="L15" s="34">
        <f t="shared" si="0"/>
        <v>0.98910923513572524</v>
      </c>
      <c r="M15" s="43"/>
      <c r="N15" s="44"/>
      <c r="O15" s="135"/>
      <c r="P15" s="135"/>
      <c r="Q15" s="135"/>
    </row>
    <row r="16" spans="1:17" x14ac:dyDescent="0.3">
      <c r="A16" s="35" t="s">
        <v>275</v>
      </c>
      <c r="B16" s="36">
        <v>78</v>
      </c>
      <c r="C16" s="36">
        <v>166296</v>
      </c>
      <c r="D16" s="37"/>
      <c r="E16" s="38"/>
      <c r="F16" s="45"/>
      <c r="G16" s="39" t="s">
        <v>1</v>
      </c>
      <c r="H16" s="40">
        <v>5.5</v>
      </c>
      <c r="I16" s="31" t="s">
        <v>431</v>
      </c>
      <c r="J16" s="41">
        <v>78</v>
      </c>
      <c r="K16" s="42">
        <v>165389</v>
      </c>
      <c r="L16" s="34">
        <f t="shared" si="0"/>
        <v>0.99454587001491312</v>
      </c>
      <c r="M16" s="46"/>
      <c r="N16" s="47"/>
      <c r="O16" s="135"/>
      <c r="P16" s="135"/>
      <c r="Q16" s="135"/>
    </row>
    <row r="17" spans="1:17" x14ac:dyDescent="0.3">
      <c r="A17" s="48"/>
      <c r="B17" s="48">
        <f>SUM(B7:B16)</f>
        <v>522</v>
      </c>
      <c r="C17" s="48">
        <f>SUM(C7:C16)</f>
        <v>1105890</v>
      </c>
      <c r="D17" s="49">
        <f>SUM(D7:D16)</f>
        <v>0</v>
      </c>
      <c r="E17" s="50">
        <f>SUM(E7:E16)</f>
        <v>0</v>
      </c>
      <c r="F17" s="51">
        <f>E17/C17</f>
        <v>0</v>
      </c>
      <c r="G17" s="52"/>
      <c r="H17" s="2"/>
      <c r="I17" s="2"/>
      <c r="J17" s="53">
        <f>SUM(J7:J16)</f>
        <v>521</v>
      </c>
      <c r="K17" s="53">
        <f>SUM(K7:K16)</f>
        <v>1091293</v>
      </c>
      <c r="L17" s="51">
        <f t="shared" si="0"/>
        <v>0.9868006763783016</v>
      </c>
      <c r="M17" s="50">
        <f>SUM(M7:M16)</f>
        <v>1</v>
      </c>
      <c r="N17" s="54">
        <f>SUM(N7:N16)</f>
        <v>2087</v>
      </c>
      <c r="O17" s="134"/>
      <c r="P17" s="134"/>
      <c r="Q17" s="134"/>
    </row>
    <row r="18" spans="1:17" x14ac:dyDescent="0.3">
      <c r="A18" s="511" t="s">
        <v>20</v>
      </c>
      <c r="B18" s="511"/>
      <c r="C18" s="511"/>
      <c r="D18" s="511"/>
      <c r="E18" s="511"/>
      <c r="F18" s="511"/>
      <c r="G18" s="511"/>
      <c r="H18" s="511"/>
      <c r="I18" s="511"/>
      <c r="J18" s="512"/>
      <c r="K18" s="53">
        <f>K17+N17</f>
        <v>1093380</v>
      </c>
      <c r="L18" s="51">
        <f>K18/C17</f>
        <v>0.98868784417980093</v>
      </c>
      <c r="M18" s="134"/>
      <c r="N18" s="134"/>
      <c r="O18" s="134"/>
      <c r="P18" s="134"/>
      <c r="Q18" s="134"/>
    </row>
    <row r="19" spans="1:17" x14ac:dyDescent="0.3">
      <c r="A19" s="55" t="s">
        <v>21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35"/>
      <c r="P19" s="135"/>
      <c r="Q19" s="135"/>
    </row>
    <row r="20" spans="1:17" x14ac:dyDescent="0.3">
      <c r="A20" s="513" t="s">
        <v>5</v>
      </c>
      <c r="B20" s="514"/>
      <c r="C20" s="514"/>
      <c r="D20" s="514"/>
      <c r="E20" s="514"/>
      <c r="F20" s="515"/>
      <c r="G20" s="513" t="s">
        <v>6</v>
      </c>
      <c r="H20" s="516"/>
      <c r="I20" s="516"/>
      <c r="J20" s="516"/>
      <c r="K20" s="516"/>
      <c r="L20" s="516"/>
      <c r="M20" s="471"/>
      <c r="N20" s="472"/>
      <c r="O20" s="134"/>
      <c r="P20" s="134"/>
      <c r="Q20" s="134"/>
    </row>
    <row r="21" spans="1:17" x14ac:dyDescent="0.3">
      <c r="A21" s="517" t="s">
        <v>7</v>
      </c>
      <c r="B21" s="518"/>
      <c r="C21" s="471"/>
      <c r="D21" s="519" t="s">
        <v>8</v>
      </c>
      <c r="E21" s="519"/>
      <c r="F21" s="519"/>
      <c r="G21" s="517" t="s">
        <v>22</v>
      </c>
      <c r="H21" s="516"/>
      <c r="I21" s="516"/>
      <c r="J21" s="471"/>
      <c r="K21" s="471"/>
      <c r="L21" s="472"/>
      <c r="M21" s="517" t="s">
        <v>10</v>
      </c>
      <c r="N21" s="472"/>
      <c r="O21" s="134"/>
      <c r="P21" s="134"/>
      <c r="Q21" s="134"/>
    </row>
    <row r="22" spans="1:17" x14ac:dyDescent="0.3">
      <c r="A22" s="520"/>
      <c r="B22" s="379" t="s">
        <v>12</v>
      </c>
      <c r="C22" s="379" t="s">
        <v>13</v>
      </c>
      <c r="D22" s="379" t="s">
        <v>12</v>
      </c>
      <c r="E22" s="379" t="s">
        <v>13</v>
      </c>
      <c r="F22" s="9" t="s">
        <v>14</v>
      </c>
      <c r="G22" s="9" t="s">
        <v>15</v>
      </c>
      <c r="H22" s="56"/>
      <c r="I22" s="56"/>
      <c r="J22" s="13" t="s">
        <v>18</v>
      </c>
      <c r="K22" s="379" t="s">
        <v>13</v>
      </c>
      <c r="L22" s="9" t="s">
        <v>19</v>
      </c>
      <c r="M22" s="13" t="s">
        <v>18</v>
      </c>
      <c r="N22" s="379" t="s">
        <v>13</v>
      </c>
      <c r="O22" s="134"/>
      <c r="P22" s="134"/>
      <c r="Q22" s="134"/>
    </row>
    <row r="23" spans="1:17" x14ac:dyDescent="0.3">
      <c r="A23" s="521"/>
      <c r="B23" s="57">
        <f>'21'!B22+'22'!B17</f>
        <v>7480</v>
      </c>
      <c r="C23" s="57">
        <f>'21'!C22+'22'!C17</f>
        <v>15801337</v>
      </c>
      <c r="D23" s="57">
        <f>'21'!D22+'22'!D17</f>
        <v>14</v>
      </c>
      <c r="E23" s="57">
        <f>'21'!E22+'22'!E17</f>
        <v>29600</v>
      </c>
      <c r="F23" s="423">
        <f>E23/C23</f>
        <v>1.8732592058507455E-3</v>
      </c>
      <c r="G23" s="58" t="s">
        <v>1</v>
      </c>
      <c r="H23" s="59"/>
      <c r="I23" s="59"/>
      <c r="J23" s="57">
        <f>'21'!J22+'22'!J17</f>
        <v>7438</v>
      </c>
      <c r="K23" s="57">
        <f>'21'!K22+'22'!K17</f>
        <v>15504826</v>
      </c>
      <c r="L23" s="60">
        <f>K23/C23</f>
        <v>0.98123506890587808</v>
      </c>
      <c r="M23" s="57">
        <f>'21'!M22+'22'!M17</f>
        <v>28</v>
      </c>
      <c r="N23" s="57">
        <f>'21'!N22+'22'!N17</f>
        <v>57472</v>
      </c>
      <c r="O23" s="135"/>
      <c r="P23" s="135"/>
      <c r="Q23" s="135"/>
    </row>
    <row r="24" spans="1:17" x14ac:dyDescent="0.3">
      <c r="A24" s="521"/>
      <c r="B24" s="61">
        <f>'21'!B23</f>
        <v>1160</v>
      </c>
      <c r="C24" s="61">
        <f>'21'!C23</f>
        <v>2434871</v>
      </c>
      <c r="D24" s="61">
        <f>'21'!D23</f>
        <v>6</v>
      </c>
      <c r="E24" s="61">
        <f>'21'!E23</f>
        <v>12633</v>
      </c>
      <c r="F24" s="424">
        <f>E24/C24</f>
        <v>5.1883652152413823E-3</v>
      </c>
      <c r="G24" s="381" t="s">
        <v>195</v>
      </c>
      <c r="H24" s="59"/>
      <c r="I24" s="59"/>
      <c r="J24" s="61">
        <f>'21'!J23</f>
        <v>1150</v>
      </c>
      <c r="K24" s="61">
        <f>'21'!K23</f>
        <v>2379715</v>
      </c>
      <c r="L24" s="382">
        <f t="shared" ref="L24:L25" si="2">K24/C24</f>
        <v>0.97734746522505711</v>
      </c>
      <c r="M24" s="61">
        <f>'21'!M23</f>
        <v>4</v>
      </c>
      <c r="N24" s="61">
        <f>'21'!N23</f>
        <v>7662</v>
      </c>
      <c r="O24" s="135"/>
      <c r="P24" s="135"/>
      <c r="Q24" s="135"/>
    </row>
    <row r="25" spans="1:17" x14ac:dyDescent="0.3">
      <c r="A25" s="521"/>
      <c r="B25" s="61">
        <f>'21'!B24</f>
        <v>0</v>
      </c>
      <c r="C25" s="61">
        <f>'21'!C24</f>
        <v>0</v>
      </c>
      <c r="D25" s="61">
        <f>'21'!D24</f>
        <v>0</v>
      </c>
      <c r="E25" s="61">
        <f>'21'!E24</f>
        <v>0</v>
      </c>
      <c r="F25" s="424" t="e">
        <f t="shared" ref="F25" si="3">E25/C25</f>
        <v>#DIV/0!</v>
      </c>
      <c r="G25" s="381" t="s">
        <v>196</v>
      </c>
      <c r="H25" s="59"/>
      <c r="I25" s="59"/>
      <c r="J25" s="61">
        <f>'21'!J24</f>
        <v>0</v>
      </c>
      <c r="K25" s="61">
        <f>'21'!K24</f>
        <v>0</v>
      </c>
      <c r="L25" s="382" t="e">
        <f t="shared" si="2"/>
        <v>#DIV/0!</v>
      </c>
      <c r="M25" s="61">
        <f>'21'!M24</f>
        <v>0</v>
      </c>
      <c r="N25" s="61">
        <f>'21'!N24</f>
        <v>0</v>
      </c>
      <c r="O25" s="135"/>
      <c r="P25" s="135"/>
      <c r="Q25" s="135"/>
    </row>
    <row r="26" spans="1:17" x14ac:dyDescent="0.3">
      <c r="A26" s="521"/>
      <c r="B26" s="61"/>
      <c r="C26" s="62"/>
      <c r="D26" s="63"/>
      <c r="E26" s="64"/>
      <c r="F26" s="34"/>
      <c r="G26" s="34"/>
      <c r="H26" s="133"/>
      <c r="I26" s="133"/>
      <c r="J26" s="65"/>
      <c r="K26" s="62"/>
      <c r="L26" s="34"/>
      <c r="M26" s="65"/>
      <c r="N26" s="66"/>
      <c r="O26" s="135"/>
      <c r="P26" s="135"/>
      <c r="Q26" s="135"/>
    </row>
    <row r="27" spans="1:17" x14ac:dyDescent="0.3">
      <c r="A27" s="522"/>
      <c r="B27" s="67">
        <f>SUM(B22:B26)</f>
        <v>8640</v>
      </c>
      <c r="C27" s="68">
        <f>SUM(C22:C26)</f>
        <v>18236208</v>
      </c>
      <c r="D27" s="49">
        <f>SUM(D22:D26)</f>
        <v>20</v>
      </c>
      <c r="E27" s="69">
        <f>SUM(E23:E26)</f>
        <v>42233</v>
      </c>
      <c r="F27" s="51">
        <f>E27/C27</f>
        <v>2.3158871625065915E-3</v>
      </c>
      <c r="G27" s="51"/>
      <c r="H27" s="70"/>
      <c r="I27" s="70"/>
      <c r="J27" s="71">
        <f>SUM(J23:J26)</f>
        <v>8588</v>
      </c>
      <c r="K27" s="68">
        <f>SUM(K23:K26)</f>
        <v>17884541</v>
      </c>
      <c r="L27" s="51">
        <f>K27/C27</f>
        <v>0.98071600192320685</v>
      </c>
      <c r="M27" s="71">
        <f>SUM(M23:M26)</f>
        <v>32</v>
      </c>
      <c r="N27" s="54">
        <f>SUM(N23:N26)</f>
        <v>65134</v>
      </c>
      <c r="O27" s="134"/>
      <c r="P27" s="134"/>
      <c r="Q27" s="134"/>
    </row>
    <row r="28" spans="1:17" x14ac:dyDescent="0.3">
      <c r="A28" s="523" t="s">
        <v>20</v>
      </c>
      <c r="B28" s="524"/>
      <c r="C28" s="524"/>
      <c r="D28" s="525"/>
      <c r="E28" s="525"/>
      <c r="F28" s="525"/>
      <c r="G28" s="525"/>
      <c r="H28" s="525"/>
      <c r="I28" s="525"/>
      <c r="J28" s="526"/>
      <c r="K28" s="68">
        <f>K27+N27</f>
        <v>17949675</v>
      </c>
      <c r="L28" s="51">
        <f>K28/C27</f>
        <v>0.98428768744028361</v>
      </c>
      <c r="M28" s="134"/>
      <c r="N28" s="134"/>
      <c r="O28" s="134"/>
      <c r="P28" s="134"/>
      <c r="Q28" s="134"/>
    </row>
    <row r="29" spans="1:17" x14ac:dyDescent="0.3">
      <c r="A29" s="72"/>
      <c r="B29" s="73"/>
      <c r="C29" s="73"/>
      <c r="D29" s="135"/>
      <c r="E29" s="135"/>
      <c r="F29" s="135"/>
      <c r="G29" s="135"/>
      <c r="H29" s="135"/>
      <c r="I29" s="135"/>
      <c r="J29" s="135"/>
      <c r="K29" s="74"/>
      <c r="L29" s="75"/>
      <c r="M29" s="135"/>
      <c r="N29" s="135"/>
      <c r="O29" s="135"/>
      <c r="P29" s="135"/>
      <c r="Q29" s="135"/>
    </row>
    <row r="30" spans="1:17" x14ac:dyDescent="0.3">
      <c r="A30" s="11" t="s">
        <v>15</v>
      </c>
      <c r="B30" s="11" t="s">
        <v>16</v>
      </c>
      <c r="C30" s="11" t="s">
        <v>17</v>
      </c>
      <c r="D30" s="11" t="s">
        <v>18</v>
      </c>
      <c r="E30" s="11" t="s">
        <v>13</v>
      </c>
      <c r="F30" s="76"/>
      <c r="G30" s="11" t="s">
        <v>15</v>
      </c>
      <c r="H30" s="11" t="s">
        <v>16</v>
      </c>
      <c r="I30" s="11" t="s">
        <v>17</v>
      </c>
      <c r="J30" s="11" t="s">
        <v>18</v>
      </c>
      <c r="K30" s="11" t="s">
        <v>13</v>
      </c>
      <c r="L30" s="76"/>
      <c r="M30" s="11" t="s">
        <v>15</v>
      </c>
      <c r="N30" s="11" t="s">
        <v>16</v>
      </c>
      <c r="O30" s="11" t="s">
        <v>17</v>
      </c>
      <c r="P30" s="11" t="s">
        <v>18</v>
      </c>
      <c r="Q30" s="11" t="s">
        <v>13</v>
      </c>
    </row>
    <row r="31" spans="1:17" x14ac:dyDescent="0.3">
      <c r="A31" s="307" t="str">
        <f>'21'!A30</f>
        <v>BIC</v>
      </c>
      <c r="B31" s="307" t="str">
        <f>'21'!B30</f>
        <v>P.6</v>
      </c>
      <c r="C31" s="307" t="str">
        <f>'21'!C30</f>
        <v>BjTPG280</v>
      </c>
      <c r="D31" s="308">
        <f>'21'!D30</f>
        <v>239</v>
      </c>
      <c r="E31" s="308">
        <f>'21'!E30</f>
        <v>497038</v>
      </c>
      <c r="F31" s="79"/>
      <c r="G31" s="307" t="str">
        <f>'21'!G30</f>
        <v>WR</v>
      </c>
      <c r="H31" s="306">
        <f>'21'!H30</f>
        <v>18</v>
      </c>
      <c r="I31" s="306">
        <f>'21'!I30</f>
        <v>8</v>
      </c>
      <c r="J31" s="306">
        <f>'21'!J30</f>
        <v>68</v>
      </c>
      <c r="K31" s="306">
        <f>'21'!K30</f>
        <v>140152</v>
      </c>
      <c r="L31" s="79"/>
      <c r="M31" s="307" t="str">
        <f>'21'!M30</f>
        <v>WR</v>
      </c>
      <c r="N31" s="306">
        <f>'21'!N30</f>
        <v>0</v>
      </c>
      <c r="O31" s="306">
        <f>'21'!O30</f>
        <v>0</v>
      </c>
      <c r="P31" s="306">
        <f>'21'!P30</f>
        <v>0</v>
      </c>
      <c r="Q31" s="306">
        <f>'21'!Q30</f>
        <v>0</v>
      </c>
    </row>
    <row r="32" spans="1:17" x14ac:dyDescent="0.3">
      <c r="A32" s="307" t="str">
        <f>'21'!A31</f>
        <v>WR</v>
      </c>
      <c r="B32" s="307">
        <f>'21'!B31</f>
        <v>6.5</v>
      </c>
      <c r="C32" s="307">
        <f>'21'!C31</f>
        <v>8</v>
      </c>
      <c r="D32" s="308">
        <f>'21'!D31+J7</f>
        <v>180</v>
      </c>
      <c r="E32" s="308">
        <f>'21'!E31+K7</f>
        <v>377095</v>
      </c>
      <c r="F32" s="135"/>
      <c r="G32" s="307" t="str">
        <f>'21'!G31</f>
        <v>WR</v>
      </c>
      <c r="H32" s="306">
        <f>'21'!H31</f>
        <v>7.5</v>
      </c>
      <c r="I32" s="306">
        <f>'21'!I31</f>
        <v>8</v>
      </c>
      <c r="J32" s="306">
        <f>'21'!J31</f>
        <v>96</v>
      </c>
      <c r="K32" s="306">
        <f>'21'!K31</f>
        <v>200884</v>
      </c>
      <c r="L32" s="135"/>
      <c r="M32" s="307" t="str">
        <f>'21'!M31</f>
        <v>WR</v>
      </c>
      <c r="N32" s="306">
        <f>'21'!N31</f>
        <v>0</v>
      </c>
      <c r="O32" s="306">
        <f>'21'!O31</f>
        <v>0</v>
      </c>
      <c r="P32" s="306">
        <f>'21'!P31</f>
        <v>0</v>
      </c>
      <c r="Q32" s="306">
        <f>'21'!Q31</f>
        <v>0</v>
      </c>
    </row>
    <row r="33" spans="1:17" x14ac:dyDescent="0.3">
      <c r="A33" s="307" t="str">
        <f>'21'!A32</f>
        <v>WR</v>
      </c>
      <c r="B33" s="307">
        <f>'21'!B32</f>
        <v>6.5</v>
      </c>
      <c r="C33" s="307">
        <f>'21'!C32</f>
        <v>10</v>
      </c>
      <c r="D33" s="308">
        <f>'21'!D32</f>
        <v>48</v>
      </c>
      <c r="E33" s="308">
        <f>'21'!E32</f>
        <v>99149</v>
      </c>
      <c r="F33" s="135"/>
      <c r="G33" s="307" t="str">
        <f>'21'!G32</f>
        <v>WR</v>
      </c>
      <c r="H33" s="306">
        <f>'21'!H32</f>
        <v>7.5</v>
      </c>
      <c r="I33" s="306">
        <f>'21'!I32</f>
        <v>15</v>
      </c>
      <c r="J33" s="306">
        <f>'21'!J32</f>
        <v>543</v>
      </c>
      <c r="K33" s="306">
        <f>'21'!K32</f>
        <v>1124422</v>
      </c>
      <c r="L33" s="135"/>
      <c r="M33" s="307" t="str">
        <f>'21'!M32</f>
        <v>WR</v>
      </c>
      <c r="N33" s="306">
        <f>'21'!N32</f>
        <v>0</v>
      </c>
      <c r="O33" s="306">
        <f>'21'!O32</f>
        <v>0</v>
      </c>
      <c r="P33" s="306">
        <f>'21'!P32</f>
        <v>0</v>
      </c>
      <c r="Q33" s="306">
        <f>'21'!Q32</f>
        <v>0</v>
      </c>
    </row>
    <row r="34" spans="1:17" x14ac:dyDescent="0.3">
      <c r="A34" s="307" t="str">
        <f>'21'!A33</f>
        <v>WR</v>
      </c>
      <c r="B34" s="307">
        <f>'21'!B33</f>
        <v>6.5</v>
      </c>
      <c r="C34" s="307">
        <f>'21'!C33</f>
        <v>15</v>
      </c>
      <c r="D34" s="308">
        <f>'21'!D33</f>
        <v>6</v>
      </c>
      <c r="E34" s="308">
        <f>'21'!E33</f>
        <v>12304</v>
      </c>
      <c r="F34" s="135"/>
      <c r="G34" s="307" t="str">
        <f>'21'!G33</f>
        <v>WR</v>
      </c>
      <c r="H34" s="306">
        <f>'21'!H33</f>
        <v>5.5</v>
      </c>
      <c r="I34" s="306">
        <f>'21'!I33</f>
        <v>22</v>
      </c>
      <c r="J34" s="306">
        <f>'21'!J33</f>
        <v>436</v>
      </c>
      <c r="K34" s="306">
        <f>'21'!K33</f>
        <v>893285</v>
      </c>
      <c r="L34" s="135"/>
      <c r="M34" s="307" t="str">
        <f>'21'!M33</f>
        <v>WR</v>
      </c>
      <c r="N34" s="306">
        <f>'21'!N33</f>
        <v>0</v>
      </c>
      <c r="O34" s="306">
        <f>'21'!O33</f>
        <v>0</v>
      </c>
      <c r="P34" s="306">
        <f>'21'!P33</f>
        <v>0</v>
      </c>
      <c r="Q34" s="306">
        <f>'21'!Q33</f>
        <v>0</v>
      </c>
    </row>
    <row r="35" spans="1:17" x14ac:dyDescent="0.3">
      <c r="A35" s="307" t="str">
        <f>'21'!A34</f>
        <v>WR</v>
      </c>
      <c r="B35" s="307">
        <f>'21'!B34</f>
        <v>5.5</v>
      </c>
      <c r="C35" s="307">
        <f>'21'!C34</f>
        <v>6</v>
      </c>
      <c r="D35" s="308">
        <f>'21'!D34+J12</f>
        <v>971</v>
      </c>
      <c r="E35" s="308">
        <f>'21'!E34+K12</f>
        <v>2036194</v>
      </c>
      <c r="F35" s="135"/>
      <c r="G35" s="307" t="str">
        <f>'21'!G34</f>
        <v>WR</v>
      </c>
      <c r="H35" s="306">
        <f>'21'!H34</f>
        <v>5.5</v>
      </c>
      <c r="I35" s="306">
        <f>'21'!I34</f>
        <v>1045</v>
      </c>
      <c r="J35" s="306">
        <f>'21'!J34</f>
        <v>50</v>
      </c>
      <c r="K35" s="306">
        <f>'21'!K34</f>
        <v>104556</v>
      </c>
      <c r="L35" s="135"/>
      <c r="M35" s="307" t="str">
        <f>'21'!M34</f>
        <v>WR</v>
      </c>
      <c r="N35" s="306">
        <f>'21'!N34</f>
        <v>0</v>
      </c>
      <c r="O35" s="306">
        <f>'21'!O34</f>
        <v>0</v>
      </c>
      <c r="P35" s="306">
        <f>'21'!P34</f>
        <v>0</v>
      </c>
      <c r="Q35" s="306">
        <f>'21'!Q34</f>
        <v>0</v>
      </c>
    </row>
    <row r="36" spans="1:17" x14ac:dyDescent="0.3">
      <c r="A36" s="307" t="str">
        <f>'21'!A35</f>
        <v>WR</v>
      </c>
      <c r="B36" s="307">
        <f>'21'!B35</f>
        <v>5.5</v>
      </c>
      <c r="C36" s="307" t="str">
        <f>'21'!C35</f>
        <v>8.A</v>
      </c>
      <c r="D36" s="308">
        <f>'21'!D35</f>
        <v>75</v>
      </c>
      <c r="E36" s="308">
        <f>'21'!E35</f>
        <v>157414</v>
      </c>
      <c r="F36" s="135"/>
      <c r="G36" s="307" t="str">
        <f>'21'!G35</f>
        <v>WR</v>
      </c>
      <c r="H36" s="306">
        <f>'21'!H35</f>
        <v>9.5</v>
      </c>
      <c r="I36" s="306">
        <f>'21'!I35</f>
        <v>15</v>
      </c>
      <c r="J36" s="306">
        <f>'21'!J35</f>
        <v>322</v>
      </c>
      <c r="K36" s="306">
        <f>'21'!K35</f>
        <v>664963</v>
      </c>
      <c r="L36" s="135"/>
      <c r="M36" s="307" t="str">
        <f>'21'!M35</f>
        <v>WR</v>
      </c>
      <c r="N36" s="306">
        <f>'21'!N35</f>
        <v>0</v>
      </c>
      <c r="O36" s="306">
        <f>'21'!O35</f>
        <v>0</v>
      </c>
      <c r="P36" s="306">
        <f>'21'!P35</f>
        <v>0</v>
      </c>
      <c r="Q36" s="306">
        <f>'21'!Q35</f>
        <v>0</v>
      </c>
    </row>
    <row r="37" spans="1:17" x14ac:dyDescent="0.3">
      <c r="A37" s="307" t="str">
        <f>'21'!A36</f>
        <v>WR</v>
      </c>
      <c r="B37" s="307">
        <f>'21'!B36</f>
        <v>5.5</v>
      </c>
      <c r="C37" s="307" t="str">
        <f>'21'!C36</f>
        <v>22.A</v>
      </c>
      <c r="D37" s="308">
        <f>'21'!D36+J14+J15</f>
        <v>813</v>
      </c>
      <c r="E37" s="308">
        <f>'21'!E36+K14+K15</f>
        <v>1694379</v>
      </c>
      <c r="F37" s="135"/>
      <c r="G37" s="307" t="str">
        <f>'21'!G36</f>
        <v>WR</v>
      </c>
      <c r="H37" s="306">
        <f>'21'!H36</f>
        <v>12</v>
      </c>
      <c r="I37" s="306">
        <f>'21'!I36</f>
        <v>8</v>
      </c>
      <c r="J37" s="306">
        <f>'21'!J36</f>
        <v>143</v>
      </c>
      <c r="K37" s="306">
        <f>'21'!K36</f>
        <v>298814</v>
      </c>
      <c r="L37" s="135"/>
      <c r="M37" s="307" t="str">
        <f>'21'!M36</f>
        <v>WR</v>
      </c>
      <c r="N37" s="306">
        <f>'21'!N36</f>
        <v>0</v>
      </c>
      <c r="O37" s="306">
        <f>'21'!O36</f>
        <v>0</v>
      </c>
      <c r="P37" s="306">
        <f>'21'!P36</f>
        <v>0</v>
      </c>
      <c r="Q37" s="306">
        <f>'21'!Q36</f>
        <v>0</v>
      </c>
    </row>
    <row r="38" spans="1:17" x14ac:dyDescent="0.3">
      <c r="A38" s="307" t="str">
        <f>'21'!A37</f>
        <v>WR</v>
      </c>
      <c r="B38" s="307">
        <f>'21'!B37</f>
        <v>5.5</v>
      </c>
      <c r="C38" s="307" t="str">
        <f>'21'!C37</f>
        <v>Y.11</v>
      </c>
      <c r="D38" s="308">
        <f>'21'!D37</f>
        <v>813</v>
      </c>
      <c r="E38" s="308">
        <f>'21'!E37</f>
        <v>1702656</v>
      </c>
      <c r="F38" s="135"/>
      <c r="G38" s="307" t="str">
        <f>'21'!G37</f>
        <v>WR</v>
      </c>
      <c r="H38" s="306">
        <f>'21'!H37</f>
        <v>9</v>
      </c>
      <c r="I38" s="306">
        <f>'21'!I37</f>
        <v>8</v>
      </c>
      <c r="J38" s="306">
        <f>'21'!J37</f>
        <v>191</v>
      </c>
      <c r="K38" s="306">
        <f>'21'!K37</f>
        <v>398927</v>
      </c>
      <c r="L38" s="135"/>
      <c r="M38" s="307" t="str">
        <f>'21'!M37</f>
        <v>WR</v>
      </c>
      <c r="N38" s="306">
        <f>'21'!N37</f>
        <v>0</v>
      </c>
      <c r="O38" s="306">
        <f>'21'!O37</f>
        <v>0</v>
      </c>
      <c r="P38" s="306">
        <f>'21'!P37</f>
        <v>0</v>
      </c>
      <c r="Q38" s="306">
        <f>'21'!Q37</f>
        <v>0</v>
      </c>
    </row>
    <row r="39" spans="1:17" x14ac:dyDescent="0.3">
      <c r="A39" s="307" t="str">
        <f>'21'!A38</f>
        <v>WR</v>
      </c>
      <c r="B39" s="307">
        <f>'21'!B38</f>
        <v>5.5</v>
      </c>
      <c r="C39" s="307" t="str">
        <f>'21'!C38</f>
        <v>67.A</v>
      </c>
      <c r="D39" s="308">
        <f>'21'!D38</f>
        <v>120</v>
      </c>
      <c r="E39" s="308">
        <f>'21'!E38</f>
        <v>253576</v>
      </c>
      <c r="F39" s="135"/>
      <c r="G39" s="307" t="str">
        <f>'21'!G38</f>
        <v>WR</v>
      </c>
      <c r="H39" s="306">
        <f>'21'!H38</f>
        <v>9</v>
      </c>
      <c r="I39" s="306">
        <f>'21'!I38</f>
        <v>10</v>
      </c>
      <c r="J39" s="306">
        <f>'21'!J38</f>
        <v>48</v>
      </c>
      <c r="K39" s="306">
        <f>'21'!K38</f>
        <v>99117</v>
      </c>
      <c r="L39" s="135"/>
      <c r="M39" s="307" t="str">
        <f>'21'!M38</f>
        <v>WR</v>
      </c>
      <c r="N39" s="306">
        <f>'21'!N38</f>
        <v>0</v>
      </c>
      <c r="O39" s="306">
        <f>'21'!O38</f>
        <v>0</v>
      </c>
      <c r="P39" s="306">
        <f>'21'!P38</f>
        <v>0</v>
      </c>
      <c r="Q39" s="306">
        <f>'21'!Q38</f>
        <v>0</v>
      </c>
    </row>
    <row r="40" spans="1:17" x14ac:dyDescent="0.3">
      <c r="A40" s="307" t="str">
        <f>'21'!A39</f>
        <v>BIC</v>
      </c>
      <c r="B40" s="307" t="str">
        <f>'21'!B39</f>
        <v>P.8</v>
      </c>
      <c r="C40" s="307" t="str">
        <f>'21'!C39</f>
        <v>BjTPG280</v>
      </c>
      <c r="D40" s="308">
        <f>'21'!D39</f>
        <v>240</v>
      </c>
      <c r="E40" s="308">
        <f>'21'!E39</f>
        <v>499780</v>
      </c>
      <c r="F40" s="135"/>
      <c r="G40" s="307" t="str">
        <f>'21'!G39</f>
        <v>WR</v>
      </c>
      <c r="H40" s="306">
        <f>'21'!H39</f>
        <v>5.5</v>
      </c>
      <c r="I40" s="306">
        <f>'21'!I39</f>
        <v>15</v>
      </c>
      <c r="J40" s="306">
        <f>'21'!J39</f>
        <v>116</v>
      </c>
      <c r="K40" s="306">
        <f>'21'!K39</f>
        <v>239659</v>
      </c>
      <c r="L40" s="135"/>
      <c r="M40" s="307" t="str">
        <f>'21'!M39</f>
        <v>WR</v>
      </c>
      <c r="N40" s="306">
        <f>'21'!N39</f>
        <v>0</v>
      </c>
      <c r="O40" s="306">
        <f>'21'!O39</f>
        <v>0</v>
      </c>
      <c r="P40" s="306">
        <f>'21'!P39</f>
        <v>0</v>
      </c>
      <c r="Q40" s="306">
        <f>'21'!Q39</f>
        <v>0</v>
      </c>
    </row>
    <row r="41" spans="1:17" x14ac:dyDescent="0.3">
      <c r="A41" s="307" t="str">
        <f>'21'!A40</f>
        <v>BIC</v>
      </c>
      <c r="B41" s="307" t="str">
        <f>'21'!B40</f>
        <v>S.8</v>
      </c>
      <c r="C41" s="307" t="str">
        <f>'21'!C40</f>
        <v>BjTSG420</v>
      </c>
      <c r="D41" s="308">
        <f>'21'!D40</f>
        <v>335</v>
      </c>
      <c r="E41" s="308">
        <f>'21'!E40</f>
        <v>688721</v>
      </c>
      <c r="F41" s="135"/>
      <c r="G41" s="307" t="str">
        <f>'21'!G40</f>
        <v>WR</v>
      </c>
      <c r="H41" s="306">
        <f>'21'!H40</f>
        <v>5.5</v>
      </c>
      <c r="I41" s="306" t="str">
        <f>'21'!I40</f>
        <v>72.A</v>
      </c>
      <c r="J41" s="306">
        <f>'21'!J40</f>
        <v>48</v>
      </c>
      <c r="K41" s="306">
        <f>'21'!K40</f>
        <v>101358</v>
      </c>
      <c r="L41" s="135"/>
      <c r="M41" s="307" t="str">
        <f>'21'!M40</f>
        <v>WR</v>
      </c>
      <c r="N41" s="306">
        <f>'21'!N40</f>
        <v>0</v>
      </c>
      <c r="O41" s="306">
        <f>'21'!O40</f>
        <v>0</v>
      </c>
      <c r="P41" s="306">
        <f>'21'!P40</f>
        <v>0</v>
      </c>
      <c r="Q41" s="306">
        <f>'21'!Q40</f>
        <v>0</v>
      </c>
    </row>
    <row r="42" spans="1:17" x14ac:dyDescent="0.3">
      <c r="A42" s="307" t="str">
        <f>'21'!A41</f>
        <v>BIC</v>
      </c>
      <c r="B42" s="307" t="str">
        <f>'21'!B41</f>
        <v>S.10</v>
      </c>
      <c r="C42" s="307" t="str">
        <f>'21'!C41</f>
        <v>BjTSG420</v>
      </c>
      <c r="D42" s="308">
        <f>'21'!D41</f>
        <v>144</v>
      </c>
      <c r="E42" s="308">
        <f>'21'!E41</f>
        <v>295842</v>
      </c>
      <c r="F42" s="135"/>
      <c r="G42" s="307" t="str">
        <f>'21'!G41</f>
        <v>WR</v>
      </c>
      <c r="H42" s="306">
        <f>'21'!H41</f>
        <v>12</v>
      </c>
      <c r="I42" s="306">
        <f>'21'!I41</f>
        <v>15</v>
      </c>
      <c r="J42" s="306">
        <f>'21'!J41</f>
        <v>54</v>
      </c>
      <c r="K42" s="306">
        <f>'21'!K41</f>
        <v>111148</v>
      </c>
      <c r="L42" s="135"/>
      <c r="M42" s="307" t="str">
        <f>'21'!M41</f>
        <v>WR</v>
      </c>
      <c r="N42" s="306">
        <f>'21'!N41</f>
        <v>0</v>
      </c>
      <c r="O42" s="306">
        <f>'21'!O41</f>
        <v>0</v>
      </c>
      <c r="P42" s="306">
        <f>'21'!P41</f>
        <v>0</v>
      </c>
      <c r="Q42" s="306">
        <f>'21'!Q41</f>
        <v>0</v>
      </c>
    </row>
    <row r="43" spans="1:17" x14ac:dyDescent="0.3">
      <c r="A43" s="307" t="str">
        <f>'21'!A42</f>
        <v>WR</v>
      </c>
      <c r="B43" s="307">
        <f>'21'!B42</f>
        <v>5.5</v>
      </c>
      <c r="C43" s="307">
        <f>'21'!C42</f>
        <v>8</v>
      </c>
      <c r="D43" s="308">
        <f>'21'!D42+J13</f>
        <v>456</v>
      </c>
      <c r="E43" s="308">
        <f>'21'!E42+K13</f>
        <v>956286</v>
      </c>
      <c r="F43" s="135"/>
      <c r="G43" s="307" t="str">
        <f>'21'!G42</f>
        <v>WR</v>
      </c>
      <c r="H43" s="306">
        <f>'21'!H42</f>
        <v>8.5</v>
      </c>
      <c r="I43" s="306">
        <f>'21'!I42</f>
        <v>8</v>
      </c>
      <c r="J43" s="306">
        <f>'21'!J42</f>
        <v>168</v>
      </c>
      <c r="K43" s="306">
        <f>'21'!K42</f>
        <v>351899</v>
      </c>
      <c r="L43" s="135"/>
      <c r="M43" s="307" t="str">
        <f>'21'!M42</f>
        <v>WR</v>
      </c>
      <c r="N43" s="306">
        <f>'21'!N42</f>
        <v>0</v>
      </c>
      <c r="O43" s="306">
        <f>'21'!O42</f>
        <v>0</v>
      </c>
      <c r="P43" s="306">
        <f>'21'!P42</f>
        <v>0</v>
      </c>
      <c r="Q43" s="306">
        <f>'21'!Q42</f>
        <v>0</v>
      </c>
    </row>
    <row r="44" spans="1:17" x14ac:dyDescent="0.3">
      <c r="A44" s="307" t="str">
        <f>'21'!A43</f>
        <v>WR</v>
      </c>
      <c r="B44" s="307">
        <f>'21'!B43</f>
        <v>5.5</v>
      </c>
      <c r="C44" s="307" t="str">
        <f>'21'!C43</f>
        <v>67.B</v>
      </c>
      <c r="D44" s="308">
        <f>'21'!D43+J16</f>
        <v>222</v>
      </c>
      <c r="E44" s="308">
        <f>'21'!E43+K16</f>
        <v>469924</v>
      </c>
      <c r="F44" s="135"/>
      <c r="G44" s="307" t="str">
        <f>'21'!G43</f>
        <v>WR</v>
      </c>
      <c r="H44" s="306">
        <v>7</v>
      </c>
      <c r="I44" s="306">
        <v>6</v>
      </c>
      <c r="J44" s="81">
        <f>J11</f>
        <v>48</v>
      </c>
      <c r="K44" s="81">
        <f>K11</f>
        <v>100641</v>
      </c>
      <c r="L44" s="135"/>
      <c r="M44" s="307" t="str">
        <f>'21'!M43</f>
        <v>WR</v>
      </c>
      <c r="N44" s="306">
        <f>'21'!N43</f>
        <v>0</v>
      </c>
      <c r="O44" s="306">
        <f>'21'!O43</f>
        <v>0</v>
      </c>
      <c r="P44" s="306">
        <f>'21'!P43</f>
        <v>0</v>
      </c>
      <c r="Q44" s="306">
        <f>'21'!Q43</f>
        <v>0</v>
      </c>
    </row>
    <row r="45" spans="1:17" x14ac:dyDescent="0.3">
      <c r="A45" s="307" t="str">
        <f>'21'!A44</f>
        <v>BIC</v>
      </c>
      <c r="B45" s="307" t="str">
        <f>'21'!B44</f>
        <v>P.10</v>
      </c>
      <c r="C45" s="307" t="str">
        <f>'21'!C44</f>
        <v>BjTPG280</v>
      </c>
      <c r="D45" s="308">
        <f>'21'!D44</f>
        <v>144</v>
      </c>
      <c r="E45" s="308">
        <f>'21'!E44</f>
        <v>299930</v>
      </c>
      <c r="F45" s="135"/>
      <c r="G45" s="307" t="str">
        <f>'21'!G44</f>
        <v>WR</v>
      </c>
      <c r="H45" s="306">
        <v>7</v>
      </c>
      <c r="I45" s="306">
        <v>8</v>
      </c>
      <c r="J45" s="81">
        <f>J8+J9</f>
        <v>143</v>
      </c>
      <c r="K45" s="81">
        <f>K8+K9</f>
        <v>299375</v>
      </c>
      <c r="L45" s="135"/>
      <c r="M45" s="307" t="str">
        <f>'21'!M44</f>
        <v>WR</v>
      </c>
      <c r="N45" s="306">
        <f>'21'!N44</f>
        <v>0</v>
      </c>
      <c r="O45" s="306">
        <f>'21'!O44</f>
        <v>0</v>
      </c>
      <c r="P45" s="306">
        <f>'21'!P44</f>
        <v>0</v>
      </c>
      <c r="Q45" s="306">
        <f>'21'!Q44</f>
        <v>0</v>
      </c>
    </row>
    <row r="46" spans="1:17" x14ac:dyDescent="0.3">
      <c r="A46" s="307" t="str">
        <f>'21'!A45</f>
        <v>BIC</v>
      </c>
      <c r="B46" s="307" t="str">
        <f>'21'!B45</f>
        <v>S.6</v>
      </c>
      <c r="C46" s="307" t="str">
        <f>'21'!C45</f>
        <v>BjTSG420</v>
      </c>
      <c r="D46" s="308">
        <f>'21'!D45</f>
        <v>48</v>
      </c>
      <c r="E46" s="308">
        <f>'21'!E45</f>
        <v>98404</v>
      </c>
      <c r="F46" s="135"/>
      <c r="G46" s="307" t="str">
        <f>'21'!G45</f>
        <v>WR</v>
      </c>
      <c r="H46" s="306">
        <v>7</v>
      </c>
      <c r="I46" s="306">
        <v>10</v>
      </c>
      <c r="J46" s="81">
        <f>J10</f>
        <v>48</v>
      </c>
      <c r="K46" s="81">
        <f>K10</f>
        <v>98999</v>
      </c>
      <c r="L46" s="135"/>
      <c r="M46" s="307" t="str">
        <f>'21'!M45</f>
        <v>WR</v>
      </c>
      <c r="N46" s="306">
        <f>'21'!N45</f>
        <v>0</v>
      </c>
      <c r="O46" s="306">
        <f>'21'!O45</f>
        <v>0</v>
      </c>
      <c r="P46" s="306">
        <f>'21'!P45</f>
        <v>0</v>
      </c>
      <c r="Q46" s="306">
        <f>'21'!Q45</f>
        <v>0</v>
      </c>
    </row>
    <row r="47" spans="1:17" x14ac:dyDescent="0.3">
      <c r="A47" s="307" t="str">
        <f>'21'!A46</f>
        <v>WR</v>
      </c>
      <c r="B47" s="307">
        <f>'21'!B46</f>
        <v>17</v>
      </c>
      <c r="C47" s="307">
        <f>'21'!C46</f>
        <v>8</v>
      </c>
      <c r="D47" s="308">
        <f>'21'!D46</f>
        <v>91</v>
      </c>
      <c r="E47" s="308">
        <f>'21'!E46</f>
        <v>188048</v>
      </c>
      <c r="F47" s="135"/>
      <c r="G47" s="307" t="str">
        <f>'21'!G46</f>
        <v>WR</v>
      </c>
      <c r="H47" s="306">
        <f>'21'!H46</f>
        <v>0</v>
      </c>
      <c r="I47" s="306">
        <f>'21'!I46</f>
        <v>0</v>
      </c>
      <c r="J47" s="306">
        <f>'21'!J46</f>
        <v>0</v>
      </c>
      <c r="K47" s="306">
        <f>'21'!K46</f>
        <v>0</v>
      </c>
      <c r="L47" s="135"/>
      <c r="M47" s="307" t="str">
        <f>'21'!M46</f>
        <v>WR</v>
      </c>
      <c r="N47" s="306">
        <f>'21'!N46</f>
        <v>0</v>
      </c>
      <c r="O47" s="306">
        <f>'21'!O46</f>
        <v>0</v>
      </c>
      <c r="P47" s="306">
        <f>'21'!P46</f>
        <v>0</v>
      </c>
      <c r="Q47" s="306">
        <f>'21'!Q46</f>
        <v>0</v>
      </c>
    </row>
    <row r="48" spans="1:17" x14ac:dyDescent="0.3">
      <c r="A48" s="307" t="str">
        <f>'21'!A47</f>
        <v>WR</v>
      </c>
      <c r="B48" s="307">
        <f>'21'!B47</f>
        <v>8.5</v>
      </c>
      <c r="C48" s="307">
        <f>'21'!C47</f>
        <v>15</v>
      </c>
      <c r="D48" s="308">
        <f>'21'!D47</f>
        <v>576</v>
      </c>
      <c r="E48" s="308">
        <f>'21'!E47</f>
        <v>1194727</v>
      </c>
      <c r="F48" s="135"/>
      <c r="G48" s="307" t="str">
        <f>'21'!G47</f>
        <v>WR</v>
      </c>
      <c r="H48" s="306">
        <f>'21'!H47</f>
        <v>0</v>
      </c>
      <c r="I48" s="306">
        <f>'21'!I47</f>
        <v>0</v>
      </c>
      <c r="J48" s="306">
        <f>'21'!J47</f>
        <v>0</v>
      </c>
      <c r="K48" s="306">
        <f>'21'!K47</f>
        <v>0</v>
      </c>
      <c r="L48" s="135"/>
      <c r="M48" s="307" t="str">
        <f>'21'!M47</f>
        <v>WR</v>
      </c>
      <c r="N48" s="306">
        <f>'21'!N47</f>
        <v>0</v>
      </c>
      <c r="O48" s="306">
        <f>'21'!O47</f>
        <v>0</v>
      </c>
      <c r="P48" s="306">
        <f>'21'!P47</f>
        <v>0</v>
      </c>
      <c r="Q48" s="306">
        <f>'21'!Q47</f>
        <v>0</v>
      </c>
    </row>
    <row r="49" spans="1:21" x14ac:dyDescent="0.3">
      <c r="A49" s="307" t="str">
        <f>'21'!A48</f>
        <v>WR</v>
      </c>
      <c r="B49" s="307">
        <f>'21'!B48</f>
        <v>6.5</v>
      </c>
      <c r="C49" s="307">
        <f>'21'!C48</f>
        <v>8</v>
      </c>
      <c r="D49" s="308">
        <f>'21'!D48</f>
        <v>264</v>
      </c>
      <c r="E49" s="308">
        <f>'21'!E48</f>
        <v>552714</v>
      </c>
      <c r="F49" s="135"/>
      <c r="G49" s="307" t="str">
        <f>'21'!G48</f>
        <v>WR</v>
      </c>
      <c r="H49" s="314">
        <f>'21'!H48</f>
        <v>0</v>
      </c>
      <c r="I49" s="314">
        <f>'21'!I48</f>
        <v>0</v>
      </c>
      <c r="J49" s="314">
        <f>'21'!J48</f>
        <v>0</v>
      </c>
      <c r="K49" s="314">
        <f>'21'!K48</f>
        <v>0</v>
      </c>
      <c r="L49" s="135"/>
      <c r="M49" s="307" t="str">
        <f>'21'!M48</f>
        <v>WR</v>
      </c>
      <c r="N49" s="314">
        <f>'21'!N48</f>
        <v>0</v>
      </c>
      <c r="O49" s="314">
        <f>'21'!O48</f>
        <v>0</v>
      </c>
      <c r="P49" s="314">
        <f>'21'!P48</f>
        <v>0</v>
      </c>
      <c r="Q49" s="314">
        <f>'21'!Q48</f>
        <v>0</v>
      </c>
    </row>
    <row r="50" spans="1:21" x14ac:dyDescent="0.3">
      <c r="A50" s="307" t="str">
        <f>'21'!A49</f>
        <v>WR</v>
      </c>
      <c r="B50" s="307">
        <f>'21'!B49</f>
        <v>6.5</v>
      </c>
      <c r="C50" s="307">
        <f>'21'!C49</f>
        <v>15</v>
      </c>
      <c r="D50" s="308">
        <f>'21'!D49</f>
        <v>281</v>
      </c>
      <c r="E50" s="308">
        <f>'21'!E49</f>
        <v>582161</v>
      </c>
      <c r="F50" s="3"/>
      <c r="G50" s="307" t="str">
        <f>'21'!G49</f>
        <v>WR</v>
      </c>
      <c r="H50" s="309">
        <f>'21'!H49</f>
        <v>0</v>
      </c>
      <c r="I50" s="309">
        <f>'21'!I49</f>
        <v>0</v>
      </c>
      <c r="J50" s="309">
        <f>'21'!J49</f>
        <v>0</v>
      </c>
      <c r="K50" s="309">
        <f>'21'!K49</f>
        <v>0</v>
      </c>
      <c r="L50" s="375"/>
      <c r="M50" s="307" t="str">
        <f>'21'!M49</f>
        <v>WR</v>
      </c>
      <c r="N50" s="309">
        <f>'21'!N49</f>
        <v>0</v>
      </c>
      <c r="O50" s="309">
        <f>'21'!O49</f>
        <v>0</v>
      </c>
      <c r="P50" s="309">
        <f>'21'!P49</f>
        <v>0</v>
      </c>
      <c r="Q50" s="309">
        <f>'21'!Q49</f>
        <v>0</v>
      </c>
    </row>
    <row r="51" spans="1:21" x14ac:dyDescent="0.3">
      <c r="A51" s="1" t="str">
        <f>A1</f>
        <v>TMS 4</v>
      </c>
      <c r="B51" s="2" t="str">
        <f>B1</f>
        <v>WR</v>
      </c>
      <c r="C51" s="3"/>
      <c r="D51" s="4"/>
      <c r="E51" s="4"/>
      <c r="F51" s="4"/>
      <c r="G51" s="5"/>
      <c r="H51" s="6"/>
      <c r="I51" s="6"/>
      <c r="J51" s="6"/>
      <c r="K51" s="6"/>
      <c r="L51" s="6"/>
      <c r="M51" s="6"/>
      <c r="N51" s="135"/>
      <c r="O51" s="135"/>
      <c r="P51" s="311" t="s">
        <v>2</v>
      </c>
      <c r="Q51" s="312" t="s">
        <v>23</v>
      </c>
    </row>
    <row r="52" spans="1:21" x14ac:dyDescent="0.3">
      <c r="A52" s="527" t="s">
        <v>24</v>
      </c>
      <c r="B52" s="528"/>
      <c r="C52" s="528"/>
      <c r="D52" s="528"/>
      <c r="E52" s="528"/>
      <c r="F52" s="528"/>
      <c r="G52" s="528"/>
      <c r="H52" s="528"/>
      <c r="I52" s="528"/>
      <c r="J52" s="528"/>
      <c r="K52" s="528"/>
      <c r="L52" s="528"/>
      <c r="M52" s="528"/>
      <c r="N52" s="528"/>
      <c r="O52" s="528"/>
      <c r="P52" s="528"/>
      <c r="Q52" s="529"/>
    </row>
    <row r="53" spans="1:21" x14ac:dyDescent="0.3">
      <c r="A53" s="374">
        <f>A3</f>
        <v>46044</v>
      </c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422" t="s">
        <v>428</v>
      </c>
      <c r="M53" s="384"/>
      <c r="N53" s="384"/>
      <c r="O53" s="384"/>
      <c r="P53" s="384"/>
      <c r="Q53" s="384"/>
    </row>
    <row r="54" spans="1:21" x14ac:dyDescent="0.3">
      <c r="A54" s="88" t="s">
        <v>25</v>
      </c>
      <c r="B54" s="380" t="s">
        <v>26</v>
      </c>
      <c r="C54" s="530" t="s">
        <v>8</v>
      </c>
      <c r="D54" s="532" t="s">
        <v>27</v>
      </c>
      <c r="E54" s="533"/>
      <c r="F54" s="533"/>
      <c r="G54" s="533"/>
      <c r="H54" s="533"/>
      <c r="I54" s="533"/>
      <c r="J54" s="530" t="s">
        <v>28</v>
      </c>
      <c r="K54" s="385"/>
      <c r="L54" s="505" t="s">
        <v>29</v>
      </c>
      <c r="M54" s="505"/>
      <c r="N54" s="505"/>
      <c r="O54" s="505" t="s">
        <v>30</v>
      </c>
      <c r="P54" s="536" t="s">
        <v>31</v>
      </c>
      <c r="Q54" s="505" t="s">
        <v>32</v>
      </c>
      <c r="R54" s="386" t="s">
        <v>111</v>
      </c>
      <c r="S54" s="387" t="s">
        <v>197</v>
      </c>
      <c r="T54" s="388" t="s">
        <v>193</v>
      </c>
      <c r="U54" s="388" t="s">
        <v>193</v>
      </c>
    </row>
    <row r="55" spans="1:21" x14ac:dyDescent="0.3">
      <c r="A55" s="89" t="s">
        <v>33</v>
      </c>
      <c r="B55" s="90" t="s">
        <v>34</v>
      </c>
      <c r="C55" s="531"/>
      <c r="D55" s="534"/>
      <c r="E55" s="535"/>
      <c r="F55" s="535"/>
      <c r="G55" s="535"/>
      <c r="H55" s="535"/>
      <c r="I55" s="535"/>
      <c r="J55" s="531"/>
      <c r="K55" s="385"/>
      <c r="L55" s="505"/>
      <c r="M55" s="505"/>
      <c r="N55" s="505"/>
      <c r="O55" s="505"/>
      <c r="P55" s="536"/>
      <c r="Q55" s="505"/>
      <c r="R55" s="389" t="s">
        <v>32</v>
      </c>
      <c r="S55" s="390" t="s">
        <v>193</v>
      </c>
      <c r="T55" s="388" t="s">
        <v>181</v>
      </c>
      <c r="U55" s="388" t="s">
        <v>194</v>
      </c>
    </row>
    <row r="56" spans="1:21" x14ac:dyDescent="0.3">
      <c r="A56" s="91" t="s">
        <v>35</v>
      </c>
      <c r="B56" s="440">
        <v>28</v>
      </c>
      <c r="C56" s="453"/>
      <c r="D56" s="571"/>
      <c r="E56" s="572"/>
      <c r="F56" s="572"/>
      <c r="G56" s="572"/>
      <c r="H56" s="572"/>
      <c r="I56" s="573"/>
      <c r="J56" s="97"/>
      <c r="K56" s="391"/>
      <c r="L56" s="466" t="s">
        <v>26</v>
      </c>
      <c r="M56" s="467"/>
      <c r="N56" s="467"/>
      <c r="O56" s="392" t="s">
        <v>13</v>
      </c>
      <c r="P56" s="393">
        <f>C17</f>
        <v>1105890</v>
      </c>
      <c r="Q56" s="394">
        <f>C27</f>
        <v>18236208</v>
      </c>
      <c r="R56" s="395"/>
      <c r="S56" s="388">
        <f>DAY(A53)</f>
        <v>22</v>
      </c>
      <c r="T56" s="383">
        <f>S56-U56</f>
        <v>17</v>
      </c>
      <c r="U56" s="383">
        <f>'21'!U55</f>
        <v>5</v>
      </c>
    </row>
    <row r="57" spans="1:21" x14ac:dyDescent="0.3">
      <c r="A57" s="95" t="s">
        <v>37</v>
      </c>
      <c r="B57" s="441">
        <v>8</v>
      </c>
      <c r="C57" s="454"/>
      <c r="D57" s="568" t="s">
        <v>419</v>
      </c>
      <c r="E57" s="569"/>
      <c r="F57" s="569"/>
      <c r="G57" s="569"/>
      <c r="H57" s="569"/>
      <c r="I57" s="570"/>
      <c r="J57" s="97">
        <v>42</v>
      </c>
      <c r="K57" s="391"/>
      <c r="L57" s="502" t="s">
        <v>191</v>
      </c>
      <c r="M57" s="498"/>
      <c r="N57" s="498"/>
      <c r="O57" s="396" t="s">
        <v>13</v>
      </c>
      <c r="P57" s="397">
        <f>K18</f>
        <v>1093380</v>
      </c>
      <c r="Q57" s="398">
        <f>K28</f>
        <v>17949675</v>
      </c>
      <c r="R57" s="399"/>
    </row>
    <row r="58" spans="1:21" x14ac:dyDescent="0.3">
      <c r="A58" s="95" t="s">
        <v>39</v>
      </c>
      <c r="B58" s="441">
        <v>8</v>
      </c>
      <c r="C58" s="454"/>
      <c r="D58" s="568" t="s">
        <v>420</v>
      </c>
      <c r="E58" s="569"/>
      <c r="F58" s="569"/>
      <c r="G58" s="569"/>
      <c r="H58" s="569"/>
      <c r="I58" s="570"/>
      <c r="J58" s="97">
        <v>38</v>
      </c>
      <c r="K58" s="391"/>
      <c r="L58" s="468" t="s">
        <v>19</v>
      </c>
      <c r="M58" s="469"/>
      <c r="N58" s="469"/>
      <c r="O58" s="400" t="s">
        <v>14</v>
      </c>
      <c r="P58" s="401">
        <f>L18</f>
        <v>0.98868784417980093</v>
      </c>
      <c r="Q58" s="430">
        <f>L28</f>
        <v>0.98428768744028361</v>
      </c>
      <c r="R58" s="403">
        <v>0.98499999999999999</v>
      </c>
    </row>
    <row r="59" spans="1:21" x14ac:dyDescent="0.3">
      <c r="A59" s="95" t="s">
        <v>41</v>
      </c>
      <c r="B59" s="441">
        <v>27</v>
      </c>
      <c r="C59" s="454"/>
      <c r="D59" s="568"/>
      <c r="E59" s="569"/>
      <c r="F59" s="569"/>
      <c r="G59" s="569"/>
      <c r="H59" s="569"/>
      <c r="I59" s="570"/>
      <c r="J59" s="97"/>
      <c r="K59" s="391"/>
      <c r="L59" s="507" t="s">
        <v>192</v>
      </c>
      <c r="M59" s="508"/>
      <c r="N59" s="508"/>
      <c r="O59" s="392" t="s">
        <v>13</v>
      </c>
      <c r="P59" s="393">
        <f>E17</f>
        <v>0</v>
      </c>
      <c r="Q59" s="394">
        <f>E27</f>
        <v>42233</v>
      </c>
      <c r="R59" s="395"/>
    </row>
    <row r="60" spans="1:21" x14ac:dyDescent="0.3">
      <c r="A60" s="95" t="s">
        <v>43</v>
      </c>
      <c r="B60" s="441">
        <v>26</v>
      </c>
      <c r="C60" s="454"/>
      <c r="D60" s="568"/>
      <c r="E60" s="569"/>
      <c r="F60" s="569"/>
      <c r="G60" s="569"/>
      <c r="H60" s="569"/>
      <c r="I60" s="570"/>
      <c r="J60" s="97"/>
      <c r="K60" s="391"/>
      <c r="L60" s="509"/>
      <c r="M60" s="510"/>
      <c r="N60" s="510"/>
      <c r="O60" s="400" t="s">
        <v>14</v>
      </c>
      <c r="P60" s="401">
        <f>F17</f>
        <v>0</v>
      </c>
      <c r="Q60" s="430">
        <f>F27</f>
        <v>2.3158871625065915E-3</v>
      </c>
      <c r="R60" s="404">
        <v>1.5E-3</v>
      </c>
    </row>
    <row r="61" spans="1:21" x14ac:dyDescent="0.3">
      <c r="A61" s="95" t="s">
        <v>45</v>
      </c>
      <c r="B61" s="441">
        <v>28</v>
      </c>
      <c r="C61" s="454"/>
      <c r="D61" s="557"/>
      <c r="E61" s="558"/>
      <c r="F61" s="558"/>
      <c r="G61" s="558"/>
      <c r="H61" s="558"/>
      <c r="I61" s="559"/>
      <c r="J61" s="97"/>
      <c r="K61" s="391"/>
      <c r="L61" s="489" t="s">
        <v>36</v>
      </c>
      <c r="M61" s="490"/>
      <c r="N61" s="490"/>
      <c r="O61" s="405" t="s">
        <v>28</v>
      </c>
      <c r="P61" s="142">
        <v>1440</v>
      </c>
      <c r="Q61" s="94">
        <f>'1'!Q60+'2'!P60+'3'!P60+'4'!P60+'5'!P60+'6'!P60+'7'!P60+'8'!P60+'9'!P60+'10'!P60+'11'!P60+'12'!P60+'13'!P60+'14'!P60+'15'!P60+'16'!P60+'17'!P60+'18'!P60+'19'!P60+'20'!P62+'21'!P60+'22'!P61</f>
        <v>31680</v>
      </c>
      <c r="R61" s="406"/>
    </row>
    <row r="62" spans="1:21" x14ac:dyDescent="0.3">
      <c r="A62" s="95" t="s">
        <v>47</v>
      </c>
      <c r="B62" s="441">
        <v>27</v>
      </c>
      <c r="C62" s="454"/>
      <c r="D62" s="557" t="s">
        <v>421</v>
      </c>
      <c r="E62" s="558"/>
      <c r="F62" s="558"/>
      <c r="G62" s="558"/>
      <c r="H62" s="558"/>
      <c r="I62" s="559"/>
      <c r="J62" s="97">
        <v>2</v>
      </c>
      <c r="K62" s="407"/>
      <c r="L62" s="492" t="s">
        <v>38</v>
      </c>
      <c r="M62" s="493"/>
      <c r="N62" s="493"/>
      <c r="O62" s="106" t="s">
        <v>28</v>
      </c>
      <c r="P62" s="145">
        <f>SUM(P63:P65)</f>
        <v>0</v>
      </c>
      <c r="Q62" s="126">
        <f>'1'!Q61+'2'!P61+'3'!P61+'4'!P61+'5'!P61+'6'!P61+'7'!P61+'8'!P61+'9'!P61+'10'!P61+'11'!P61+'12'!P61+'13'!P61+'14'!P61+'15'!P61+'16'!P61+'17'!P61+'18'!P61+'19'!P61+'20'!P63+'21'!P61+'22'!P62</f>
        <v>7200</v>
      </c>
      <c r="R62" s="395"/>
    </row>
    <row r="63" spans="1:21" x14ac:dyDescent="0.3">
      <c r="A63" s="95" t="s">
        <v>49</v>
      </c>
      <c r="B63" s="441">
        <v>28</v>
      </c>
      <c r="C63" s="454"/>
      <c r="D63" s="565"/>
      <c r="E63" s="566"/>
      <c r="F63" s="566"/>
      <c r="G63" s="566"/>
      <c r="H63" s="566"/>
      <c r="I63" s="567"/>
      <c r="J63" s="97"/>
      <c r="K63" s="407"/>
      <c r="L63" s="497" t="s">
        <v>40</v>
      </c>
      <c r="M63" s="498"/>
      <c r="N63" s="498"/>
      <c r="O63" s="408" t="s">
        <v>28</v>
      </c>
      <c r="P63" s="138">
        <v>0</v>
      </c>
      <c r="Q63" s="99">
        <f>'1'!Q62+'2'!P62+'3'!P62+'4'!P62+'5'!P62+'6'!P62+'7'!P62+'8'!P62+'9'!P62+'10'!P62+'11'!P62+'12'!P62+'13'!P62+'14'!P62+'15'!P62+'16'!P62+'17'!P62+'18'!P62+'19'!P62+'20'!P64+'21'!P62+'22'!P63</f>
        <v>7200</v>
      </c>
      <c r="R63" s="399"/>
    </row>
    <row r="64" spans="1:21" x14ac:dyDescent="0.3">
      <c r="A64" s="95" t="s">
        <v>51</v>
      </c>
      <c r="B64" s="441">
        <v>27</v>
      </c>
      <c r="C64" s="454"/>
      <c r="D64" s="458"/>
      <c r="E64" s="459"/>
      <c r="F64" s="459"/>
      <c r="G64" s="459"/>
      <c r="H64" s="459"/>
      <c r="I64" s="460"/>
      <c r="J64" s="97"/>
      <c r="K64" s="391"/>
      <c r="L64" s="497" t="s">
        <v>42</v>
      </c>
      <c r="M64" s="498"/>
      <c r="N64" s="498"/>
      <c r="O64" s="408" t="s">
        <v>28</v>
      </c>
      <c r="P64" s="138">
        <v>0</v>
      </c>
      <c r="Q64" s="99">
        <f>'1'!Q63+'2'!P63+'3'!P63+'4'!P63+'5'!P63+'6'!P63+'7'!P63+'8'!P63+'9'!P63+'10'!P63+'11'!P63+'12'!P63+'13'!P63+'14'!P63+'15'!P63+'16'!P63+'17'!P63+'18'!P63+'19'!P63+'20'!P65+'21'!P63+'22'!P64</f>
        <v>0</v>
      </c>
      <c r="R64" s="399"/>
    </row>
    <row r="65" spans="1:23" x14ac:dyDescent="0.3">
      <c r="A65" s="95" t="s">
        <v>53</v>
      </c>
      <c r="B65" s="441">
        <v>22</v>
      </c>
      <c r="C65" s="454"/>
      <c r="D65" s="557" t="s">
        <v>422</v>
      </c>
      <c r="E65" s="558"/>
      <c r="F65" s="558"/>
      <c r="G65" s="558"/>
      <c r="H65" s="558"/>
      <c r="I65" s="559"/>
      <c r="J65" s="97">
        <v>10</v>
      </c>
      <c r="K65" s="391"/>
      <c r="L65" s="504" t="s">
        <v>44</v>
      </c>
      <c r="M65" s="465"/>
      <c r="N65" s="465"/>
      <c r="O65" s="85" t="s">
        <v>28</v>
      </c>
      <c r="P65" s="141">
        <v>0</v>
      </c>
      <c r="Q65" s="86">
        <f>'1'!Q64+'2'!P64+'3'!P64+'4'!P64+'5'!P64+'6'!P64+'7'!P64+'8'!P64+'9'!P64+'10'!P64+'11'!P64+'12'!P64+'13'!P64+'14'!P64+'15'!P64+'16'!P64+'17'!P64+'18'!P64+'19'!P64+'20'!P66+'21'!P64+'22'!P65</f>
        <v>0</v>
      </c>
      <c r="R65" s="409"/>
      <c r="S65" s="166" t="s">
        <v>150</v>
      </c>
      <c r="T65" s="167"/>
      <c r="U65" s="168"/>
      <c r="V65" s="169" t="s">
        <v>31</v>
      </c>
      <c r="W65" s="170" t="s">
        <v>32</v>
      </c>
    </row>
    <row r="66" spans="1:23" x14ac:dyDescent="0.3">
      <c r="A66" s="95" t="s">
        <v>55</v>
      </c>
      <c r="B66" s="441">
        <v>19</v>
      </c>
      <c r="C66" s="454"/>
      <c r="D66" s="557" t="s">
        <v>231</v>
      </c>
      <c r="E66" s="558"/>
      <c r="F66" s="558"/>
      <c r="G66" s="558"/>
      <c r="H66" s="558"/>
      <c r="I66" s="559"/>
      <c r="J66" s="97">
        <v>6</v>
      </c>
      <c r="K66" s="391"/>
      <c r="L66" s="466" t="s">
        <v>46</v>
      </c>
      <c r="M66" s="467"/>
      <c r="N66" s="467"/>
      <c r="O66" s="106" t="s">
        <v>28</v>
      </c>
      <c r="P66" s="126">
        <f>SUM(P67:P69)</f>
        <v>147</v>
      </c>
      <c r="Q66" s="100">
        <f>'1'!Q65+'2'!P65+'3'!P65+'4'!P65+'5'!P65+'6'!P65+'7'!P65+'8'!P65+'9'!P65+'10'!P65+'11'!P65+'12'!P65+'13'!P65+'14'!P65+'15'!P65+'16'!P65+'17'!P65+'18'!P65+'19'!P65+'20'!P67+'21'!P65+'22'!P66</f>
        <v>2790</v>
      </c>
      <c r="R66" s="395"/>
      <c r="S66" s="171" t="s">
        <v>56</v>
      </c>
      <c r="T66" s="172"/>
      <c r="U66" s="173" t="s">
        <v>151</v>
      </c>
      <c r="V66" s="174"/>
      <c r="W66" s="181">
        <f>+'21'!W65+'22'!V66</f>
        <v>10</v>
      </c>
    </row>
    <row r="67" spans="1:23" x14ac:dyDescent="0.3">
      <c r="A67" s="95" t="s">
        <v>57</v>
      </c>
      <c r="B67" s="441">
        <v>22</v>
      </c>
      <c r="C67" s="454"/>
      <c r="D67" s="557"/>
      <c r="E67" s="558"/>
      <c r="F67" s="558"/>
      <c r="G67" s="558"/>
      <c r="H67" s="558"/>
      <c r="I67" s="559"/>
      <c r="J67" s="97"/>
      <c r="K67" s="391"/>
      <c r="L67" s="502" t="s">
        <v>48</v>
      </c>
      <c r="M67" s="498"/>
      <c r="N67" s="498"/>
      <c r="O67" s="408" t="s">
        <v>28</v>
      </c>
      <c r="P67" s="138">
        <v>0</v>
      </c>
      <c r="Q67" s="99">
        <f>'1'!Q66+'2'!P66+'3'!P66+'4'!P66+'5'!P66+'6'!P66+'7'!P66+'8'!P66+'9'!P66+'10'!P66+'11'!P66+'12'!P66+'13'!P66+'14'!P66+'15'!P66+'16'!P66+'17'!P66+'18'!P66+'19'!P66+'20'!P68+'21'!P66+'22'!P67</f>
        <v>0</v>
      </c>
      <c r="R67" s="399"/>
      <c r="S67" s="377" t="s">
        <v>58</v>
      </c>
      <c r="T67" s="175"/>
      <c r="U67" s="176" t="s">
        <v>151</v>
      </c>
      <c r="V67" s="177"/>
      <c r="W67" s="182">
        <f>+'21'!W66+'22'!V67</f>
        <v>7</v>
      </c>
    </row>
    <row r="68" spans="1:23" x14ac:dyDescent="0.3">
      <c r="A68" s="95" t="s">
        <v>59</v>
      </c>
      <c r="B68" s="441">
        <v>6</v>
      </c>
      <c r="C68" s="454"/>
      <c r="D68" s="557" t="s">
        <v>423</v>
      </c>
      <c r="E68" s="558"/>
      <c r="F68" s="558"/>
      <c r="G68" s="558"/>
      <c r="H68" s="558"/>
      <c r="I68" s="559"/>
      <c r="J68" s="97">
        <v>40</v>
      </c>
      <c r="K68" s="391"/>
      <c r="L68" s="502" t="s">
        <v>50</v>
      </c>
      <c r="M68" s="498"/>
      <c r="N68" s="498"/>
      <c r="O68" s="408" t="s">
        <v>28</v>
      </c>
      <c r="P68" s="138">
        <v>117</v>
      </c>
      <c r="Q68" s="99">
        <f>'1'!Q67+'2'!P67+'3'!P67+'4'!P67+'5'!P67+'6'!P67+'7'!P67+'8'!P67+'9'!P67+'10'!P67+'11'!P67+'12'!P67+'13'!P67+'14'!P67+'15'!P67+'16'!P67+'17'!P67+'18'!P67+'19'!P67+'20'!P69+'21'!P67+'22'!P68</f>
        <v>2407</v>
      </c>
      <c r="R68" s="399"/>
      <c r="S68" s="377" t="s">
        <v>60</v>
      </c>
      <c r="T68" s="175"/>
      <c r="U68" s="176" t="s">
        <v>151</v>
      </c>
      <c r="V68" s="177"/>
      <c r="W68" s="182">
        <f>+'21'!W67+'22'!V68</f>
        <v>0</v>
      </c>
    </row>
    <row r="69" spans="1:23" x14ac:dyDescent="0.3">
      <c r="A69" s="95" t="s">
        <v>61</v>
      </c>
      <c r="B69" s="441">
        <v>20</v>
      </c>
      <c r="C69" s="454"/>
      <c r="D69" s="557" t="s">
        <v>424</v>
      </c>
      <c r="E69" s="558"/>
      <c r="F69" s="558"/>
      <c r="G69" s="558"/>
      <c r="H69" s="558"/>
      <c r="I69" s="559"/>
      <c r="J69" s="97">
        <v>10</v>
      </c>
      <c r="K69" s="391"/>
      <c r="L69" s="468" t="s">
        <v>52</v>
      </c>
      <c r="M69" s="469"/>
      <c r="N69" s="469"/>
      <c r="O69" s="85" t="s">
        <v>28</v>
      </c>
      <c r="P69" s="141">
        <v>30</v>
      </c>
      <c r="Q69" s="86">
        <f>'1'!Q68+'2'!P68+'3'!P68+'4'!P68+'5'!P68+'6'!P68+'7'!P68+'8'!P68+'9'!P68+'10'!P68+'11'!P68+'12'!P68+'13'!P68+'14'!P68+'15'!P68+'16'!P68+'17'!P68+'18'!P68+'19'!P68+'20'!P70+'21'!P68+'22'!P69</f>
        <v>383</v>
      </c>
      <c r="R69" s="409"/>
      <c r="S69" s="377" t="s">
        <v>62</v>
      </c>
      <c r="T69" s="175"/>
      <c r="U69" s="176" t="s">
        <v>151</v>
      </c>
      <c r="V69" s="177"/>
      <c r="W69" s="182">
        <f>+'21'!W68+'22'!V69</f>
        <v>3</v>
      </c>
    </row>
    <row r="70" spans="1:23" x14ac:dyDescent="0.3">
      <c r="A70" s="95" t="s">
        <v>63</v>
      </c>
      <c r="B70" s="441">
        <v>20</v>
      </c>
      <c r="C70" s="454"/>
      <c r="D70" s="557" t="s">
        <v>425</v>
      </c>
      <c r="E70" s="558"/>
      <c r="F70" s="558"/>
      <c r="G70" s="558"/>
      <c r="H70" s="558"/>
      <c r="I70" s="559"/>
      <c r="J70" s="97">
        <v>8</v>
      </c>
      <c r="K70" s="391"/>
      <c r="L70" s="466" t="s">
        <v>54</v>
      </c>
      <c r="M70" s="467"/>
      <c r="N70" s="467"/>
      <c r="O70" s="106" t="s">
        <v>28</v>
      </c>
      <c r="P70" s="100">
        <f>SUM(P71:P75)</f>
        <v>30</v>
      </c>
      <c r="Q70" s="100">
        <f>'1'!Q69+'2'!P69+'3'!P69+'4'!P69+'5'!P69+'6'!P69+'7'!P69+'8'!P69+'9'!P69+'10'!P69+'11'!P69+'12'!P69+'13'!P69+'14'!P69+'15'!P69+'16'!P69+'17'!P69+'18'!P69+'19'!P69+'20'!P71+'21'!P69+'22'!P70</f>
        <v>1074</v>
      </c>
      <c r="R70" s="395"/>
      <c r="S70" s="376" t="s">
        <v>64</v>
      </c>
      <c r="T70" s="178"/>
      <c r="U70" s="179" t="s">
        <v>151</v>
      </c>
      <c r="V70" s="180"/>
      <c r="W70" s="183">
        <f>+'21'!W69+'22'!V70</f>
        <v>0</v>
      </c>
    </row>
    <row r="71" spans="1:23" x14ac:dyDescent="0.3">
      <c r="A71" s="95" t="s">
        <v>65</v>
      </c>
      <c r="B71" s="441">
        <v>24</v>
      </c>
      <c r="C71" s="454"/>
      <c r="D71" s="557"/>
      <c r="E71" s="558"/>
      <c r="F71" s="558"/>
      <c r="G71" s="558"/>
      <c r="H71" s="558"/>
      <c r="I71" s="559"/>
      <c r="J71" s="97"/>
      <c r="K71" s="407"/>
      <c r="L71" s="497" t="s">
        <v>56</v>
      </c>
      <c r="M71" s="498"/>
      <c r="N71" s="498"/>
      <c r="O71" s="408" t="s">
        <v>28</v>
      </c>
      <c r="P71" s="138">
        <v>18</v>
      </c>
      <c r="Q71" s="429">
        <f>'1'!Q70+'2'!P70+'3'!P70+'4'!P70+'5'!P70+'6'!P70+'7'!P70+'8'!P70+'9'!P70+'10'!P70+'11'!P70+'12'!P70+'13'!P70+'14'!P70+'15'!P70+'16'!P70+'17'!P70+'18'!P70+'19'!P70+'20'!P72+'21'!P70+'22'!P71</f>
        <v>601</v>
      </c>
      <c r="R71" s="399">
        <f>T56*30</f>
        <v>510</v>
      </c>
    </row>
    <row r="72" spans="1:23" x14ac:dyDescent="0.3">
      <c r="A72" s="95" t="s">
        <v>67</v>
      </c>
      <c r="B72" s="441">
        <v>22</v>
      </c>
      <c r="C72" s="454"/>
      <c r="D72" s="557" t="s">
        <v>362</v>
      </c>
      <c r="E72" s="558"/>
      <c r="F72" s="558"/>
      <c r="G72" s="558"/>
      <c r="H72" s="558"/>
      <c r="I72" s="559"/>
      <c r="J72" s="97">
        <v>3</v>
      </c>
      <c r="K72" s="391"/>
      <c r="L72" s="497" t="s">
        <v>58</v>
      </c>
      <c r="M72" s="498"/>
      <c r="N72" s="498"/>
      <c r="O72" s="408" t="s">
        <v>28</v>
      </c>
      <c r="P72" s="138">
        <v>7</v>
      </c>
      <c r="Q72" s="99">
        <f>'1'!Q71+'2'!P71+'3'!P71+'4'!P71+'5'!P71+'6'!P71+'7'!P71+'8'!P71+'9'!P71+'10'!P71+'11'!P71+'12'!P71+'13'!P71+'14'!P71+'15'!P71+'16'!P71+'17'!P71+'18'!P71+'19'!P71+'20'!P73+'21'!P71+'22'!P72</f>
        <v>372</v>
      </c>
      <c r="R72" s="399">
        <f>T56*25</f>
        <v>425</v>
      </c>
    </row>
    <row r="73" spans="1:23" x14ac:dyDescent="0.3">
      <c r="A73" s="95" t="s">
        <v>69</v>
      </c>
      <c r="B73" s="441">
        <v>20</v>
      </c>
      <c r="C73" s="454"/>
      <c r="D73" s="557" t="s">
        <v>426</v>
      </c>
      <c r="E73" s="558"/>
      <c r="F73" s="558"/>
      <c r="G73" s="558"/>
      <c r="H73" s="558"/>
      <c r="I73" s="559"/>
      <c r="J73" s="97">
        <v>10</v>
      </c>
      <c r="K73" s="391"/>
      <c r="L73" s="497" t="s">
        <v>60</v>
      </c>
      <c r="M73" s="498"/>
      <c r="N73" s="498"/>
      <c r="O73" s="408" t="s">
        <v>28</v>
      </c>
      <c r="P73" s="138">
        <v>5</v>
      </c>
      <c r="Q73" s="99">
        <f>'1'!Q72+'2'!P72+'3'!P72+'4'!P72+'5'!P72+'6'!P72+'7'!P72+'8'!P72+'9'!P72+'10'!P72+'11'!P72+'12'!P72+'13'!P72+'14'!P72+'15'!P72+'16'!P72+'17'!P72+'18'!P72+'19'!P72+'20'!P74+'21'!P72+'22'!P73</f>
        <v>30</v>
      </c>
      <c r="R73" s="399">
        <f>T56*10</f>
        <v>170</v>
      </c>
    </row>
    <row r="74" spans="1:23" x14ac:dyDescent="0.3">
      <c r="A74" s="95" t="s">
        <v>71</v>
      </c>
      <c r="B74" s="441">
        <v>24</v>
      </c>
      <c r="C74" s="454"/>
      <c r="D74" s="565"/>
      <c r="E74" s="566"/>
      <c r="F74" s="566"/>
      <c r="G74" s="566"/>
      <c r="H74" s="566"/>
      <c r="I74" s="567"/>
      <c r="J74" s="97"/>
      <c r="K74" s="391"/>
      <c r="L74" s="497" t="s">
        <v>62</v>
      </c>
      <c r="M74" s="498"/>
      <c r="N74" s="498"/>
      <c r="O74" s="408" t="s">
        <v>28</v>
      </c>
      <c r="P74" s="138">
        <v>0</v>
      </c>
      <c r="Q74" s="99">
        <f>'1'!Q73+'2'!P73+'3'!P73+'4'!P73+'5'!P73+'6'!P73+'7'!P73+'8'!P73+'9'!P73+'10'!P73+'11'!P73+'12'!P73+'13'!P73+'14'!P73+'15'!P73+'16'!P73+'17'!P73+'18'!P73+'19'!P73+'20'!P75+'21'!P73+'22'!P74</f>
        <v>71</v>
      </c>
      <c r="R74" s="399"/>
    </row>
    <row r="75" spans="1:23" x14ac:dyDescent="0.3">
      <c r="A75" s="95" t="s">
        <v>73</v>
      </c>
      <c r="B75" s="441">
        <v>23</v>
      </c>
      <c r="C75" s="454"/>
      <c r="D75" s="565"/>
      <c r="E75" s="566"/>
      <c r="F75" s="566"/>
      <c r="G75" s="566"/>
      <c r="H75" s="566"/>
      <c r="I75" s="567"/>
      <c r="J75" s="97"/>
      <c r="K75" s="391"/>
      <c r="L75" s="491" t="s">
        <v>64</v>
      </c>
      <c r="M75" s="469"/>
      <c r="N75" s="469"/>
      <c r="O75" s="85" t="s">
        <v>28</v>
      </c>
      <c r="P75" s="139">
        <v>0</v>
      </c>
      <c r="Q75" s="86">
        <f>'1'!Q74+'2'!P74+'3'!P74+'4'!P74+'5'!P74+'6'!P74+'7'!P74+'8'!P74+'9'!P74+'10'!P74+'11'!P74+'12'!P74+'13'!P74+'14'!P74+'15'!P74+'16'!P74+'17'!P74+'18'!P74+'19'!P74+'20'!P76+'21'!P74+'22'!P75</f>
        <v>0</v>
      </c>
      <c r="R75" s="409"/>
    </row>
    <row r="76" spans="1:23" x14ac:dyDescent="0.3">
      <c r="A76" s="95" t="s">
        <v>75</v>
      </c>
      <c r="B76" s="441">
        <v>21</v>
      </c>
      <c r="C76" s="454"/>
      <c r="D76" s="565" t="s">
        <v>427</v>
      </c>
      <c r="E76" s="566"/>
      <c r="F76" s="566"/>
      <c r="G76" s="566"/>
      <c r="H76" s="566"/>
      <c r="I76" s="567"/>
      <c r="J76" s="97">
        <v>8</v>
      </c>
      <c r="K76" s="391"/>
      <c r="L76" s="489" t="s">
        <v>66</v>
      </c>
      <c r="M76" s="490"/>
      <c r="N76" s="490"/>
      <c r="O76" s="405" t="s">
        <v>28</v>
      </c>
      <c r="P76" s="94">
        <f>P61-P62</f>
        <v>1440</v>
      </c>
      <c r="Q76" s="94">
        <f>'1'!Q75+'2'!P75+'3'!P75+'4'!P75+'5'!P75+'6'!P75+'7'!P75+'8'!P75+'9'!P75+'10'!P75+'11'!P75+'12'!P75+'13'!P75+'14'!P75+'15'!P75+'16'!P75+'17'!P75+'18'!P75+'19'!P75+'20'!P77+'21'!P75+'22'!P76</f>
        <v>24480</v>
      </c>
      <c r="R76" s="406"/>
    </row>
    <row r="77" spans="1:23" x14ac:dyDescent="0.3">
      <c r="A77" s="95" t="s">
        <v>77</v>
      </c>
      <c r="B77" s="441">
        <v>24</v>
      </c>
      <c r="C77" s="454"/>
      <c r="D77" s="552"/>
      <c r="E77" s="553"/>
      <c r="F77" s="553"/>
      <c r="G77" s="553"/>
      <c r="H77" s="553"/>
      <c r="I77" s="553"/>
      <c r="J77" s="97"/>
      <c r="K77" s="391"/>
      <c r="L77" s="489" t="s">
        <v>68</v>
      </c>
      <c r="M77" s="490"/>
      <c r="N77" s="490"/>
      <c r="O77" s="405" t="s">
        <v>28</v>
      </c>
      <c r="P77" s="94">
        <f>P66+P70</f>
        <v>177</v>
      </c>
      <c r="Q77" s="94">
        <f>'1'!Q76+'2'!P76+'3'!P76+'4'!P76+'5'!P76+'6'!P76+'7'!P76+'8'!P76+'9'!P76+'10'!P76+'11'!P76+'12'!P76+'13'!P76+'14'!P76+'15'!P76+'16'!P76+'17'!P76+'18'!P76+'19'!P76+'20'!P78+'21'!P76+'22'!P77</f>
        <v>3864</v>
      </c>
      <c r="R77" s="406"/>
    </row>
    <row r="78" spans="1:23" x14ac:dyDescent="0.3">
      <c r="A78" s="95" t="s">
        <v>79</v>
      </c>
      <c r="B78" s="441">
        <v>24</v>
      </c>
      <c r="C78" s="454"/>
      <c r="D78" s="552"/>
      <c r="E78" s="553"/>
      <c r="F78" s="553"/>
      <c r="G78" s="553"/>
      <c r="H78" s="553"/>
      <c r="I78" s="553"/>
      <c r="J78" s="97"/>
      <c r="K78" s="391"/>
      <c r="L78" s="486" t="s">
        <v>70</v>
      </c>
      <c r="M78" s="487"/>
      <c r="N78" s="488"/>
      <c r="O78" s="405" t="s">
        <v>28</v>
      </c>
      <c r="P78" s="142">
        <v>180</v>
      </c>
      <c r="Q78" s="94">
        <f>'1'!Q77+'2'!P77+'3'!P77+'4'!P77+'5'!P77+'6'!P77+'7'!P77+'8'!P77+'9'!P77+'10'!P77+'11'!P77+'12'!P77+'13'!P77+'14'!P77+'15'!P77+'16'!P77+'17'!P77+'18'!P77+'19'!P77+'20'!P79+'21'!P77+'22'!P78</f>
        <v>3901</v>
      </c>
      <c r="R78" s="406"/>
    </row>
    <row r="79" spans="1:23" x14ac:dyDescent="0.3">
      <c r="A79" s="109" t="s">
        <v>82</v>
      </c>
      <c r="B79" s="442">
        <v>24</v>
      </c>
      <c r="C79" s="455"/>
      <c r="D79" s="552"/>
      <c r="E79" s="553"/>
      <c r="F79" s="553"/>
      <c r="G79" s="553"/>
      <c r="H79" s="553"/>
      <c r="I79" s="553"/>
      <c r="J79" s="97"/>
      <c r="K79" s="407"/>
      <c r="L79" s="486" t="s">
        <v>72</v>
      </c>
      <c r="M79" s="487"/>
      <c r="N79" s="488"/>
      <c r="O79" s="405" t="s">
        <v>28</v>
      </c>
      <c r="P79" s="94">
        <f>+P78-P77</f>
        <v>3</v>
      </c>
      <c r="Q79" s="94">
        <f>'1'!Q78+'2'!P78+'3'!P78+'4'!P78+'5'!P78+'6'!P78+'7'!P78+'8'!P78+'9'!P78+'10'!P78+'11'!P78+'12'!P78+'13'!P78+'14'!P78+'15'!P78+'16'!P78+'17'!P78+'18'!P78+'19'!P78+'20'!P80+'21'!P78+'22'!P79</f>
        <v>37</v>
      </c>
      <c r="R79" s="406"/>
    </row>
    <row r="80" spans="1:23" x14ac:dyDescent="0.3">
      <c r="A80" s="114"/>
      <c r="B80" s="115">
        <f>SUM(B56:B79)</f>
        <v>522</v>
      </c>
      <c r="C80" s="116">
        <f>SUM(C56:C79)</f>
        <v>0</v>
      </c>
      <c r="D80" s="470"/>
      <c r="E80" s="471"/>
      <c r="F80" s="471"/>
      <c r="G80" s="471"/>
      <c r="H80" s="471"/>
      <c r="I80" s="472"/>
      <c r="J80" s="117">
        <f>SUM(J56:J79)</f>
        <v>177</v>
      </c>
      <c r="K80" s="411"/>
      <c r="L80" s="489" t="s">
        <v>74</v>
      </c>
      <c r="M80" s="490"/>
      <c r="N80" s="490"/>
      <c r="O80" s="405" t="s">
        <v>28</v>
      </c>
      <c r="P80" s="94">
        <f>+P76-P77-P79</f>
        <v>1260</v>
      </c>
      <c r="Q80" s="94">
        <f>'1'!Q79+'2'!P79+'3'!P79+'4'!P79+'5'!P79+'6'!P79+'7'!P79+'8'!P79+'9'!P79+'10'!P79+'11'!P79+'12'!P79+'13'!P79+'14'!P79+'15'!P79+'16'!P79+'17'!P79+'18'!P79+'19'!P79+'20'!P81+'21'!P79+'22'!P80</f>
        <v>20579</v>
      </c>
      <c r="R80" s="406"/>
    </row>
    <row r="81" spans="1:18" x14ac:dyDescent="0.3">
      <c r="A81" s="411"/>
      <c r="B81" s="411"/>
      <c r="C81" s="411"/>
      <c r="D81" s="411"/>
      <c r="E81" s="411"/>
      <c r="F81" s="411"/>
      <c r="G81" s="411"/>
      <c r="H81" s="411"/>
      <c r="I81" s="411"/>
      <c r="J81" s="411"/>
      <c r="K81" s="411"/>
      <c r="L81" s="492" t="s">
        <v>76</v>
      </c>
      <c r="M81" s="493"/>
      <c r="N81" s="493"/>
      <c r="O81" s="102" t="s">
        <v>14</v>
      </c>
      <c r="P81" s="103">
        <f>P80/P76</f>
        <v>0.875</v>
      </c>
      <c r="Q81" s="431">
        <f>Q80/Q76</f>
        <v>0.84064542483660132</v>
      </c>
      <c r="R81" s="412">
        <v>0.86</v>
      </c>
    </row>
    <row r="82" spans="1:18" x14ac:dyDescent="0.3">
      <c r="A82" s="120" t="s">
        <v>87</v>
      </c>
      <c r="B82" s="413"/>
      <c r="C82" s="413"/>
      <c r="D82" s="413"/>
      <c r="E82" s="413"/>
      <c r="F82" s="413"/>
      <c r="G82" s="413"/>
      <c r="H82" s="413"/>
      <c r="I82" s="413"/>
      <c r="J82" s="414"/>
      <c r="K82" s="411"/>
      <c r="L82" s="464" t="s">
        <v>78</v>
      </c>
      <c r="M82" s="465"/>
      <c r="N82" s="465"/>
      <c r="O82" s="104" t="s">
        <v>14</v>
      </c>
      <c r="P82" s="105">
        <f>P80/P61</f>
        <v>0.875</v>
      </c>
      <c r="Q82" s="165">
        <f>Q80/Q61</f>
        <v>0.64958964646464645</v>
      </c>
      <c r="R82" s="409"/>
    </row>
    <row r="83" spans="1:18" x14ac:dyDescent="0.3">
      <c r="A83" s="415"/>
      <c r="J83" s="416"/>
      <c r="K83" s="411"/>
      <c r="L83" s="466" t="s">
        <v>80</v>
      </c>
      <c r="M83" s="467"/>
      <c r="N83" s="467"/>
      <c r="O83" s="106" t="s">
        <v>81</v>
      </c>
      <c r="P83" s="107">
        <f>(C17/1000)/(P80/60)</f>
        <v>52.661428571428573</v>
      </c>
      <c r="Q83" s="150">
        <f>(C27/1000)/(Q80/60)</f>
        <v>53.169370717721947</v>
      </c>
      <c r="R83" s="395"/>
    </row>
    <row r="84" spans="1:18" x14ac:dyDescent="0.3">
      <c r="A84" s="415"/>
      <c r="J84" s="416"/>
      <c r="K84" s="411"/>
      <c r="L84" s="468" t="s">
        <v>83</v>
      </c>
      <c r="M84" s="469"/>
      <c r="N84" s="469"/>
      <c r="O84" s="85" t="s">
        <v>81</v>
      </c>
      <c r="P84" s="112">
        <f>(C17/1000)/(P76/60)</f>
        <v>46.078750000000007</v>
      </c>
      <c r="Q84" s="113">
        <f>(C27/1000)/(Q76/60)</f>
        <v>44.696588235294115</v>
      </c>
      <c r="R84" s="409"/>
    </row>
    <row r="85" spans="1:18" x14ac:dyDescent="0.3">
      <c r="A85" s="415"/>
      <c r="J85" s="416"/>
      <c r="K85" s="411"/>
      <c r="L85" s="473" t="s">
        <v>84</v>
      </c>
      <c r="M85" s="474"/>
      <c r="N85" s="475"/>
      <c r="O85" s="102" t="s">
        <v>85</v>
      </c>
      <c r="P85" s="144">
        <v>34132</v>
      </c>
      <c r="Q85" s="100">
        <f>'1'!Q84+'2'!P84+'3'!P84+'4'!P84+'5'!P84+'6'!P84+'7'!P84+'8'!P84+'9'!P84+'10'!P84+'11'!P84+'12'!P84+'13'!P84+'14'!P84+'15'!P84+'16'!P84+'17'!P84+'18'!P84+'19'!P84+'20'!P86+'21'!P84+'22'!P85</f>
        <v>590183</v>
      </c>
      <c r="R85" s="395"/>
    </row>
    <row r="86" spans="1:18" x14ac:dyDescent="0.3">
      <c r="A86" s="415"/>
      <c r="J86" s="416"/>
      <c r="K86" s="411"/>
      <c r="L86" s="476"/>
      <c r="M86" s="477"/>
      <c r="N86" s="478"/>
      <c r="O86" s="118" t="s">
        <v>86</v>
      </c>
      <c r="P86" s="146">
        <f>P85/(K18/1000)</f>
        <v>31.21696025169657</v>
      </c>
      <c r="Q86" s="124">
        <f>Q85/(K28/1000)</f>
        <v>32.879871084016841</v>
      </c>
      <c r="R86" s="409"/>
    </row>
    <row r="87" spans="1:18" x14ac:dyDescent="0.3">
      <c r="A87" s="415"/>
      <c r="J87" s="416"/>
      <c r="K87" s="411"/>
      <c r="L87" s="479" t="s">
        <v>88</v>
      </c>
      <c r="M87" s="480"/>
      <c r="N87" s="481"/>
      <c r="O87" s="121" t="s">
        <v>89</v>
      </c>
      <c r="P87" s="143">
        <v>207.64</v>
      </c>
      <c r="Q87" s="100">
        <f>'1'!Q86+'2'!P86+'3'!P86+'4'!P86+'5'!P86+'6'!P86+'7'!P86+'8'!P86+'9'!P86+'10'!P86+'11'!P86+'12'!P86+'13'!P86+'14'!P86+'15'!P86+'16'!P86+'17'!P86+'18'!P86+'19'!P86+'20'!P88+'21'!P86+'22'!P87</f>
        <v>3388.39</v>
      </c>
      <c r="R87" s="395"/>
    </row>
    <row r="88" spans="1:18" x14ac:dyDescent="0.3">
      <c r="A88" s="415"/>
      <c r="J88" s="416"/>
      <c r="K88" s="411"/>
      <c r="L88" s="482"/>
      <c r="M88" s="483"/>
      <c r="N88" s="484"/>
      <c r="O88" s="123" t="s">
        <v>90</v>
      </c>
      <c r="P88" s="124">
        <f>(P87*1000)/(K17/1000)</f>
        <v>190.2697075854056</v>
      </c>
      <c r="Q88" s="124">
        <f>(Q87*1000)/(K27/1000)</f>
        <v>189.45915357850112</v>
      </c>
      <c r="R88" s="409"/>
    </row>
    <row r="89" spans="1:18" x14ac:dyDescent="0.3">
      <c r="A89" s="415"/>
      <c r="J89" s="416"/>
      <c r="K89" s="411"/>
      <c r="L89" s="485" t="s">
        <v>91</v>
      </c>
      <c r="M89" s="474"/>
      <c r="N89" s="475"/>
      <c r="O89" s="125" t="s">
        <v>92</v>
      </c>
      <c r="P89" s="140">
        <v>75</v>
      </c>
      <c r="Q89" s="100">
        <f>'1'!Q88+'2'!P88+'3'!P88+'4'!P88+'5'!P88+'6'!P88+'7'!P88+'8'!P88+'9'!P88+'10'!P88+'11'!P88+'12'!P88+'13'!P88+'14'!P88+'15'!P88+'16'!P88+'17'!P88+'18'!P88+'19'!P88+'20'!P90+'21'!P88+'22'!P89</f>
        <v>1950</v>
      </c>
      <c r="R89" s="395"/>
    </row>
    <row r="90" spans="1:18" x14ac:dyDescent="0.3">
      <c r="A90" s="415"/>
      <c r="J90" s="416"/>
      <c r="K90" s="411"/>
      <c r="L90" s="476"/>
      <c r="M90" s="477"/>
      <c r="N90" s="478"/>
      <c r="O90" s="127" t="s">
        <v>93</v>
      </c>
      <c r="P90" s="128">
        <f>P89/(K17/1000)</f>
        <v>6.872581424053853E-2</v>
      </c>
      <c r="Q90" s="124">
        <f>Q89/(K27/1000)</f>
        <v>0.10903271154680458</v>
      </c>
      <c r="R90" s="409"/>
    </row>
    <row r="91" spans="1:18" x14ac:dyDescent="0.3">
      <c r="A91" s="415"/>
      <c r="J91" s="416"/>
      <c r="K91" s="411"/>
      <c r="L91" s="411"/>
      <c r="M91" s="411"/>
      <c r="N91" s="411"/>
      <c r="O91" s="411"/>
      <c r="P91" s="411"/>
      <c r="Q91" s="411"/>
    </row>
    <row r="92" spans="1:18" x14ac:dyDescent="0.3">
      <c r="A92" s="415"/>
      <c r="J92" s="416"/>
      <c r="K92" s="411"/>
      <c r="L92" s="411"/>
      <c r="M92" s="411"/>
      <c r="N92" s="461" t="s">
        <v>94</v>
      </c>
      <c r="O92" s="462"/>
      <c r="P92" s="461" t="s">
        <v>95</v>
      </c>
      <c r="Q92" s="462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7"/>
      <c r="B94" s="418"/>
      <c r="C94" s="418"/>
      <c r="D94" s="418"/>
      <c r="E94" s="418"/>
      <c r="F94" s="418"/>
      <c r="G94" s="418"/>
      <c r="H94" s="418"/>
      <c r="I94" s="418"/>
      <c r="J94" s="416"/>
      <c r="K94" s="411"/>
      <c r="L94" s="411"/>
      <c r="M94" s="411"/>
      <c r="N94" s="129"/>
      <c r="O94" s="130"/>
      <c r="P94" s="129"/>
      <c r="Q94" s="130"/>
    </row>
    <row r="95" spans="1:18" x14ac:dyDescent="0.3">
      <c r="A95" s="419"/>
      <c r="B95" s="420"/>
      <c r="C95" s="420"/>
      <c r="D95" s="420"/>
      <c r="E95" s="420"/>
      <c r="F95" s="420"/>
      <c r="G95" s="420"/>
      <c r="H95" s="420"/>
      <c r="I95" s="420"/>
      <c r="J95" s="421"/>
      <c r="K95" s="411"/>
      <c r="L95" s="411"/>
      <c r="M95" s="411"/>
      <c r="N95" s="131"/>
      <c r="O95" s="132"/>
      <c r="P95" s="131"/>
      <c r="Q95" s="132"/>
    </row>
  </sheetData>
  <mergeCells count="83">
    <mergeCell ref="A2:Q2"/>
    <mergeCell ref="A3:Q3"/>
    <mergeCell ref="A4:F4"/>
    <mergeCell ref="G4:N4"/>
    <mergeCell ref="A5:C5"/>
    <mergeCell ref="D5:F5"/>
    <mergeCell ref="G5:L5"/>
    <mergeCell ref="M5:N5"/>
    <mergeCell ref="A22:A27"/>
    <mergeCell ref="A28:J28"/>
    <mergeCell ref="A52:Q52"/>
    <mergeCell ref="C54:C55"/>
    <mergeCell ref="D54:I55"/>
    <mergeCell ref="J54:J55"/>
    <mergeCell ref="L54:N55"/>
    <mergeCell ref="O54:O55"/>
    <mergeCell ref="P54:P55"/>
    <mergeCell ref="Q54:Q55"/>
    <mergeCell ref="A18:J18"/>
    <mergeCell ref="A20:F20"/>
    <mergeCell ref="G20:N20"/>
    <mergeCell ref="A21:C21"/>
    <mergeCell ref="D21:F21"/>
    <mergeCell ref="G21:L21"/>
    <mergeCell ref="M21:N21"/>
    <mergeCell ref="D59:I59"/>
    <mergeCell ref="D56:I56"/>
    <mergeCell ref="D57:I57"/>
    <mergeCell ref="D60:I60"/>
    <mergeCell ref="L65:N65"/>
    <mergeCell ref="D58:I58"/>
    <mergeCell ref="L63:N63"/>
    <mergeCell ref="D61:I61"/>
    <mergeCell ref="L61:N61"/>
    <mergeCell ref="D62:I62"/>
    <mergeCell ref="D63:I63"/>
    <mergeCell ref="L62:N62"/>
    <mergeCell ref="L64:N64"/>
    <mergeCell ref="D65:I65"/>
    <mergeCell ref="D66:I66"/>
    <mergeCell ref="L68:N68"/>
    <mergeCell ref="D67:I67"/>
    <mergeCell ref="L66:N66"/>
    <mergeCell ref="D68:I68"/>
    <mergeCell ref="L67:N67"/>
    <mergeCell ref="L73:N73"/>
    <mergeCell ref="D69:I69"/>
    <mergeCell ref="L71:N71"/>
    <mergeCell ref="D70:I70"/>
    <mergeCell ref="L69:N69"/>
    <mergeCell ref="L70:N70"/>
    <mergeCell ref="L87:N88"/>
    <mergeCell ref="L89:N90"/>
    <mergeCell ref="N92:O92"/>
    <mergeCell ref="P92:Q92"/>
    <mergeCell ref="D73:I73"/>
    <mergeCell ref="L78:N78"/>
    <mergeCell ref="D74:I74"/>
    <mergeCell ref="L79:N79"/>
    <mergeCell ref="D75:I75"/>
    <mergeCell ref="L80:N80"/>
    <mergeCell ref="L77:N77"/>
    <mergeCell ref="L83:N83"/>
    <mergeCell ref="D79:I79"/>
    <mergeCell ref="L84:N84"/>
    <mergeCell ref="D80:I80"/>
    <mergeCell ref="L85:N86"/>
    <mergeCell ref="L81:N81"/>
    <mergeCell ref="D77:I77"/>
    <mergeCell ref="L82:N82"/>
    <mergeCell ref="D78:I78"/>
    <mergeCell ref="L56:N56"/>
    <mergeCell ref="L57:N57"/>
    <mergeCell ref="L58:N58"/>
    <mergeCell ref="L59:N59"/>
    <mergeCell ref="L60:N60"/>
    <mergeCell ref="L75:N75"/>
    <mergeCell ref="D71:I71"/>
    <mergeCell ref="L76:N76"/>
    <mergeCell ref="D72:I72"/>
    <mergeCell ref="L74:N74"/>
    <mergeCell ref="D76:I76"/>
    <mergeCell ref="L72:N72"/>
  </mergeCells>
  <pageMargins left="0.7" right="0.7" top="0.25" bottom="0.25" header="0.3" footer="0.3"/>
  <pageSetup paperSize="9" scale="70" orientation="landscape" horizontalDpi="0" verticalDpi="0" r:id="rId1"/>
  <rowBreaks count="1" manualBreakCount="1">
    <brk id="50" max="1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zoomScaleNormal="100" workbookViewId="0">
      <selection activeCell="A7" sqref="A7:N13"/>
    </sheetView>
  </sheetViews>
  <sheetFormatPr defaultRowHeight="16.5" x14ac:dyDescent="0.3"/>
  <cols>
    <col min="1" max="1" width="8.71093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'22'!A3:Q3+1</f>
        <v>46045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275</v>
      </c>
      <c r="B7" s="15">
        <v>66</v>
      </c>
      <c r="C7" s="15">
        <v>140712</v>
      </c>
      <c r="D7" s="16"/>
      <c r="E7" s="17"/>
      <c r="F7" s="18"/>
      <c r="G7" s="19" t="s">
        <v>1</v>
      </c>
      <c r="H7" s="20">
        <v>5.5</v>
      </c>
      <c r="I7" s="21" t="s">
        <v>431</v>
      </c>
      <c r="J7" s="22">
        <v>66</v>
      </c>
      <c r="K7" s="17">
        <v>139383</v>
      </c>
      <c r="L7" s="23">
        <f t="shared" ref="L7:L16" si="0">K7/C7</f>
        <v>0.99055517653078629</v>
      </c>
      <c r="M7" s="17"/>
      <c r="N7" s="22"/>
      <c r="O7" s="134"/>
      <c r="P7" s="134"/>
      <c r="Q7" s="134"/>
    </row>
    <row r="8" spans="1:17" x14ac:dyDescent="0.3">
      <c r="A8" s="24" t="s">
        <v>236</v>
      </c>
      <c r="B8" s="25">
        <v>24</v>
      </c>
      <c r="C8" s="25">
        <v>50856</v>
      </c>
      <c r="D8" s="26"/>
      <c r="E8" s="27"/>
      <c r="F8" s="28"/>
      <c r="G8" s="29" t="s">
        <v>1</v>
      </c>
      <c r="H8" s="30">
        <v>5.5</v>
      </c>
      <c r="I8" s="31" t="s">
        <v>237</v>
      </c>
      <c r="J8" s="32">
        <v>24</v>
      </c>
      <c r="K8" s="33">
        <v>50259</v>
      </c>
      <c r="L8" s="34">
        <f t="shared" si="0"/>
        <v>0.98826097215667763</v>
      </c>
      <c r="M8" s="33"/>
      <c r="N8" s="32"/>
      <c r="O8" s="135"/>
      <c r="P8" s="135"/>
      <c r="Q8" s="135"/>
    </row>
    <row r="9" spans="1:17" x14ac:dyDescent="0.3">
      <c r="A9" s="24" t="s">
        <v>443</v>
      </c>
      <c r="B9" s="25">
        <v>169</v>
      </c>
      <c r="C9" s="25">
        <v>360477</v>
      </c>
      <c r="D9" s="26"/>
      <c r="E9" s="27"/>
      <c r="F9" s="28"/>
      <c r="G9" s="29" t="s">
        <v>1</v>
      </c>
      <c r="H9" s="30">
        <v>5.5</v>
      </c>
      <c r="I9" s="31" t="s">
        <v>404</v>
      </c>
      <c r="J9" s="32">
        <v>169</v>
      </c>
      <c r="K9" s="33">
        <v>357902</v>
      </c>
      <c r="L9" s="34">
        <f t="shared" si="0"/>
        <v>0.99285668711179909</v>
      </c>
      <c r="M9" s="33"/>
      <c r="N9" s="32"/>
      <c r="O9" s="135"/>
      <c r="P9" s="135"/>
      <c r="Q9" s="135"/>
    </row>
    <row r="10" spans="1:17" x14ac:dyDescent="0.3">
      <c r="A10" s="35" t="s">
        <v>408</v>
      </c>
      <c r="B10" s="36">
        <v>67</v>
      </c>
      <c r="C10" s="36">
        <v>143112</v>
      </c>
      <c r="D10" s="37"/>
      <c r="E10" s="38"/>
      <c r="F10" s="18"/>
      <c r="G10" s="39" t="s">
        <v>1</v>
      </c>
      <c r="H10" s="40">
        <v>5.5</v>
      </c>
      <c r="I10" s="31" t="s">
        <v>407</v>
      </c>
      <c r="J10" s="41">
        <v>67</v>
      </c>
      <c r="K10" s="42">
        <v>141818</v>
      </c>
      <c r="L10" s="34">
        <f t="shared" si="0"/>
        <v>0.9909581306948404</v>
      </c>
      <c r="M10" s="33"/>
      <c r="N10" s="32"/>
      <c r="O10" s="135"/>
      <c r="P10" s="135"/>
      <c r="Q10" s="135"/>
    </row>
    <row r="11" spans="1:17" x14ac:dyDescent="0.3">
      <c r="A11" s="35" t="s">
        <v>444</v>
      </c>
      <c r="B11" s="36">
        <v>29</v>
      </c>
      <c r="C11" s="36">
        <v>61741</v>
      </c>
      <c r="D11" s="37"/>
      <c r="E11" s="38"/>
      <c r="F11" s="18"/>
      <c r="G11" s="39" t="s">
        <v>1</v>
      </c>
      <c r="H11" s="40">
        <v>5.5</v>
      </c>
      <c r="I11" s="31" t="s">
        <v>407</v>
      </c>
      <c r="J11" s="41">
        <v>29</v>
      </c>
      <c r="K11" s="42">
        <v>61396</v>
      </c>
      <c r="L11" s="34">
        <f t="shared" ref="L11:L13" si="1">K11/C11</f>
        <v>0.99441214104079945</v>
      </c>
      <c r="M11" s="33"/>
      <c r="N11" s="32"/>
      <c r="O11" s="135"/>
      <c r="P11" s="135"/>
      <c r="Q11" s="135"/>
    </row>
    <row r="12" spans="1:17" x14ac:dyDescent="0.3">
      <c r="A12" s="35" t="s">
        <v>221</v>
      </c>
      <c r="B12" s="36">
        <v>24</v>
      </c>
      <c r="C12" s="36">
        <v>50904</v>
      </c>
      <c r="D12" s="37"/>
      <c r="E12" s="38"/>
      <c r="F12" s="18"/>
      <c r="G12" s="39" t="s">
        <v>1</v>
      </c>
      <c r="H12" s="40">
        <v>5.5</v>
      </c>
      <c r="I12" s="31" t="s">
        <v>204</v>
      </c>
      <c r="J12" s="41">
        <v>24</v>
      </c>
      <c r="K12" s="42">
        <v>50192</v>
      </c>
      <c r="L12" s="34">
        <f t="shared" si="1"/>
        <v>0.98601288700298606</v>
      </c>
      <c r="M12" s="33"/>
      <c r="N12" s="32"/>
      <c r="O12" s="135"/>
      <c r="P12" s="135"/>
      <c r="Q12" s="135"/>
    </row>
    <row r="13" spans="1:17" x14ac:dyDescent="0.3">
      <c r="A13" s="35" t="s">
        <v>445</v>
      </c>
      <c r="B13" s="36">
        <v>144</v>
      </c>
      <c r="C13" s="36">
        <v>306000</v>
      </c>
      <c r="D13" s="37"/>
      <c r="E13" s="38"/>
      <c r="F13" s="18"/>
      <c r="G13" s="39" t="s">
        <v>1</v>
      </c>
      <c r="H13" s="40">
        <v>5.5</v>
      </c>
      <c r="I13" s="31" t="s">
        <v>446</v>
      </c>
      <c r="J13" s="41">
        <v>144</v>
      </c>
      <c r="K13" s="42">
        <v>304424</v>
      </c>
      <c r="L13" s="34">
        <f t="shared" si="1"/>
        <v>0.99484967320261442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523</v>
      </c>
      <c r="C16" s="48">
        <f>SUM(C7:C15)</f>
        <v>1113802</v>
      </c>
      <c r="D16" s="49">
        <f>SUM(D7:D15)</f>
        <v>0</v>
      </c>
      <c r="E16" s="50">
        <f>SUM(E7:E15)</f>
        <v>0</v>
      </c>
      <c r="F16" s="51">
        <f>E16/C16</f>
        <v>0</v>
      </c>
      <c r="G16" s="52"/>
      <c r="H16" s="2"/>
      <c r="I16" s="2"/>
      <c r="J16" s="53">
        <f>SUM(J7:J15)</f>
        <v>523</v>
      </c>
      <c r="K16" s="53">
        <f>SUM(K7:K15)</f>
        <v>1105374</v>
      </c>
      <c r="L16" s="51">
        <f t="shared" si="0"/>
        <v>0.99243312545676876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1105374</v>
      </c>
      <c r="L17" s="51">
        <f>K17/C16</f>
        <v>0.99243312545676876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'22'!B23+'23'!B16</f>
        <v>8003</v>
      </c>
      <c r="C22" s="57">
        <f>'22'!C23+'23'!C16</f>
        <v>16915139</v>
      </c>
      <c r="D22" s="57">
        <f>'22'!D23+'23'!D16</f>
        <v>14</v>
      </c>
      <c r="E22" s="57">
        <f>'22'!E23+'23'!E16</f>
        <v>29600</v>
      </c>
      <c r="F22" s="423">
        <f>E22/C22</f>
        <v>1.7499117210919757E-3</v>
      </c>
      <c r="G22" s="58" t="s">
        <v>1</v>
      </c>
      <c r="H22" s="59"/>
      <c r="I22" s="59"/>
      <c r="J22" s="57">
        <f>'22'!J23+'23'!J16</f>
        <v>7961</v>
      </c>
      <c r="K22" s="57">
        <f>'22'!K23+'23'!K16</f>
        <v>16610200</v>
      </c>
      <c r="L22" s="60">
        <f>K22/C22</f>
        <v>0.9819724212730383</v>
      </c>
      <c r="M22" s="57">
        <f>'22'!M23+'23'!M16</f>
        <v>28</v>
      </c>
      <c r="N22" s="57">
        <f>'22'!N23+'23'!N16</f>
        <v>57472</v>
      </c>
      <c r="O22" s="135"/>
      <c r="P22" s="135"/>
      <c r="Q22" s="135"/>
    </row>
    <row r="23" spans="1:17" x14ac:dyDescent="0.3">
      <c r="A23" s="521"/>
      <c r="B23" s="61">
        <f>'22'!B24</f>
        <v>1160</v>
      </c>
      <c r="C23" s="61">
        <f>'22'!C24</f>
        <v>2434871</v>
      </c>
      <c r="D23" s="61">
        <f>'22'!D24</f>
        <v>6</v>
      </c>
      <c r="E23" s="61">
        <f>'22'!E24</f>
        <v>12633</v>
      </c>
      <c r="F23" s="424">
        <f>E23/C23</f>
        <v>5.1883652152413823E-3</v>
      </c>
      <c r="G23" s="381" t="s">
        <v>195</v>
      </c>
      <c r="H23" s="59"/>
      <c r="I23" s="59"/>
      <c r="J23" s="61">
        <f>'22'!J24</f>
        <v>1150</v>
      </c>
      <c r="K23" s="61">
        <f>'22'!K24</f>
        <v>2379715</v>
      </c>
      <c r="L23" s="382">
        <f t="shared" ref="L23:L24" si="2">K23/C23</f>
        <v>0.97734746522505711</v>
      </c>
      <c r="M23" s="61">
        <f>'22'!M24</f>
        <v>4</v>
      </c>
      <c r="N23" s="61">
        <f>'22'!N24</f>
        <v>7662</v>
      </c>
      <c r="O23" s="135"/>
      <c r="P23" s="135"/>
      <c r="Q23" s="135"/>
    </row>
    <row r="24" spans="1:17" x14ac:dyDescent="0.3">
      <c r="A24" s="521"/>
      <c r="B24" s="61">
        <f>'22'!B25</f>
        <v>0</v>
      </c>
      <c r="C24" s="61">
        <f>'22'!C25</f>
        <v>0</v>
      </c>
      <c r="D24" s="61">
        <f>'22'!D25</f>
        <v>0</v>
      </c>
      <c r="E24" s="61">
        <f>'22'!E25</f>
        <v>0</v>
      </c>
      <c r="F24" s="424" t="e">
        <f t="shared" ref="F24" si="3">E24/C24</f>
        <v>#DIV/0!</v>
      </c>
      <c r="G24" s="381" t="s">
        <v>196</v>
      </c>
      <c r="H24" s="59"/>
      <c r="I24" s="59"/>
      <c r="J24" s="61">
        <f>'22'!J25</f>
        <v>0</v>
      </c>
      <c r="K24" s="61">
        <f>'22'!K25</f>
        <v>0</v>
      </c>
      <c r="L24" s="382" t="e">
        <f t="shared" si="2"/>
        <v>#DIV/0!</v>
      </c>
      <c r="M24" s="61">
        <f>'22'!M25</f>
        <v>0</v>
      </c>
      <c r="N24" s="61">
        <f>'22'!N25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9163</v>
      </c>
      <c r="C26" s="68">
        <f>SUM(C21:C25)</f>
        <v>19350010</v>
      </c>
      <c r="D26" s="49">
        <f>SUM(D21:D25)</f>
        <v>20</v>
      </c>
      <c r="E26" s="69">
        <f>SUM(E22:E25)</f>
        <v>42233</v>
      </c>
      <c r="F26" s="51">
        <f>E26/C26</f>
        <v>2.1825828513783712E-3</v>
      </c>
      <c r="G26" s="51"/>
      <c r="H26" s="70"/>
      <c r="I26" s="70"/>
      <c r="J26" s="71">
        <f>SUM(J22:J25)</f>
        <v>9111</v>
      </c>
      <c r="K26" s="68">
        <f>SUM(K22:K25)</f>
        <v>18989915</v>
      </c>
      <c r="L26" s="51">
        <f>K26/C26</f>
        <v>0.98139044889382487</v>
      </c>
      <c r="M26" s="71">
        <f>SUM(M22:M25)</f>
        <v>32</v>
      </c>
      <c r="N26" s="54">
        <f>SUM(N22:N25)</f>
        <v>65134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19055049</v>
      </c>
      <c r="L27" s="51">
        <f>K27/C26</f>
        <v>0.98475654534545465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'22'!A31</f>
        <v>BIC</v>
      </c>
      <c r="B30" s="307" t="str">
        <f>'22'!B31</f>
        <v>P.6</v>
      </c>
      <c r="C30" s="307" t="str">
        <f>'22'!C31</f>
        <v>BjTPG280</v>
      </c>
      <c r="D30" s="313">
        <f>'22'!D31</f>
        <v>239</v>
      </c>
      <c r="E30" s="308">
        <f>'22'!E31</f>
        <v>497038</v>
      </c>
      <c r="F30" s="79"/>
      <c r="G30" s="307" t="str">
        <f>'22'!G31</f>
        <v>WR</v>
      </c>
      <c r="H30" s="309">
        <f>'22'!H31</f>
        <v>18</v>
      </c>
      <c r="I30" s="309">
        <f>'22'!I31</f>
        <v>8</v>
      </c>
      <c r="J30" s="170">
        <f>'22'!J31</f>
        <v>68</v>
      </c>
      <c r="K30" s="310">
        <f>'22'!K31</f>
        <v>140152</v>
      </c>
      <c r="L30" s="79"/>
      <c r="M30" s="307" t="str">
        <f>'22'!M31</f>
        <v>WR</v>
      </c>
      <c r="N30" s="309">
        <f>'22'!N31</f>
        <v>0</v>
      </c>
      <c r="O30" s="309">
        <f>'22'!O31</f>
        <v>0</v>
      </c>
      <c r="P30" s="170">
        <f>'22'!P31</f>
        <v>0</v>
      </c>
      <c r="Q30" s="310">
        <f>'22'!Q31</f>
        <v>0</v>
      </c>
    </row>
    <row r="31" spans="1:17" x14ac:dyDescent="0.3">
      <c r="A31" s="307" t="str">
        <f>'22'!A32</f>
        <v>WR</v>
      </c>
      <c r="B31" s="307">
        <f>'22'!B32</f>
        <v>6.5</v>
      </c>
      <c r="C31" s="307">
        <f>'22'!C32</f>
        <v>8</v>
      </c>
      <c r="D31" s="313">
        <f>'22'!D32</f>
        <v>180</v>
      </c>
      <c r="E31" s="308">
        <f>'22'!E32</f>
        <v>377095</v>
      </c>
      <c r="F31" s="135"/>
      <c r="G31" s="307" t="str">
        <f>'22'!G32</f>
        <v>WR</v>
      </c>
      <c r="H31" s="309">
        <f>'22'!H32</f>
        <v>7.5</v>
      </c>
      <c r="I31" s="309">
        <f>'22'!I32</f>
        <v>8</v>
      </c>
      <c r="J31" s="170">
        <f>'22'!J32</f>
        <v>96</v>
      </c>
      <c r="K31" s="310">
        <f>'22'!K32</f>
        <v>200884</v>
      </c>
      <c r="L31" s="135"/>
      <c r="M31" s="307" t="str">
        <f>'22'!M32</f>
        <v>WR</v>
      </c>
      <c r="N31" s="309">
        <f>'22'!N32</f>
        <v>0</v>
      </c>
      <c r="O31" s="309">
        <f>'22'!O32</f>
        <v>0</v>
      </c>
      <c r="P31" s="170">
        <f>'22'!P32</f>
        <v>0</v>
      </c>
      <c r="Q31" s="310">
        <f>'22'!Q32</f>
        <v>0</v>
      </c>
    </row>
    <row r="32" spans="1:17" x14ac:dyDescent="0.3">
      <c r="A32" s="307" t="str">
        <f>'22'!A33</f>
        <v>WR</v>
      </c>
      <c r="B32" s="307">
        <f>'22'!B33</f>
        <v>6.5</v>
      </c>
      <c r="C32" s="307">
        <f>'22'!C33</f>
        <v>10</v>
      </c>
      <c r="D32" s="313">
        <f>'22'!D33</f>
        <v>48</v>
      </c>
      <c r="E32" s="308">
        <f>'22'!E33</f>
        <v>99149</v>
      </c>
      <c r="F32" s="135"/>
      <c r="G32" s="307" t="str">
        <f>'22'!G33</f>
        <v>WR</v>
      </c>
      <c r="H32" s="309">
        <f>'22'!H33</f>
        <v>7.5</v>
      </c>
      <c r="I32" s="309">
        <f>'22'!I33</f>
        <v>15</v>
      </c>
      <c r="J32" s="170">
        <f>'22'!J33</f>
        <v>543</v>
      </c>
      <c r="K32" s="310">
        <f>'22'!K33</f>
        <v>1124422</v>
      </c>
      <c r="L32" s="135"/>
      <c r="M32" s="307" t="str">
        <f>'22'!M33</f>
        <v>WR</v>
      </c>
      <c r="N32" s="309">
        <f>'22'!N33</f>
        <v>0</v>
      </c>
      <c r="O32" s="309">
        <f>'22'!O33</f>
        <v>0</v>
      </c>
      <c r="P32" s="170">
        <f>'22'!P33</f>
        <v>0</v>
      </c>
      <c r="Q32" s="310">
        <f>'22'!Q33</f>
        <v>0</v>
      </c>
    </row>
    <row r="33" spans="1:17" x14ac:dyDescent="0.3">
      <c r="A33" s="307" t="str">
        <f>'22'!A34</f>
        <v>WR</v>
      </c>
      <c r="B33" s="307">
        <f>'22'!B34</f>
        <v>6.5</v>
      </c>
      <c r="C33" s="307">
        <f>'22'!C34</f>
        <v>15</v>
      </c>
      <c r="D33" s="313">
        <f>'22'!D34</f>
        <v>6</v>
      </c>
      <c r="E33" s="308">
        <f>'22'!E34</f>
        <v>12304</v>
      </c>
      <c r="F33" s="135"/>
      <c r="G33" s="307" t="str">
        <f>'22'!G34</f>
        <v>WR</v>
      </c>
      <c r="H33" s="309">
        <f>'22'!H34</f>
        <v>5.5</v>
      </c>
      <c r="I33" s="309">
        <f>'22'!I34</f>
        <v>22</v>
      </c>
      <c r="J33" s="170">
        <f>'22'!J34</f>
        <v>436</v>
      </c>
      <c r="K33" s="310">
        <f>'22'!K34</f>
        <v>893285</v>
      </c>
      <c r="L33" s="135"/>
      <c r="M33" s="307" t="str">
        <f>'22'!M34</f>
        <v>WR</v>
      </c>
      <c r="N33" s="309">
        <f>'22'!N34</f>
        <v>0</v>
      </c>
      <c r="O33" s="309">
        <f>'22'!O34</f>
        <v>0</v>
      </c>
      <c r="P33" s="170">
        <f>'22'!P34</f>
        <v>0</v>
      </c>
      <c r="Q33" s="310">
        <f>'22'!Q34</f>
        <v>0</v>
      </c>
    </row>
    <row r="34" spans="1:17" x14ac:dyDescent="0.3">
      <c r="A34" s="307" t="str">
        <f>'22'!A35</f>
        <v>WR</v>
      </c>
      <c r="B34" s="307">
        <f>'22'!B35</f>
        <v>5.5</v>
      </c>
      <c r="C34" s="307">
        <f>'22'!C35</f>
        <v>6</v>
      </c>
      <c r="D34" s="313">
        <f>'22'!D35+J8</f>
        <v>995</v>
      </c>
      <c r="E34" s="313">
        <f>'22'!E35+K8</f>
        <v>2086453</v>
      </c>
      <c r="F34" s="135"/>
      <c r="G34" s="307" t="str">
        <f>'22'!G35</f>
        <v>WR</v>
      </c>
      <c r="H34" s="309">
        <f>'22'!H35</f>
        <v>5.5</v>
      </c>
      <c r="I34" s="309">
        <f>'22'!I35</f>
        <v>1045</v>
      </c>
      <c r="J34" s="170">
        <f>'22'!J35</f>
        <v>50</v>
      </c>
      <c r="K34" s="310">
        <f>'22'!K35</f>
        <v>104556</v>
      </c>
      <c r="L34" s="135"/>
      <c r="M34" s="307" t="str">
        <f>'22'!M35</f>
        <v>WR</v>
      </c>
      <c r="N34" s="309">
        <f>'22'!N35</f>
        <v>0</v>
      </c>
      <c r="O34" s="309">
        <f>'22'!O35</f>
        <v>0</v>
      </c>
      <c r="P34" s="170">
        <f>'22'!P35</f>
        <v>0</v>
      </c>
      <c r="Q34" s="310">
        <f>'22'!Q35</f>
        <v>0</v>
      </c>
    </row>
    <row r="35" spans="1:17" x14ac:dyDescent="0.3">
      <c r="A35" s="307" t="str">
        <f>'22'!A36</f>
        <v>WR</v>
      </c>
      <c r="B35" s="307">
        <f>'22'!B36</f>
        <v>5.5</v>
      </c>
      <c r="C35" s="307" t="str">
        <f>'22'!C36</f>
        <v>8.A</v>
      </c>
      <c r="D35" s="313">
        <f>'22'!D36</f>
        <v>75</v>
      </c>
      <c r="E35" s="308">
        <f>'22'!E36</f>
        <v>157414</v>
      </c>
      <c r="F35" s="135"/>
      <c r="G35" s="307" t="str">
        <f>'22'!G36</f>
        <v>WR</v>
      </c>
      <c r="H35" s="309">
        <f>'22'!H36</f>
        <v>9.5</v>
      </c>
      <c r="I35" s="309">
        <f>'22'!I36</f>
        <v>15</v>
      </c>
      <c r="J35" s="170">
        <f>'22'!J36</f>
        <v>322</v>
      </c>
      <c r="K35" s="310">
        <f>'22'!K36</f>
        <v>664963</v>
      </c>
      <c r="L35" s="135"/>
      <c r="M35" s="307" t="str">
        <f>'22'!M36</f>
        <v>WR</v>
      </c>
      <c r="N35" s="309">
        <f>'22'!N36</f>
        <v>0</v>
      </c>
      <c r="O35" s="309">
        <f>'22'!O36</f>
        <v>0</v>
      </c>
      <c r="P35" s="170">
        <f>'22'!P36</f>
        <v>0</v>
      </c>
      <c r="Q35" s="310">
        <f>'22'!Q36</f>
        <v>0</v>
      </c>
    </row>
    <row r="36" spans="1:17" x14ac:dyDescent="0.3">
      <c r="A36" s="307" t="str">
        <f>'22'!A37</f>
        <v>WR</v>
      </c>
      <c r="B36" s="307">
        <f>'22'!B37</f>
        <v>5.5</v>
      </c>
      <c r="C36" s="307" t="str">
        <f>'22'!C37</f>
        <v>22.A</v>
      </c>
      <c r="D36" s="313">
        <f>'22'!D37</f>
        <v>813</v>
      </c>
      <c r="E36" s="308">
        <f>'22'!E37</f>
        <v>1694379</v>
      </c>
      <c r="F36" s="135"/>
      <c r="G36" s="307" t="str">
        <f>'22'!G37</f>
        <v>WR</v>
      </c>
      <c r="H36" s="309">
        <f>'22'!H37</f>
        <v>12</v>
      </c>
      <c r="I36" s="309">
        <f>'22'!I37</f>
        <v>8</v>
      </c>
      <c r="J36" s="170">
        <f>'22'!J37</f>
        <v>143</v>
      </c>
      <c r="K36" s="310">
        <f>'22'!K37</f>
        <v>298814</v>
      </c>
      <c r="L36" s="135"/>
      <c r="M36" s="307" t="str">
        <f>'22'!M37</f>
        <v>WR</v>
      </c>
      <c r="N36" s="309">
        <f>'22'!N37</f>
        <v>0</v>
      </c>
      <c r="O36" s="309">
        <f>'22'!O37</f>
        <v>0</v>
      </c>
      <c r="P36" s="170">
        <f>'22'!P37</f>
        <v>0</v>
      </c>
      <c r="Q36" s="310">
        <f>'22'!Q37</f>
        <v>0</v>
      </c>
    </row>
    <row r="37" spans="1:17" x14ac:dyDescent="0.3">
      <c r="A37" s="307" t="str">
        <f>'22'!A38</f>
        <v>WR</v>
      </c>
      <c r="B37" s="307">
        <f>'22'!B38</f>
        <v>5.5</v>
      </c>
      <c r="C37" s="307" t="str">
        <f>'22'!C38</f>
        <v>Y.11</v>
      </c>
      <c r="D37" s="313">
        <f>'22'!D38</f>
        <v>813</v>
      </c>
      <c r="E37" s="308">
        <f>'22'!E38</f>
        <v>1702656</v>
      </c>
      <c r="F37" s="135"/>
      <c r="G37" s="307" t="str">
        <f>'22'!G38</f>
        <v>WR</v>
      </c>
      <c r="H37" s="309">
        <f>'22'!H38</f>
        <v>9</v>
      </c>
      <c r="I37" s="309">
        <f>'22'!I38</f>
        <v>8</v>
      </c>
      <c r="J37" s="170">
        <f>'22'!J38</f>
        <v>191</v>
      </c>
      <c r="K37" s="310">
        <f>'22'!K38</f>
        <v>398927</v>
      </c>
      <c r="L37" s="135"/>
      <c r="M37" s="307" t="str">
        <f>'22'!M38</f>
        <v>WR</v>
      </c>
      <c r="N37" s="309">
        <f>'22'!N38</f>
        <v>0</v>
      </c>
      <c r="O37" s="309">
        <f>'22'!O38</f>
        <v>0</v>
      </c>
      <c r="P37" s="170">
        <f>'22'!P38</f>
        <v>0</v>
      </c>
      <c r="Q37" s="310">
        <f>'22'!Q38</f>
        <v>0</v>
      </c>
    </row>
    <row r="38" spans="1:17" x14ac:dyDescent="0.3">
      <c r="A38" s="307" t="str">
        <f>'22'!A39</f>
        <v>WR</v>
      </c>
      <c r="B38" s="307">
        <f>'22'!B39</f>
        <v>5.5</v>
      </c>
      <c r="C38" s="307" t="str">
        <f>'22'!C39</f>
        <v>67.A</v>
      </c>
      <c r="D38" s="313">
        <f>'22'!D39+J9</f>
        <v>289</v>
      </c>
      <c r="E38" s="313">
        <f>'22'!E39+K9</f>
        <v>611478</v>
      </c>
      <c r="F38" s="135"/>
      <c r="G38" s="307" t="str">
        <f>'22'!G39</f>
        <v>WR</v>
      </c>
      <c r="H38" s="309">
        <f>'22'!H39</f>
        <v>9</v>
      </c>
      <c r="I38" s="309">
        <f>'22'!I39</f>
        <v>10</v>
      </c>
      <c r="J38" s="170">
        <f>'22'!J39</f>
        <v>48</v>
      </c>
      <c r="K38" s="310">
        <f>'22'!K39</f>
        <v>99117</v>
      </c>
      <c r="L38" s="135"/>
      <c r="M38" s="307" t="str">
        <f>'22'!M39</f>
        <v>WR</v>
      </c>
      <c r="N38" s="309">
        <f>'22'!N39</f>
        <v>0</v>
      </c>
      <c r="O38" s="309">
        <f>'22'!O39</f>
        <v>0</v>
      </c>
      <c r="P38" s="170">
        <f>'22'!P39</f>
        <v>0</v>
      </c>
      <c r="Q38" s="310">
        <f>'22'!Q39</f>
        <v>0</v>
      </c>
    </row>
    <row r="39" spans="1:17" x14ac:dyDescent="0.3">
      <c r="A39" s="307" t="str">
        <f>'22'!A40</f>
        <v>BIC</v>
      </c>
      <c r="B39" s="307" t="str">
        <f>'22'!B40</f>
        <v>P.8</v>
      </c>
      <c r="C39" s="307" t="str">
        <f>'22'!C40</f>
        <v>BjTPG280</v>
      </c>
      <c r="D39" s="313">
        <f>'22'!D40</f>
        <v>240</v>
      </c>
      <c r="E39" s="308">
        <f>'22'!E40</f>
        <v>499780</v>
      </c>
      <c r="F39" s="135"/>
      <c r="G39" s="307" t="str">
        <f>'22'!G40</f>
        <v>WR</v>
      </c>
      <c r="H39" s="309">
        <f>'22'!H40</f>
        <v>5.5</v>
      </c>
      <c r="I39" s="309">
        <f>'22'!I40</f>
        <v>15</v>
      </c>
      <c r="J39" s="170">
        <f>'22'!J40</f>
        <v>116</v>
      </c>
      <c r="K39" s="310">
        <f>'22'!K40</f>
        <v>239659</v>
      </c>
      <c r="L39" s="135"/>
      <c r="M39" s="307" t="str">
        <f>'22'!M40</f>
        <v>WR</v>
      </c>
      <c r="N39" s="309">
        <f>'22'!N40</f>
        <v>0</v>
      </c>
      <c r="O39" s="309">
        <f>'22'!O40</f>
        <v>0</v>
      </c>
      <c r="P39" s="170">
        <f>'22'!P40</f>
        <v>0</v>
      </c>
      <c r="Q39" s="310">
        <f>'22'!Q40</f>
        <v>0</v>
      </c>
    </row>
    <row r="40" spans="1:17" x14ac:dyDescent="0.3">
      <c r="A40" s="307" t="str">
        <f>'22'!A41</f>
        <v>BIC</v>
      </c>
      <c r="B40" s="307" t="str">
        <f>'22'!B41</f>
        <v>S.8</v>
      </c>
      <c r="C40" s="307" t="str">
        <f>'22'!C41</f>
        <v>BjTSG420</v>
      </c>
      <c r="D40" s="313">
        <f>'22'!D41</f>
        <v>335</v>
      </c>
      <c r="E40" s="308">
        <f>'22'!E41</f>
        <v>688721</v>
      </c>
      <c r="F40" s="135"/>
      <c r="G40" s="307" t="str">
        <f>'22'!G41</f>
        <v>WR</v>
      </c>
      <c r="H40" s="309">
        <f>'22'!H41</f>
        <v>5.5</v>
      </c>
      <c r="I40" s="309" t="str">
        <f>'22'!I41</f>
        <v>72.A</v>
      </c>
      <c r="J40" s="170">
        <f>'22'!J41</f>
        <v>48</v>
      </c>
      <c r="K40" s="310">
        <f>'22'!K41</f>
        <v>101358</v>
      </c>
      <c r="L40" s="135"/>
      <c r="M40" s="307" t="str">
        <f>'22'!M41</f>
        <v>WR</v>
      </c>
      <c r="N40" s="309">
        <f>'22'!N41</f>
        <v>0</v>
      </c>
      <c r="O40" s="309">
        <f>'22'!O41</f>
        <v>0</v>
      </c>
      <c r="P40" s="170">
        <f>'22'!P41</f>
        <v>0</v>
      </c>
      <c r="Q40" s="310">
        <f>'22'!Q41</f>
        <v>0</v>
      </c>
    </row>
    <row r="41" spans="1:17" x14ac:dyDescent="0.3">
      <c r="A41" s="307" t="str">
        <f>'22'!A42</f>
        <v>BIC</v>
      </c>
      <c r="B41" s="307" t="str">
        <f>'22'!B42</f>
        <v>S.10</v>
      </c>
      <c r="C41" s="307" t="str">
        <f>'22'!C42</f>
        <v>BjTSG420</v>
      </c>
      <c r="D41" s="313">
        <f>'22'!D42</f>
        <v>144</v>
      </c>
      <c r="E41" s="308">
        <f>'22'!E42</f>
        <v>295842</v>
      </c>
      <c r="F41" s="135"/>
      <c r="G41" s="307" t="str">
        <f>'22'!G42</f>
        <v>WR</v>
      </c>
      <c r="H41" s="309">
        <f>'22'!H42</f>
        <v>12</v>
      </c>
      <c r="I41" s="309">
        <f>'22'!I42</f>
        <v>15</v>
      </c>
      <c r="J41" s="170">
        <f>'22'!J42</f>
        <v>54</v>
      </c>
      <c r="K41" s="310">
        <f>'22'!K42</f>
        <v>111148</v>
      </c>
      <c r="L41" s="135"/>
      <c r="M41" s="307" t="str">
        <f>'22'!M42</f>
        <v>WR</v>
      </c>
      <c r="N41" s="309">
        <f>'22'!N42</f>
        <v>0</v>
      </c>
      <c r="O41" s="309">
        <f>'22'!O42</f>
        <v>0</v>
      </c>
      <c r="P41" s="170">
        <f>'22'!P42</f>
        <v>0</v>
      </c>
      <c r="Q41" s="310">
        <f>'22'!Q42</f>
        <v>0</v>
      </c>
    </row>
    <row r="42" spans="1:17" x14ac:dyDescent="0.3">
      <c r="A42" s="307" t="str">
        <f>'22'!A43</f>
        <v>WR</v>
      </c>
      <c r="B42" s="307">
        <f>'22'!B43</f>
        <v>5.5</v>
      </c>
      <c r="C42" s="307">
        <f>'22'!C43</f>
        <v>8</v>
      </c>
      <c r="D42" s="313">
        <f>'22'!D43+J12</f>
        <v>480</v>
      </c>
      <c r="E42" s="313">
        <f>'22'!E43+K12</f>
        <v>1006478</v>
      </c>
      <c r="F42" s="135"/>
      <c r="G42" s="307" t="str">
        <f>'22'!G43</f>
        <v>WR</v>
      </c>
      <c r="H42" s="309">
        <f>'22'!H43</f>
        <v>8.5</v>
      </c>
      <c r="I42" s="309">
        <f>'22'!I43</f>
        <v>8</v>
      </c>
      <c r="J42" s="170">
        <f>'22'!J43</f>
        <v>168</v>
      </c>
      <c r="K42" s="310">
        <f>'22'!K43</f>
        <v>351899</v>
      </c>
      <c r="L42" s="135"/>
      <c r="M42" s="307" t="str">
        <f>'22'!M43</f>
        <v>WR</v>
      </c>
      <c r="N42" s="309">
        <f>'22'!N43</f>
        <v>0</v>
      </c>
      <c r="O42" s="309">
        <f>'22'!O43</f>
        <v>0</v>
      </c>
      <c r="P42" s="170">
        <f>'22'!P43</f>
        <v>0</v>
      </c>
      <c r="Q42" s="310">
        <f>'22'!Q43</f>
        <v>0</v>
      </c>
    </row>
    <row r="43" spans="1:17" x14ac:dyDescent="0.3">
      <c r="A43" s="307" t="str">
        <f>'22'!A44</f>
        <v>WR</v>
      </c>
      <c r="B43" s="307">
        <f>'22'!B44</f>
        <v>5.5</v>
      </c>
      <c r="C43" s="307" t="str">
        <f>'22'!C44</f>
        <v>67.B</v>
      </c>
      <c r="D43" s="313">
        <f>'22'!D44+J7</f>
        <v>288</v>
      </c>
      <c r="E43" s="313">
        <f>'22'!E44+K7</f>
        <v>609307</v>
      </c>
      <c r="F43" s="135"/>
      <c r="G43" s="307" t="str">
        <f>'22'!G44</f>
        <v>WR</v>
      </c>
      <c r="H43" s="309">
        <f>'22'!H44</f>
        <v>7</v>
      </c>
      <c r="I43" s="309">
        <f>'22'!I44</f>
        <v>6</v>
      </c>
      <c r="J43" s="170">
        <f>'22'!J44</f>
        <v>48</v>
      </c>
      <c r="K43" s="310">
        <f>'22'!K44</f>
        <v>100641</v>
      </c>
      <c r="L43" s="135"/>
      <c r="M43" s="307" t="str">
        <f>'22'!M44</f>
        <v>WR</v>
      </c>
      <c r="N43" s="309">
        <f>'22'!N44</f>
        <v>0</v>
      </c>
      <c r="O43" s="309">
        <f>'22'!O44</f>
        <v>0</v>
      </c>
      <c r="P43" s="170">
        <f>'22'!P44</f>
        <v>0</v>
      </c>
      <c r="Q43" s="310">
        <f>'22'!Q44</f>
        <v>0</v>
      </c>
    </row>
    <row r="44" spans="1:17" x14ac:dyDescent="0.3">
      <c r="A44" s="307" t="str">
        <f>'22'!A45</f>
        <v>BIC</v>
      </c>
      <c r="B44" s="307" t="str">
        <f>'22'!B45</f>
        <v>P.10</v>
      </c>
      <c r="C44" s="307" t="str">
        <f>'22'!C45</f>
        <v>BjTPG280</v>
      </c>
      <c r="D44" s="313">
        <f>'22'!D45</f>
        <v>144</v>
      </c>
      <c r="E44" s="308">
        <f>'22'!E45</f>
        <v>299930</v>
      </c>
      <c r="F44" s="135"/>
      <c r="G44" s="307" t="str">
        <f>'22'!G45</f>
        <v>WR</v>
      </c>
      <c r="H44" s="309">
        <f>'22'!H45</f>
        <v>7</v>
      </c>
      <c r="I44" s="309">
        <f>'22'!I45</f>
        <v>8</v>
      </c>
      <c r="J44" s="170">
        <f>'22'!J45</f>
        <v>143</v>
      </c>
      <c r="K44" s="310">
        <f>'22'!K45</f>
        <v>299375</v>
      </c>
      <c r="L44" s="135"/>
      <c r="M44" s="307" t="str">
        <f>'22'!M45</f>
        <v>WR</v>
      </c>
      <c r="N44" s="309">
        <f>'22'!N45</f>
        <v>0</v>
      </c>
      <c r="O44" s="309">
        <f>'22'!O45</f>
        <v>0</v>
      </c>
      <c r="P44" s="170">
        <f>'22'!P45</f>
        <v>0</v>
      </c>
      <c r="Q44" s="310">
        <f>'22'!Q45</f>
        <v>0</v>
      </c>
    </row>
    <row r="45" spans="1:17" x14ac:dyDescent="0.3">
      <c r="A45" s="307" t="str">
        <f>'22'!A46</f>
        <v>BIC</v>
      </c>
      <c r="B45" s="307" t="str">
        <f>'22'!B46</f>
        <v>S.6</v>
      </c>
      <c r="C45" s="307" t="str">
        <f>'22'!C46</f>
        <v>BjTSG420</v>
      </c>
      <c r="D45" s="313">
        <f>'22'!D46</f>
        <v>48</v>
      </c>
      <c r="E45" s="308">
        <f>'22'!E46</f>
        <v>98404</v>
      </c>
      <c r="F45" s="135"/>
      <c r="G45" s="307" t="str">
        <f>'22'!G46</f>
        <v>WR</v>
      </c>
      <c r="H45" s="309">
        <f>'22'!H46</f>
        <v>7</v>
      </c>
      <c r="I45" s="309">
        <f>'22'!I46</f>
        <v>10</v>
      </c>
      <c r="J45" s="170">
        <f>'22'!J46</f>
        <v>48</v>
      </c>
      <c r="K45" s="310">
        <f>'22'!K46</f>
        <v>98999</v>
      </c>
      <c r="L45" s="135"/>
      <c r="M45" s="307" t="str">
        <f>'22'!M46</f>
        <v>WR</v>
      </c>
      <c r="N45" s="309">
        <f>'22'!N46</f>
        <v>0</v>
      </c>
      <c r="O45" s="309">
        <f>'22'!O46</f>
        <v>0</v>
      </c>
      <c r="P45" s="170">
        <f>'22'!P46</f>
        <v>0</v>
      </c>
      <c r="Q45" s="310">
        <f>'22'!Q46</f>
        <v>0</v>
      </c>
    </row>
    <row r="46" spans="1:17" x14ac:dyDescent="0.3">
      <c r="A46" s="307" t="str">
        <f>'22'!A47</f>
        <v>WR</v>
      </c>
      <c r="B46" s="307">
        <f>'22'!B47</f>
        <v>17</v>
      </c>
      <c r="C46" s="307">
        <f>'22'!C47</f>
        <v>8</v>
      </c>
      <c r="D46" s="313">
        <f>'22'!D47</f>
        <v>91</v>
      </c>
      <c r="E46" s="308">
        <f>'22'!E47</f>
        <v>188048</v>
      </c>
      <c r="F46" s="135"/>
      <c r="G46" s="307" t="str">
        <f>'22'!G47</f>
        <v>WR</v>
      </c>
      <c r="H46" s="309">
        <v>5.5</v>
      </c>
      <c r="I46" s="309" t="s">
        <v>409</v>
      </c>
      <c r="J46" s="310">
        <f>J10+J11</f>
        <v>96</v>
      </c>
      <c r="K46" s="310">
        <f>K10+K11</f>
        <v>203214</v>
      </c>
      <c r="L46" s="135"/>
      <c r="M46" s="307" t="str">
        <f>'22'!M47</f>
        <v>WR</v>
      </c>
      <c r="N46" s="309">
        <f>'22'!N47</f>
        <v>0</v>
      </c>
      <c r="O46" s="309">
        <f>'22'!O47</f>
        <v>0</v>
      </c>
      <c r="P46" s="170">
        <f>'22'!P47</f>
        <v>0</v>
      </c>
      <c r="Q46" s="310">
        <f>'22'!Q47</f>
        <v>0</v>
      </c>
    </row>
    <row r="47" spans="1:17" x14ac:dyDescent="0.3">
      <c r="A47" s="307" t="str">
        <f>'22'!A48</f>
        <v>WR</v>
      </c>
      <c r="B47" s="307">
        <f>'22'!B48</f>
        <v>8.5</v>
      </c>
      <c r="C47" s="307">
        <f>'22'!C48</f>
        <v>15</v>
      </c>
      <c r="D47" s="313">
        <f>'22'!D48</f>
        <v>576</v>
      </c>
      <c r="E47" s="308">
        <f>'22'!E48</f>
        <v>1194727</v>
      </c>
      <c r="F47" s="135"/>
      <c r="G47" s="307" t="str">
        <f>'22'!G48</f>
        <v>WR</v>
      </c>
      <c r="H47" s="309">
        <v>5.5</v>
      </c>
      <c r="I47" s="309" t="s">
        <v>447</v>
      </c>
      <c r="J47" s="310">
        <f>J13</f>
        <v>144</v>
      </c>
      <c r="K47" s="310">
        <f>K13</f>
        <v>304424</v>
      </c>
      <c r="L47" s="135"/>
      <c r="M47" s="307" t="str">
        <f>'22'!M48</f>
        <v>WR</v>
      </c>
      <c r="N47" s="309">
        <f>'22'!N48</f>
        <v>0</v>
      </c>
      <c r="O47" s="309">
        <f>'22'!O48</f>
        <v>0</v>
      </c>
      <c r="P47" s="170">
        <f>'22'!P48</f>
        <v>0</v>
      </c>
      <c r="Q47" s="310">
        <f>'22'!Q48</f>
        <v>0</v>
      </c>
    </row>
    <row r="48" spans="1:17" x14ac:dyDescent="0.3">
      <c r="A48" s="307" t="str">
        <f>'22'!A49</f>
        <v>WR</v>
      </c>
      <c r="B48" s="307">
        <f>'22'!B49</f>
        <v>6.5</v>
      </c>
      <c r="C48" s="307">
        <f>'22'!C49</f>
        <v>8</v>
      </c>
      <c r="D48" s="313">
        <f>'22'!D49</f>
        <v>264</v>
      </c>
      <c r="E48" s="308">
        <f>'22'!E49</f>
        <v>552714</v>
      </c>
      <c r="F48" s="135"/>
      <c r="G48" s="307" t="str">
        <f>'22'!G49</f>
        <v>WR</v>
      </c>
      <c r="H48" s="309">
        <f>'22'!H49</f>
        <v>0</v>
      </c>
      <c r="I48" s="309">
        <f>'22'!I49</f>
        <v>0</v>
      </c>
      <c r="J48" s="170">
        <f>'22'!J49</f>
        <v>0</v>
      </c>
      <c r="K48" s="310">
        <f>'22'!K49</f>
        <v>0</v>
      </c>
      <c r="L48" s="135"/>
      <c r="M48" s="307" t="str">
        <f>'22'!M49</f>
        <v>WR</v>
      </c>
      <c r="N48" s="309">
        <f>'22'!N49</f>
        <v>0</v>
      </c>
      <c r="O48" s="309">
        <f>'22'!O49</f>
        <v>0</v>
      </c>
      <c r="P48" s="170">
        <f>'22'!P49</f>
        <v>0</v>
      </c>
      <c r="Q48" s="310">
        <f>'22'!Q49</f>
        <v>0</v>
      </c>
    </row>
    <row r="49" spans="1:23" x14ac:dyDescent="0.3">
      <c r="A49" s="307" t="str">
        <f>'22'!A50</f>
        <v>WR</v>
      </c>
      <c r="B49" s="307">
        <f>'22'!B50</f>
        <v>6.5</v>
      </c>
      <c r="C49" s="307">
        <f>'22'!C50</f>
        <v>15</v>
      </c>
      <c r="D49" s="313">
        <f>'22'!D50</f>
        <v>281</v>
      </c>
      <c r="E49" s="308">
        <f>'22'!E50</f>
        <v>582161</v>
      </c>
      <c r="F49" s="3"/>
      <c r="G49" s="307" t="str">
        <f>'22'!G50</f>
        <v>WR</v>
      </c>
      <c r="H49" s="309">
        <f>'22'!H50</f>
        <v>0</v>
      </c>
      <c r="I49" s="309">
        <f>'22'!I50</f>
        <v>0</v>
      </c>
      <c r="J49" s="170">
        <f>'22'!J50</f>
        <v>0</v>
      </c>
      <c r="K49" s="310">
        <f>'22'!K50</f>
        <v>0</v>
      </c>
      <c r="L49" s="3"/>
      <c r="M49" s="307" t="str">
        <f>'22'!M50</f>
        <v>WR</v>
      </c>
      <c r="N49" s="309">
        <f>'22'!N50</f>
        <v>0</v>
      </c>
      <c r="O49" s="309">
        <f>'22'!O50</f>
        <v>0</v>
      </c>
      <c r="P49" s="170">
        <f>'22'!P50</f>
        <v>0</v>
      </c>
      <c r="Q49" s="310">
        <f>'22'!Q50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46045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448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40">
        <v>5</v>
      </c>
      <c r="C55" s="453"/>
      <c r="D55" s="494" t="s">
        <v>432</v>
      </c>
      <c r="E55" s="495"/>
      <c r="F55" s="495"/>
      <c r="G55" s="495"/>
      <c r="H55" s="495"/>
      <c r="I55" s="496"/>
      <c r="J55" s="97">
        <v>47</v>
      </c>
      <c r="K55" s="391"/>
      <c r="L55" s="466" t="s">
        <v>26</v>
      </c>
      <c r="M55" s="467"/>
      <c r="N55" s="467"/>
      <c r="O55" s="392" t="s">
        <v>13</v>
      </c>
      <c r="P55" s="393">
        <f>C16</f>
        <v>1113802</v>
      </c>
      <c r="Q55" s="394">
        <f>C26</f>
        <v>19350010</v>
      </c>
      <c r="R55" s="395"/>
      <c r="S55" s="388">
        <f>DAY(A52)</f>
        <v>23</v>
      </c>
      <c r="T55" s="383">
        <f>S55-U55</f>
        <v>18</v>
      </c>
      <c r="U55" s="383">
        <f>'22'!U56</f>
        <v>5</v>
      </c>
    </row>
    <row r="56" spans="1:23" x14ac:dyDescent="0.3">
      <c r="A56" s="95" t="s">
        <v>37</v>
      </c>
      <c r="B56" s="441">
        <v>15</v>
      </c>
      <c r="C56" s="454"/>
      <c r="D56" s="498" t="s">
        <v>433</v>
      </c>
      <c r="E56" s="498"/>
      <c r="F56" s="498"/>
      <c r="G56" s="498"/>
      <c r="H56" s="498"/>
      <c r="I56" s="498"/>
      <c r="J56" s="97">
        <v>23</v>
      </c>
      <c r="K56" s="391"/>
      <c r="L56" s="502" t="s">
        <v>191</v>
      </c>
      <c r="M56" s="498"/>
      <c r="N56" s="498"/>
      <c r="O56" s="396" t="s">
        <v>13</v>
      </c>
      <c r="P56" s="397">
        <f>K17</f>
        <v>1105374</v>
      </c>
      <c r="Q56" s="398">
        <f>K27</f>
        <v>19055049</v>
      </c>
      <c r="R56" s="399"/>
    </row>
    <row r="57" spans="1:23" x14ac:dyDescent="0.3">
      <c r="A57" s="95" t="s">
        <v>39</v>
      </c>
      <c r="B57" s="441">
        <v>24</v>
      </c>
      <c r="C57" s="454"/>
      <c r="D57" s="498"/>
      <c r="E57" s="498"/>
      <c r="F57" s="498"/>
      <c r="G57" s="498"/>
      <c r="H57" s="498"/>
      <c r="I57" s="498"/>
      <c r="J57" s="97"/>
      <c r="K57" s="391"/>
      <c r="L57" s="468" t="s">
        <v>19</v>
      </c>
      <c r="M57" s="469"/>
      <c r="N57" s="469"/>
      <c r="O57" s="400" t="s">
        <v>14</v>
      </c>
      <c r="P57" s="401">
        <f>L17</f>
        <v>0.99243312545676876</v>
      </c>
      <c r="Q57" s="430">
        <f>L27</f>
        <v>0.98475654534545465</v>
      </c>
      <c r="R57" s="403">
        <v>0.98499999999999999</v>
      </c>
    </row>
    <row r="58" spans="1:23" x14ac:dyDescent="0.3">
      <c r="A58" s="95" t="s">
        <v>41</v>
      </c>
      <c r="B58" s="441">
        <v>20</v>
      </c>
      <c r="C58" s="454"/>
      <c r="D58" s="498" t="s">
        <v>434</v>
      </c>
      <c r="E58" s="498"/>
      <c r="F58" s="498"/>
      <c r="G58" s="498"/>
      <c r="H58" s="498"/>
      <c r="I58" s="498"/>
      <c r="J58" s="97">
        <v>15</v>
      </c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42233</v>
      </c>
      <c r="R58" s="395"/>
    </row>
    <row r="59" spans="1:23" x14ac:dyDescent="0.3">
      <c r="A59" s="95" t="s">
        <v>43</v>
      </c>
      <c r="B59" s="441">
        <v>13</v>
      </c>
      <c r="C59" s="454"/>
      <c r="D59" s="498" t="s">
        <v>435</v>
      </c>
      <c r="E59" s="498"/>
      <c r="F59" s="498"/>
      <c r="G59" s="498"/>
      <c r="H59" s="498"/>
      <c r="I59" s="498"/>
      <c r="J59" s="97">
        <v>22</v>
      </c>
      <c r="K59" s="391"/>
      <c r="L59" s="509"/>
      <c r="M59" s="510"/>
      <c r="N59" s="510"/>
      <c r="O59" s="400" t="s">
        <v>14</v>
      </c>
      <c r="P59" s="401">
        <f>F16</f>
        <v>0</v>
      </c>
      <c r="Q59" s="430">
        <f>F26</f>
        <v>2.1825828513783712E-3</v>
      </c>
      <c r="R59" s="404">
        <v>1.5E-3</v>
      </c>
    </row>
    <row r="60" spans="1:23" x14ac:dyDescent="0.3">
      <c r="A60" s="95" t="s">
        <v>45</v>
      </c>
      <c r="B60" s="441">
        <v>25</v>
      </c>
      <c r="C60" s="454"/>
      <c r="D60" s="552" t="s">
        <v>436</v>
      </c>
      <c r="E60" s="552"/>
      <c r="F60" s="552"/>
      <c r="G60" s="552"/>
      <c r="H60" s="552"/>
      <c r="I60" s="552"/>
      <c r="J60" s="97">
        <v>1</v>
      </c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'1'!Q60+'2'!P60+'3'!P60+'4'!P60+'5'!P60+'6'!P60+'7'!P60+'8'!P60+'9'!P60+'10'!P60+'11'!P60+'12'!P60+'13'!P60+'14'!P60+'15'!P60+'16'!P60+'17'!P60+'18'!P60+'19'!P60+'20'!P62+'21'!P60+'22'!P61+'23'!P60</f>
        <v>33120</v>
      </c>
      <c r="R60" s="406"/>
    </row>
    <row r="61" spans="1:23" x14ac:dyDescent="0.3">
      <c r="A61" s="95" t="s">
        <v>47</v>
      </c>
      <c r="B61" s="441">
        <v>25</v>
      </c>
      <c r="C61" s="454"/>
      <c r="D61" s="552"/>
      <c r="E61" s="553"/>
      <c r="F61" s="553"/>
      <c r="G61" s="553"/>
      <c r="H61" s="553"/>
      <c r="I61" s="553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'1'!Q61+'2'!P61+'3'!P61+'4'!P61+'5'!P61+'6'!P61+'7'!P61+'8'!P61+'9'!P61+'10'!P61+'11'!P61+'12'!P61+'13'!P61+'14'!P61+'15'!P61+'16'!P61+'17'!P61+'18'!P61+'19'!P61+'20'!P63+'21'!P61+'22'!P62+'23'!P61</f>
        <v>7200</v>
      </c>
      <c r="R61" s="395"/>
    </row>
    <row r="62" spans="1:23" x14ac:dyDescent="0.3">
      <c r="A62" s="95" t="s">
        <v>49</v>
      </c>
      <c r="B62" s="441">
        <v>26</v>
      </c>
      <c r="C62" s="454"/>
      <c r="D62" s="552"/>
      <c r="E62" s="553"/>
      <c r="F62" s="553"/>
      <c r="G62" s="553"/>
      <c r="H62" s="553"/>
      <c r="I62" s="553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'1'!Q62+'2'!P62+'3'!P62+'4'!P62+'5'!P62+'6'!P62+'7'!P62+'8'!P62+'9'!P62+'10'!P62+'11'!P62+'12'!P62+'13'!P62+'14'!P62+'15'!P62+'16'!P62+'17'!P62+'18'!P62+'19'!P62+'20'!P64+'21'!P62+'22'!P63+'23'!P62</f>
        <v>7200</v>
      </c>
      <c r="R62" s="399"/>
    </row>
    <row r="63" spans="1:23" x14ac:dyDescent="0.3">
      <c r="A63" s="95" t="s">
        <v>51</v>
      </c>
      <c r="B63" s="441">
        <v>22</v>
      </c>
      <c r="C63" s="454"/>
      <c r="D63" s="463" t="s">
        <v>437</v>
      </c>
      <c r="E63" s="543"/>
      <c r="F63" s="543"/>
      <c r="G63" s="543"/>
      <c r="H63" s="543"/>
      <c r="I63" s="543"/>
      <c r="J63" s="97">
        <v>9</v>
      </c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'1'!Q63+'2'!P63+'3'!P63+'4'!P63+'5'!P63+'6'!P63+'7'!P63+'8'!P63+'9'!P63+'10'!P63+'11'!P63+'12'!P63+'13'!P63+'14'!P63+'15'!P63+'16'!P63+'17'!P63+'18'!P63+'19'!P63+'20'!P65+'21'!P63+'22'!P64+'23'!P63</f>
        <v>0</v>
      </c>
      <c r="R63" s="399"/>
    </row>
    <row r="64" spans="1:23" x14ac:dyDescent="0.3">
      <c r="A64" s="95" t="s">
        <v>53</v>
      </c>
      <c r="B64" s="441">
        <v>22</v>
      </c>
      <c r="C64" s="454"/>
      <c r="D64" s="552" t="s">
        <v>438</v>
      </c>
      <c r="E64" s="552"/>
      <c r="F64" s="552"/>
      <c r="G64" s="552"/>
      <c r="H64" s="552"/>
      <c r="I64" s="552"/>
      <c r="J64" s="97">
        <v>6</v>
      </c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'1'!Q64+'2'!P64+'3'!P64+'4'!P64+'5'!P64+'6'!P64+'7'!P64+'8'!P64+'9'!P64+'10'!P64+'11'!P64+'12'!P64+'13'!P64+'14'!P64+'15'!P64+'16'!P64+'17'!P64+'18'!P64+'19'!P64+'20'!P66+'21'!P64+'22'!P65+'23'!P64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41">
        <v>26</v>
      </c>
      <c r="C65" s="454"/>
      <c r="D65" s="463"/>
      <c r="E65" s="543"/>
      <c r="F65" s="543"/>
      <c r="G65" s="543"/>
      <c r="H65" s="543"/>
      <c r="I65" s="54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130</v>
      </c>
      <c r="Q65" s="100">
        <f>'1'!Q65+'2'!P65+'3'!P65+'4'!P65+'5'!P65+'6'!P65+'7'!P65+'8'!P65+'9'!P65+'10'!P65+'11'!P65+'12'!P65+'13'!P65+'14'!P65+'15'!P65+'16'!P65+'17'!P65+'18'!P65+'19'!P65+'20'!P67+'21'!P65+'22'!P66+'23'!P65</f>
        <v>2920</v>
      </c>
      <c r="R65" s="395"/>
      <c r="S65" s="171" t="s">
        <v>56</v>
      </c>
      <c r="T65" s="172"/>
      <c r="U65" s="173" t="s">
        <v>151</v>
      </c>
      <c r="V65" s="174"/>
      <c r="W65" s="181">
        <f>+'22'!W66+'23'!V65</f>
        <v>10</v>
      </c>
    </row>
    <row r="66" spans="1:23" x14ac:dyDescent="0.3">
      <c r="A66" s="95" t="s">
        <v>57</v>
      </c>
      <c r="B66" s="441">
        <v>26</v>
      </c>
      <c r="C66" s="454"/>
      <c r="D66" s="463"/>
      <c r="E66" s="543"/>
      <c r="F66" s="543"/>
      <c r="G66" s="543"/>
      <c r="H66" s="543"/>
      <c r="I66" s="543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'1'!Q66+'2'!P66+'3'!P66+'4'!P66+'5'!P66+'6'!P66+'7'!P66+'8'!P66+'9'!P66+'10'!P66+'11'!P66+'12'!P66+'13'!P66+'14'!P66+'15'!P66+'16'!P66+'17'!P66+'18'!P66+'19'!P66+'20'!P68+'21'!P66+'22'!P67+'23'!P66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+'22'!W67+'23'!V66</f>
        <v>7</v>
      </c>
    </row>
    <row r="67" spans="1:23" x14ac:dyDescent="0.3">
      <c r="A67" s="95" t="s">
        <v>59</v>
      </c>
      <c r="B67" s="441">
        <v>25</v>
      </c>
      <c r="C67" s="454"/>
      <c r="D67" s="463"/>
      <c r="E67" s="543"/>
      <c r="F67" s="543"/>
      <c r="G67" s="543"/>
      <c r="H67" s="543"/>
      <c r="I67" s="543"/>
      <c r="J67" s="97"/>
      <c r="K67" s="391"/>
      <c r="L67" s="502" t="s">
        <v>50</v>
      </c>
      <c r="M67" s="498"/>
      <c r="N67" s="498"/>
      <c r="O67" s="408" t="s">
        <v>28</v>
      </c>
      <c r="P67" s="138">
        <v>100</v>
      </c>
      <c r="Q67" s="99">
        <f>'1'!Q67+'2'!P67+'3'!P67+'4'!P67+'5'!P67+'6'!P67+'7'!P67+'8'!P67+'9'!P67+'10'!P67+'11'!P67+'12'!P67+'13'!P67+'14'!P67+'15'!P67+'16'!P67+'17'!P67+'18'!P67+'19'!P67+'20'!P69+'21'!P67+'22'!P68+'23'!P67</f>
        <v>2507</v>
      </c>
      <c r="R67" s="399"/>
      <c r="S67" s="377" t="s">
        <v>60</v>
      </c>
      <c r="T67" s="175"/>
      <c r="U67" s="176" t="s">
        <v>151</v>
      </c>
      <c r="V67" s="177"/>
      <c r="W67" s="182">
        <f>+'22'!W68+'23'!V67</f>
        <v>0</v>
      </c>
    </row>
    <row r="68" spans="1:23" x14ac:dyDescent="0.3">
      <c r="A68" s="95" t="s">
        <v>61</v>
      </c>
      <c r="B68" s="441">
        <v>9</v>
      </c>
      <c r="C68" s="454"/>
      <c r="D68" s="463" t="s">
        <v>439</v>
      </c>
      <c r="E68" s="543"/>
      <c r="F68" s="543"/>
      <c r="G68" s="543"/>
      <c r="H68" s="543"/>
      <c r="I68" s="543"/>
      <c r="J68" s="97">
        <v>39</v>
      </c>
      <c r="K68" s="391"/>
      <c r="L68" s="468" t="s">
        <v>52</v>
      </c>
      <c r="M68" s="469"/>
      <c r="N68" s="469"/>
      <c r="O68" s="85" t="s">
        <v>28</v>
      </c>
      <c r="P68" s="141">
        <v>30</v>
      </c>
      <c r="Q68" s="86">
        <f>'1'!Q68+'2'!P68+'3'!P68+'4'!P68+'5'!P68+'6'!P68+'7'!P68+'8'!P68+'9'!P68+'10'!P68+'11'!P68+'12'!P68+'13'!P68+'14'!P68+'15'!P68+'16'!P68+'17'!P68+'18'!P68+'19'!P68+'20'!P70+'21'!P68+'22'!P69+'23'!P68</f>
        <v>413</v>
      </c>
      <c r="R68" s="409"/>
      <c r="S68" s="377" t="s">
        <v>62</v>
      </c>
      <c r="T68" s="175"/>
      <c r="U68" s="176" t="s">
        <v>151</v>
      </c>
      <c r="V68" s="177"/>
      <c r="W68" s="182">
        <f>+'22'!W69+'23'!V68</f>
        <v>3</v>
      </c>
    </row>
    <row r="69" spans="1:23" x14ac:dyDescent="0.3">
      <c r="A69" s="95" t="s">
        <v>63</v>
      </c>
      <c r="B69" s="441">
        <v>24</v>
      </c>
      <c r="C69" s="454"/>
      <c r="D69" s="463"/>
      <c r="E69" s="543"/>
      <c r="F69" s="543"/>
      <c r="G69" s="543"/>
      <c r="H69" s="543"/>
      <c r="I69" s="543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62</v>
      </c>
      <c r="Q69" s="100">
        <f>'1'!Q69+'2'!P69+'3'!P69+'4'!P69+'5'!P69+'6'!P69+'7'!P69+'8'!P69+'9'!P69+'10'!P69+'11'!P69+'12'!P69+'13'!P69+'14'!P69+'15'!P69+'16'!P69+'17'!P69+'18'!P69+'19'!P69+'20'!P71+'21'!P69+'22'!P70+'23'!P69</f>
        <v>1136</v>
      </c>
      <c r="R69" s="395"/>
      <c r="S69" s="376" t="s">
        <v>64</v>
      </c>
      <c r="T69" s="178"/>
      <c r="U69" s="179" t="s">
        <v>151</v>
      </c>
      <c r="V69" s="180"/>
      <c r="W69" s="183">
        <f>+'22'!W70+'23'!V69</f>
        <v>0</v>
      </c>
    </row>
    <row r="70" spans="1:23" x14ac:dyDescent="0.3">
      <c r="A70" s="95" t="s">
        <v>65</v>
      </c>
      <c r="B70" s="441">
        <v>22</v>
      </c>
      <c r="C70" s="454"/>
      <c r="D70" s="463" t="s">
        <v>440</v>
      </c>
      <c r="E70" s="543"/>
      <c r="F70" s="543"/>
      <c r="G70" s="543"/>
      <c r="H70" s="543"/>
      <c r="I70" s="543"/>
      <c r="J70" s="97">
        <v>8</v>
      </c>
      <c r="K70" s="407"/>
      <c r="L70" s="497" t="s">
        <v>56</v>
      </c>
      <c r="M70" s="498"/>
      <c r="N70" s="498"/>
      <c r="O70" s="408" t="s">
        <v>28</v>
      </c>
      <c r="P70" s="138">
        <v>54</v>
      </c>
      <c r="Q70" s="429">
        <f>'1'!Q70+'2'!P70+'3'!P70+'4'!P70+'5'!P70+'6'!P70+'7'!P70+'8'!P70+'9'!P70+'10'!P70+'11'!P70+'12'!P70+'13'!P70+'14'!P70+'15'!P70+'16'!P70+'17'!P70+'18'!P70+'19'!P70+'20'!P72+'21'!P70+'22'!P71+'23'!P70</f>
        <v>655</v>
      </c>
      <c r="R70" s="399">
        <f>T55*30</f>
        <v>540</v>
      </c>
    </row>
    <row r="71" spans="1:23" x14ac:dyDescent="0.3">
      <c r="A71" s="95" t="s">
        <v>67</v>
      </c>
      <c r="B71" s="441">
        <v>25</v>
      </c>
      <c r="C71" s="454"/>
      <c r="D71" s="552"/>
      <c r="E71" s="553"/>
      <c r="F71" s="553"/>
      <c r="G71" s="553"/>
      <c r="H71" s="553"/>
      <c r="I71" s="553"/>
      <c r="J71" s="97"/>
      <c r="K71" s="391"/>
      <c r="L71" s="497" t="s">
        <v>58</v>
      </c>
      <c r="M71" s="498"/>
      <c r="N71" s="498"/>
      <c r="O71" s="408" t="s">
        <v>28</v>
      </c>
      <c r="P71" s="138">
        <v>8</v>
      </c>
      <c r="Q71" s="99">
        <f>'1'!Q71+'2'!P71+'3'!P71+'4'!P71+'5'!P71+'6'!P71+'7'!P71+'8'!P71+'9'!P71+'10'!P71+'11'!P71+'12'!P71+'13'!P71+'14'!P71+'15'!P71+'16'!P71+'17'!P71+'18'!P71+'19'!P71+'20'!P73+'21'!P71+'22'!P72+'23'!P71</f>
        <v>380</v>
      </c>
      <c r="R71" s="399">
        <f>T55*25</f>
        <v>450</v>
      </c>
    </row>
    <row r="72" spans="1:23" x14ac:dyDescent="0.3">
      <c r="A72" s="95" t="s">
        <v>69</v>
      </c>
      <c r="B72" s="441">
        <v>25</v>
      </c>
      <c r="C72" s="454"/>
      <c r="D72" s="552"/>
      <c r="E72" s="553"/>
      <c r="F72" s="553"/>
      <c r="G72" s="553"/>
      <c r="H72" s="553"/>
      <c r="I72" s="553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'1'!Q72+'2'!P72+'3'!P72+'4'!P72+'5'!P72+'6'!P72+'7'!P72+'8'!P72+'9'!P72+'10'!P72+'11'!P72+'12'!P72+'13'!P72+'14'!P72+'15'!P72+'16'!P72+'17'!P72+'18'!P72+'19'!P72+'20'!P74+'21'!P72+'22'!P73+'23'!P72</f>
        <v>30</v>
      </c>
      <c r="R72" s="399">
        <f>T55*10</f>
        <v>180</v>
      </c>
    </row>
    <row r="73" spans="1:23" x14ac:dyDescent="0.3">
      <c r="A73" s="95" t="s">
        <v>71</v>
      </c>
      <c r="B73" s="441">
        <v>26</v>
      </c>
      <c r="C73" s="454"/>
      <c r="D73" s="552"/>
      <c r="E73" s="553"/>
      <c r="F73" s="553"/>
      <c r="G73" s="553"/>
      <c r="H73" s="553"/>
      <c r="I73" s="553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'1'!Q73+'2'!P73+'3'!P73+'4'!P73+'5'!P73+'6'!P73+'7'!P73+'8'!P73+'9'!P73+'10'!P73+'11'!P73+'12'!P73+'13'!P73+'14'!P73+'15'!P73+'16'!P73+'17'!P73+'18'!P73+'19'!P73+'20'!P75+'21'!P73+'22'!P74+'23'!P73</f>
        <v>71</v>
      </c>
      <c r="R73" s="399"/>
    </row>
    <row r="74" spans="1:23" x14ac:dyDescent="0.3">
      <c r="A74" s="95" t="s">
        <v>73</v>
      </c>
      <c r="B74" s="441">
        <v>20</v>
      </c>
      <c r="C74" s="454"/>
      <c r="D74" s="552" t="s">
        <v>441</v>
      </c>
      <c r="E74" s="553"/>
      <c r="F74" s="553"/>
      <c r="G74" s="553"/>
      <c r="H74" s="553"/>
      <c r="I74" s="553"/>
      <c r="J74" s="97">
        <v>17</v>
      </c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'1'!Q74+'2'!P74+'3'!P74+'4'!P74+'5'!P74+'6'!P74+'7'!P74+'8'!P74+'9'!P74+'10'!P74+'11'!P74+'12'!P74+'13'!P74+'14'!P74+'15'!P74+'16'!P74+'17'!P74+'18'!P74+'19'!P74+'20'!P76+'21'!P74+'22'!P75+'23'!P74</f>
        <v>0</v>
      </c>
      <c r="R74" s="409"/>
    </row>
    <row r="75" spans="1:23" x14ac:dyDescent="0.3">
      <c r="A75" s="95" t="s">
        <v>75</v>
      </c>
      <c r="B75" s="441">
        <v>24</v>
      </c>
      <c r="C75" s="454"/>
      <c r="D75" s="552" t="s">
        <v>442</v>
      </c>
      <c r="E75" s="553"/>
      <c r="F75" s="553"/>
      <c r="G75" s="553"/>
      <c r="H75" s="553"/>
      <c r="I75" s="553"/>
      <c r="J75" s="97">
        <v>5</v>
      </c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'1'!Q75+'2'!P75+'3'!P75+'4'!P75+'5'!P75+'6'!P75+'7'!P75+'8'!P75+'9'!P75+'10'!P75+'11'!P75+'12'!P75+'13'!P75+'14'!P75+'15'!P75+'16'!P75+'17'!P75+'18'!P75+'19'!P75+'20'!P77+'21'!P75+'22'!P76+'23'!P75</f>
        <v>25920</v>
      </c>
      <c r="R75" s="406"/>
    </row>
    <row r="76" spans="1:23" x14ac:dyDescent="0.3">
      <c r="A76" s="95" t="s">
        <v>77</v>
      </c>
      <c r="B76" s="441">
        <v>23</v>
      </c>
      <c r="C76" s="454"/>
      <c r="D76" s="552"/>
      <c r="E76" s="553"/>
      <c r="F76" s="553"/>
      <c r="G76" s="553"/>
      <c r="H76" s="553"/>
      <c r="I76" s="55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192</v>
      </c>
      <c r="Q76" s="94">
        <f>'1'!Q76+'2'!P76+'3'!P76+'4'!P76+'5'!P76+'6'!P76+'7'!P76+'8'!P76+'9'!P76+'10'!P76+'11'!P76+'12'!P76+'13'!P76+'14'!P76+'15'!P76+'16'!P76+'17'!P76+'18'!P76+'19'!P76+'20'!P78+'21'!P76+'22'!P77+'23'!P76</f>
        <v>4056</v>
      </c>
      <c r="R76" s="406"/>
    </row>
    <row r="77" spans="1:23" x14ac:dyDescent="0.3">
      <c r="A77" s="95" t="s">
        <v>79</v>
      </c>
      <c r="B77" s="441">
        <v>25</v>
      </c>
      <c r="C77" s="454"/>
      <c r="D77" s="552"/>
      <c r="E77" s="553"/>
      <c r="F77" s="553"/>
      <c r="G77" s="553"/>
      <c r="H77" s="553"/>
      <c r="I77" s="553"/>
      <c r="J77" s="97"/>
      <c r="K77" s="391"/>
      <c r="L77" s="486" t="s">
        <v>70</v>
      </c>
      <c r="M77" s="487"/>
      <c r="N77" s="488"/>
      <c r="O77" s="405" t="s">
        <v>28</v>
      </c>
      <c r="P77" s="142">
        <v>197</v>
      </c>
      <c r="Q77" s="94">
        <f>'1'!Q77+'2'!P77+'3'!P77+'4'!P77+'5'!P77+'6'!P77+'7'!P77+'8'!P77+'9'!P77+'10'!P77+'11'!P77+'12'!P77+'13'!P77+'14'!P77+'15'!P77+'16'!P77+'17'!P77+'18'!P77+'19'!P77+'20'!P79+'21'!P77+'22'!P78+'23'!P77</f>
        <v>4098</v>
      </c>
      <c r="R77" s="406"/>
    </row>
    <row r="78" spans="1:23" x14ac:dyDescent="0.3">
      <c r="A78" s="109" t="s">
        <v>82</v>
      </c>
      <c r="B78" s="442">
        <v>26</v>
      </c>
      <c r="C78" s="455"/>
      <c r="D78" s="552"/>
      <c r="E78" s="553"/>
      <c r="F78" s="553"/>
      <c r="G78" s="553"/>
      <c r="H78" s="553"/>
      <c r="I78" s="55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5</v>
      </c>
      <c r="Q78" s="94">
        <f>'1'!Q78+'2'!P78+'3'!P78+'4'!P78+'5'!P78+'6'!P78+'7'!P78+'8'!P78+'9'!P78+'10'!P78+'11'!P78+'12'!P78+'13'!P78+'14'!P78+'15'!P78+'16'!P78+'17'!P78+'18'!P78+'19'!P78+'20'!P80+'21'!P78+'22'!P79+'23'!P78</f>
        <v>42</v>
      </c>
      <c r="R78" s="406"/>
    </row>
    <row r="79" spans="1:23" x14ac:dyDescent="0.3">
      <c r="A79" s="114"/>
      <c r="B79" s="115">
        <f>SUM(B55:B78)</f>
        <v>523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192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1243</v>
      </c>
      <c r="Q79" s="94">
        <f>'1'!Q79+'2'!P79+'3'!P79+'4'!P79+'5'!P79+'6'!P79+'7'!P79+'8'!P79+'9'!P79+'10'!P79+'11'!P79+'12'!P79+'13'!P79+'14'!P79+'15'!P79+'16'!P79+'17'!P79+'18'!P79+'19'!P79+'20'!P81+'21'!P79+'22'!P80+'23'!P79</f>
        <v>21822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0.86319444444444449</v>
      </c>
      <c r="Q80" s="431">
        <f>Q79/Q75</f>
        <v>0.84189814814814812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0.86319444444444449</v>
      </c>
      <c r="Q81" s="165">
        <f>Q79/Q60</f>
        <v>0.65887681159420286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53.763572003218023</v>
      </c>
      <c r="Q82" s="150">
        <f>(C26/1000)/(Q79/60)</f>
        <v>53.203216937036018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46.40841666666666</v>
      </c>
      <c r="Q83" s="113">
        <f>(C26/1000)/(Q75/60)</f>
        <v>44.791689814814809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34379</v>
      </c>
      <c r="Q84" s="100">
        <f>'1'!Q84+'2'!P84+'3'!P84+'4'!P84+'5'!P84+'6'!P84+'7'!P84+'8'!P84+'9'!P84+'10'!P84+'11'!P84+'12'!P84+'13'!P84+'14'!P84+'15'!P84+'16'!P84+'17'!P84+'18'!P84+'19'!P84+'20'!P86+'21'!P84+'22'!P85+'23'!P84</f>
        <v>624562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31.101690468565391</v>
      </c>
      <c r="Q85" s="124">
        <f>Q84/(K27/1000)</f>
        <v>32.77671970300365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224.5</v>
      </c>
      <c r="Q86" s="100">
        <f>'1'!Q86+'2'!P86+'3'!P86+'4'!P86+'5'!P86+'6'!P86+'7'!P86+'8'!P86+'9'!P86+'10'!P86+'11'!P86+'12'!P86+'13'!P86+'14'!P86+'15'!P86+'16'!P86+'17'!P86+'18'!P86+'19'!P86+'20'!P88+'21'!P86+'22'!P87+'23'!P86</f>
        <v>3612.89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203.09867972288112</v>
      </c>
      <c r="Q87" s="124">
        <f>(Q86*1000)/(K26/1000)</f>
        <v>190.25308960045371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67</v>
      </c>
      <c r="Q88" s="100">
        <f>'1'!Q88+'2'!P88+'3'!P88+'4'!P88+'5'!P88+'6'!P88+'7'!P88+'8'!P88+'9'!P88+'10'!P88+'11'!P88+'12'!P88+'13'!P88+'14'!P88+'15'!P88+'16'!P88+'17'!P88+'18'!P88+'19'!P88+'20'!P90+'21'!P88+'22'!P89+'23'!P88</f>
        <v>2017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6.061296900415606E-2</v>
      </c>
      <c r="Q89" s="124">
        <f>Q88/(K26/1000)</f>
        <v>0.10621427215445671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pageMargins left="0.7" right="0.7" top="0.25" bottom="0.25" header="0.3" footer="0.3"/>
  <pageSetup paperSize="9" scale="78" orientation="landscape" horizontalDpi="0" verticalDpi="0" r:id="rId1"/>
  <rowBreaks count="1" manualBreakCount="1">
    <brk id="49" max="1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opLeftCell="A58" zoomScaleNormal="100" workbookViewId="0">
      <selection activeCell="D77" sqref="D77:I77"/>
    </sheetView>
  </sheetViews>
  <sheetFormatPr defaultRowHeight="16.5" x14ac:dyDescent="0.3"/>
  <cols>
    <col min="1" max="1" width="8.71093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'23'!A3:Q3+1</f>
        <v>46046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64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443</v>
      </c>
      <c r="B7" s="15">
        <v>23</v>
      </c>
      <c r="C7" s="15">
        <v>49059</v>
      </c>
      <c r="D7" s="16"/>
      <c r="E7" s="17"/>
      <c r="F7" s="28"/>
      <c r="G7" s="19" t="s">
        <v>1</v>
      </c>
      <c r="H7" s="20">
        <v>5.5</v>
      </c>
      <c r="I7" s="21" t="s">
        <v>404</v>
      </c>
      <c r="J7" s="22">
        <v>23</v>
      </c>
      <c r="K7" s="17">
        <v>48750</v>
      </c>
      <c r="L7" s="23">
        <f t="shared" ref="L7:L16" si="0">K7/C7</f>
        <v>0.99370146150553418</v>
      </c>
      <c r="M7" s="17"/>
      <c r="N7" s="22"/>
      <c r="O7" s="134"/>
      <c r="P7" s="134"/>
      <c r="Q7" s="134"/>
    </row>
    <row r="8" spans="1:17" x14ac:dyDescent="0.3">
      <c r="A8" s="24" t="s">
        <v>388</v>
      </c>
      <c r="B8" s="25">
        <v>240</v>
      </c>
      <c r="C8" s="25">
        <v>503760</v>
      </c>
      <c r="D8" s="26">
        <v>1</v>
      </c>
      <c r="E8" s="27">
        <v>2099</v>
      </c>
      <c r="F8" s="34">
        <f t="shared" ref="F8:F9" si="1">E8/C8</f>
        <v>4.1666666666666666E-3</v>
      </c>
      <c r="G8" s="29" t="s">
        <v>1</v>
      </c>
      <c r="H8" s="30">
        <v>5.5</v>
      </c>
      <c r="I8" s="31" t="s">
        <v>241</v>
      </c>
      <c r="J8" s="32">
        <v>239</v>
      </c>
      <c r="K8" s="33">
        <v>495844</v>
      </c>
      <c r="L8" s="34">
        <f t="shared" si="0"/>
        <v>0.98428616801651581</v>
      </c>
      <c r="M8" s="33"/>
      <c r="N8" s="32"/>
      <c r="O8" s="135"/>
      <c r="P8" s="135"/>
      <c r="Q8" s="135"/>
    </row>
    <row r="9" spans="1:17" x14ac:dyDescent="0.3">
      <c r="A9" s="24" t="s">
        <v>449</v>
      </c>
      <c r="B9" s="25">
        <v>152</v>
      </c>
      <c r="C9" s="25">
        <v>318440</v>
      </c>
      <c r="D9" s="26">
        <v>3</v>
      </c>
      <c r="E9" s="27">
        <v>6285</v>
      </c>
      <c r="F9" s="34">
        <f t="shared" si="1"/>
        <v>1.9736842105263157E-2</v>
      </c>
      <c r="G9" s="29" t="s">
        <v>195</v>
      </c>
      <c r="H9" s="30" t="s">
        <v>450</v>
      </c>
      <c r="I9" s="31" t="s">
        <v>262</v>
      </c>
      <c r="J9" s="32">
        <v>148</v>
      </c>
      <c r="K9" s="33">
        <v>306270</v>
      </c>
      <c r="L9" s="34">
        <f t="shared" si="0"/>
        <v>0.96178243939203623</v>
      </c>
      <c r="M9" s="33">
        <v>1</v>
      </c>
      <c r="N9" s="32">
        <v>2005</v>
      </c>
      <c r="O9" s="135"/>
      <c r="P9" s="135"/>
      <c r="Q9" s="135"/>
    </row>
    <row r="10" spans="1:17" x14ac:dyDescent="0.3">
      <c r="A10" s="35" t="s">
        <v>319</v>
      </c>
      <c r="B10" s="36">
        <v>46</v>
      </c>
      <c r="C10" s="36">
        <v>96324</v>
      </c>
      <c r="D10" s="37"/>
      <c r="E10" s="38"/>
      <c r="F10" s="28"/>
      <c r="G10" s="39" t="s">
        <v>195</v>
      </c>
      <c r="H10" s="40" t="s">
        <v>451</v>
      </c>
      <c r="I10" s="31" t="s">
        <v>202</v>
      </c>
      <c r="J10" s="41">
        <v>45</v>
      </c>
      <c r="K10" s="42">
        <v>92751</v>
      </c>
      <c r="L10" s="34">
        <f t="shared" si="0"/>
        <v>0.96290644076242682</v>
      </c>
      <c r="M10" s="33">
        <v>1</v>
      </c>
      <c r="N10" s="32">
        <v>2076</v>
      </c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461</v>
      </c>
      <c r="C16" s="48">
        <f>SUM(C7:C15)</f>
        <v>967583</v>
      </c>
      <c r="D16" s="49">
        <f>SUM(D7:D15)</f>
        <v>4</v>
      </c>
      <c r="E16" s="50">
        <f>SUM(E7:E15)</f>
        <v>8384</v>
      </c>
      <c r="F16" s="51">
        <f>E16/C16</f>
        <v>8.6648897303900543E-3</v>
      </c>
      <c r="G16" s="52"/>
      <c r="H16" s="2"/>
      <c r="I16" s="2"/>
      <c r="J16" s="53">
        <f>SUM(J7:J15)</f>
        <v>455</v>
      </c>
      <c r="K16" s="53">
        <f>SUM(K7:K15)</f>
        <v>943615</v>
      </c>
      <c r="L16" s="51">
        <f t="shared" si="0"/>
        <v>0.97522899844251087</v>
      </c>
      <c r="M16" s="50">
        <f>SUM(M7:M15)</f>
        <v>2</v>
      </c>
      <c r="N16" s="54">
        <f>SUM(N7:N15)</f>
        <v>4081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947696</v>
      </c>
      <c r="L17" s="51">
        <f>K17/C16</f>
        <v>0.97944672446704828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'23'!B22+B7+B8</f>
        <v>8266</v>
      </c>
      <c r="C22" s="57">
        <f>'23'!C22+C7+C8</f>
        <v>17467958</v>
      </c>
      <c r="D22" s="57">
        <f>'23'!D22+D7+D8</f>
        <v>15</v>
      </c>
      <c r="E22" s="57">
        <f>'23'!E22+E7+E8</f>
        <v>31699</v>
      </c>
      <c r="F22" s="423">
        <f>E22/C22</f>
        <v>1.814694081586411E-3</v>
      </c>
      <c r="G22" s="58" t="s">
        <v>1</v>
      </c>
      <c r="H22" s="59"/>
      <c r="I22" s="59"/>
      <c r="J22" s="57">
        <f>'23'!J22+J7+J8</f>
        <v>8223</v>
      </c>
      <c r="K22" s="57">
        <f>'23'!K22+K7+K8</f>
        <v>17154794</v>
      </c>
      <c r="L22" s="60">
        <f>K22/C22</f>
        <v>0.98207208879251939</v>
      </c>
      <c r="M22" s="57">
        <f>'23'!M22+M7+M8</f>
        <v>28</v>
      </c>
      <c r="N22" s="57">
        <f>'23'!N22+N7+N8</f>
        <v>57472</v>
      </c>
      <c r="O22" s="135"/>
      <c r="P22" s="135"/>
      <c r="Q22" s="135"/>
    </row>
    <row r="23" spans="1:17" x14ac:dyDescent="0.3">
      <c r="A23" s="521"/>
      <c r="B23" s="61">
        <f>'23'!B23+B9+B10</f>
        <v>1358</v>
      </c>
      <c r="C23" s="61">
        <f>'23'!C23+C9+C10</f>
        <v>2849635</v>
      </c>
      <c r="D23" s="61">
        <f>'23'!D23+D9+D10</f>
        <v>9</v>
      </c>
      <c r="E23" s="61">
        <f>'23'!E23+E9+E10</f>
        <v>18918</v>
      </c>
      <c r="F23" s="424">
        <f>E23/C23</f>
        <v>6.6387449620740899E-3</v>
      </c>
      <c r="G23" s="381" t="s">
        <v>195</v>
      </c>
      <c r="H23" s="59"/>
      <c r="I23" s="59"/>
      <c r="J23" s="61">
        <f>'23'!J23+J9+J10</f>
        <v>1343</v>
      </c>
      <c r="K23" s="61">
        <f>'23'!K23+K9+K10</f>
        <v>2778736</v>
      </c>
      <c r="L23" s="382">
        <f t="shared" ref="L23:L24" si="2">K23/C23</f>
        <v>0.97511997150512264</v>
      </c>
      <c r="M23" s="61">
        <f>'23'!M23+M9+M10</f>
        <v>6</v>
      </c>
      <c r="N23" s="61">
        <f>'23'!N23+N9+N10</f>
        <v>11743</v>
      </c>
      <c r="O23" s="135"/>
      <c r="P23" s="135"/>
      <c r="Q23" s="135"/>
    </row>
    <row r="24" spans="1:17" x14ac:dyDescent="0.3">
      <c r="A24" s="521"/>
      <c r="B24" s="61">
        <f>'23'!B24</f>
        <v>0</v>
      </c>
      <c r="C24" s="61">
        <f>'23'!C24</f>
        <v>0</v>
      </c>
      <c r="D24" s="61">
        <f>'23'!D24</f>
        <v>0</v>
      </c>
      <c r="E24" s="61">
        <f>'23'!E24</f>
        <v>0</v>
      </c>
      <c r="F24" s="424" t="e">
        <f t="shared" ref="F24" si="3">E24/C24</f>
        <v>#DIV/0!</v>
      </c>
      <c r="G24" s="381" t="s">
        <v>196</v>
      </c>
      <c r="H24" s="59"/>
      <c r="I24" s="59"/>
      <c r="J24" s="61">
        <f>'23'!J24</f>
        <v>0</v>
      </c>
      <c r="K24" s="61">
        <f>'23'!K24</f>
        <v>0</v>
      </c>
      <c r="L24" s="382" t="e">
        <f t="shared" si="2"/>
        <v>#DIV/0!</v>
      </c>
      <c r="M24" s="61">
        <f>'23'!M24</f>
        <v>0</v>
      </c>
      <c r="N24" s="61">
        <f>'23'!N24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9624</v>
      </c>
      <c r="C26" s="68">
        <f>SUM(C21:C25)</f>
        <v>20317593</v>
      </c>
      <c r="D26" s="49">
        <f>SUM(D21:D25)</f>
        <v>24</v>
      </c>
      <c r="E26" s="69">
        <f>SUM(E22:E25)</f>
        <v>50617</v>
      </c>
      <c r="F26" s="51">
        <f>E26/C26</f>
        <v>2.4912891994637357E-3</v>
      </c>
      <c r="G26" s="51"/>
      <c r="H26" s="70"/>
      <c r="I26" s="70"/>
      <c r="J26" s="71">
        <f>SUM(J22:J25)</f>
        <v>9566</v>
      </c>
      <c r="K26" s="68">
        <f>SUM(K22:K25)</f>
        <v>19933530</v>
      </c>
      <c r="L26" s="51">
        <f>K26/C26</f>
        <v>0.98109702266405274</v>
      </c>
      <c r="M26" s="71">
        <f>SUM(M22:M25)</f>
        <v>34</v>
      </c>
      <c r="N26" s="54">
        <f>SUM(N22:N25)</f>
        <v>69215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20002745</v>
      </c>
      <c r="L27" s="51">
        <f>K27/C26</f>
        <v>0.98450367619825829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'23'!A30</f>
        <v>BIC</v>
      </c>
      <c r="B30" s="307" t="str">
        <f>'23'!B30</f>
        <v>P.6</v>
      </c>
      <c r="C30" s="307" t="str">
        <f>'23'!C30</f>
        <v>BjTPG280</v>
      </c>
      <c r="D30" s="308">
        <f>'23'!D30</f>
        <v>239</v>
      </c>
      <c r="E30" s="308">
        <f>'23'!E30</f>
        <v>497038</v>
      </c>
      <c r="F30" s="79"/>
      <c r="G30" s="307" t="str">
        <f>'23'!G30</f>
        <v>WR</v>
      </c>
      <c r="H30" s="309">
        <f>'23'!H30</f>
        <v>18</v>
      </c>
      <c r="I30" s="309">
        <f>'23'!I30</f>
        <v>8</v>
      </c>
      <c r="J30" s="170">
        <f>'23'!J30</f>
        <v>68</v>
      </c>
      <c r="K30" s="310">
        <f>'23'!K30</f>
        <v>140152</v>
      </c>
      <c r="L30" s="79"/>
      <c r="M30" s="307" t="str">
        <f>'23'!M30</f>
        <v>WR</v>
      </c>
      <c r="N30" s="309">
        <f>'23'!N30</f>
        <v>0</v>
      </c>
      <c r="O30" s="309">
        <f>'23'!O30</f>
        <v>0</v>
      </c>
      <c r="P30" s="170">
        <f>'23'!P30</f>
        <v>0</v>
      </c>
      <c r="Q30" s="310">
        <f>'23'!Q30</f>
        <v>0</v>
      </c>
    </row>
    <row r="31" spans="1:17" x14ac:dyDescent="0.3">
      <c r="A31" s="307" t="str">
        <f>'23'!A31</f>
        <v>WR</v>
      </c>
      <c r="B31" s="307">
        <f>'23'!B31</f>
        <v>6.5</v>
      </c>
      <c r="C31" s="307">
        <f>'23'!C31</f>
        <v>8</v>
      </c>
      <c r="D31" s="308">
        <f>'23'!D31</f>
        <v>180</v>
      </c>
      <c r="E31" s="308">
        <f>'23'!E31</f>
        <v>377095</v>
      </c>
      <c r="F31" s="135"/>
      <c r="G31" s="307" t="str">
        <f>'23'!G31</f>
        <v>WR</v>
      </c>
      <c r="H31" s="309">
        <f>'23'!H31</f>
        <v>7.5</v>
      </c>
      <c r="I31" s="309">
        <f>'23'!I31</f>
        <v>8</v>
      </c>
      <c r="J31" s="170">
        <f>'23'!J31</f>
        <v>96</v>
      </c>
      <c r="K31" s="310">
        <f>'23'!K31</f>
        <v>200884</v>
      </c>
      <c r="L31" s="135"/>
      <c r="M31" s="307" t="str">
        <f>'23'!M31</f>
        <v>WR</v>
      </c>
      <c r="N31" s="309">
        <f>'23'!N31</f>
        <v>0</v>
      </c>
      <c r="O31" s="309">
        <f>'23'!O31</f>
        <v>0</v>
      </c>
      <c r="P31" s="170">
        <f>'23'!P31</f>
        <v>0</v>
      </c>
      <c r="Q31" s="310">
        <f>'23'!Q31</f>
        <v>0</v>
      </c>
    </row>
    <row r="32" spans="1:17" x14ac:dyDescent="0.3">
      <c r="A32" s="307" t="str">
        <f>'23'!A32</f>
        <v>WR</v>
      </c>
      <c r="B32" s="307">
        <f>'23'!B32</f>
        <v>6.5</v>
      </c>
      <c r="C32" s="307">
        <f>'23'!C32</f>
        <v>10</v>
      </c>
      <c r="D32" s="308">
        <f>'23'!D32</f>
        <v>48</v>
      </c>
      <c r="E32" s="308">
        <f>'23'!E32</f>
        <v>99149</v>
      </c>
      <c r="F32" s="135"/>
      <c r="G32" s="307" t="str">
        <f>'23'!G32</f>
        <v>WR</v>
      </c>
      <c r="H32" s="309">
        <f>'23'!H32</f>
        <v>7.5</v>
      </c>
      <c r="I32" s="309">
        <f>'23'!I32</f>
        <v>15</v>
      </c>
      <c r="J32" s="170">
        <f>'23'!J32</f>
        <v>543</v>
      </c>
      <c r="K32" s="310">
        <f>'23'!K32</f>
        <v>1124422</v>
      </c>
      <c r="L32" s="135"/>
      <c r="M32" s="307" t="str">
        <f>'23'!M32</f>
        <v>WR</v>
      </c>
      <c r="N32" s="309">
        <f>'23'!N32</f>
        <v>0</v>
      </c>
      <c r="O32" s="309">
        <f>'23'!O32</f>
        <v>0</v>
      </c>
      <c r="P32" s="170">
        <f>'23'!P32</f>
        <v>0</v>
      </c>
      <c r="Q32" s="310">
        <f>'23'!Q32</f>
        <v>0</v>
      </c>
    </row>
    <row r="33" spans="1:17" x14ac:dyDescent="0.3">
      <c r="A33" s="307" t="str">
        <f>'23'!A33</f>
        <v>WR</v>
      </c>
      <c r="B33" s="307">
        <f>'23'!B33</f>
        <v>6.5</v>
      </c>
      <c r="C33" s="307">
        <f>'23'!C33</f>
        <v>15</v>
      </c>
      <c r="D33" s="308">
        <f>'23'!D33</f>
        <v>6</v>
      </c>
      <c r="E33" s="308">
        <f>'23'!E33</f>
        <v>12304</v>
      </c>
      <c r="F33" s="135"/>
      <c r="G33" s="307" t="str">
        <f>'23'!G33</f>
        <v>WR</v>
      </c>
      <c r="H33" s="309">
        <f>'23'!H33</f>
        <v>5.5</v>
      </c>
      <c r="I33" s="309">
        <f>'23'!I33</f>
        <v>22</v>
      </c>
      <c r="J33" s="170">
        <f>'23'!J33</f>
        <v>436</v>
      </c>
      <c r="K33" s="310">
        <f>'23'!K33</f>
        <v>893285</v>
      </c>
      <c r="L33" s="135"/>
      <c r="M33" s="307" t="str">
        <f>'23'!M33</f>
        <v>WR</v>
      </c>
      <c r="N33" s="309">
        <f>'23'!N33</f>
        <v>0</v>
      </c>
      <c r="O33" s="309">
        <f>'23'!O33</f>
        <v>0</v>
      </c>
      <c r="P33" s="170">
        <f>'23'!P33</f>
        <v>0</v>
      </c>
      <c r="Q33" s="310">
        <f>'23'!Q33</f>
        <v>0</v>
      </c>
    </row>
    <row r="34" spans="1:17" x14ac:dyDescent="0.3">
      <c r="A34" s="307" t="str">
        <f>'23'!A34</f>
        <v>WR</v>
      </c>
      <c r="B34" s="307">
        <f>'23'!B34</f>
        <v>5.5</v>
      </c>
      <c r="C34" s="307">
        <f>'23'!C34</f>
        <v>6</v>
      </c>
      <c r="D34" s="308">
        <f>'23'!D34</f>
        <v>995</v>
      </c>
      <c r="E34" s="308">
        <f>'23'!E34</f>
        <v>2086453</v>
      </c>
      <c r="F34" s="135"/>
      <c r="G34" s="307" t="str">
        <f>'23'!G34</f>
        <v>WR</v>
      </c>
      <c r="H34" s="309">
        <f>'23'!H34</f>
        <v>5.5</v>
      </c>
      <c r="I34" s="309">
        <f>'23'!I34</f>
        <v>1045</v>
      </c>
      <c r="J34" s="170">
        <f>'23'!J34</f>
        <v>50</v>
      </c>
      <c r="K34" s="310">
        <f>'23'!K34</f>
        <v>104556</v>
      </c>
      <c r="L34" s="135"/>
      <c r="M34" s="307" t="str">
        <f>'23'!M34</f>
        <v>WR</v>
      </c>
      <c r="N34" s="309">
        <f>'23'!N34</f>
        <v>0</v>
      </c>
      <c r="O34" s="309">
        <f>'23'!O34</f>
        <v>0</v>
      </c>
      <c r="P34" s="170">
        <f>'23'!P34</f>
        <v>0</v>
      </c>
      <c r="Q34" s="310">
        <f>'23'!Q34</f>
        <v>0</v>
      </c>
    </row>
    <row r="35" spans="1:17" x14ac:dyDescent="0.3">
      <c r="A35" s="307" t="str">
        <f>'23'!A35</f>
        <v>WR</v>
      </c>
      <c r="B35" s="307">
        <f>'23'!B35</f>
        <v>5.5</v>
      </c>
      <c r="C35" s="307" t="str">
        <f>'23'!C35</f>
        <v>8.A</v>
      </c>
      <c r="D35" s="308">
        <f>'23'!D35</f>
        <v>75</v>
      </c>
      <c r="E35" s="308">
        <f>'23'!E35</f>
        <v>157414</v>
      </c>
      <c r="F35" s="135"/>
      <c r="G35" s="307" t="str">
        <f>'23'!G35</f>
        <v>WR</v>
      </c>
      <c r="H35" s="309">
        <f>'23'!H35</f>
        <v>9.5</v>
      </c>
      <c r="I35" s="309">
        <f>'23'!I35</f>
        <v>15</v>
      </c>
      <c r="J35" s="170">
        <f>'23'!J35</f>
        <v>322</v>
      </c>
      <c r="K35" s="310">
        <f>'23'!K35</f>
        <v>664963</v>
      </c>
      <c r="L35" s="135"/>
      <c r="M35" s="307" t="str">
        <f>'23'!M35</f>
        <v>WR</v>
      </c>
      <c r="N35" s="309">
        <f>'23'!N35</f>
        <v>0</v>
      </c>
      <c r="O35" s="309">
        <f>'23'!O35</f>
        <v>0</v>
      </c>
      <c r="P35" s="170">
        <f>'23'!P35</f>
        <v>0</v>
      </c>
      <c r="Q35" s="310">
        <f>'23'!Q35</f>
        <v>0</v>
      </c>
    </row>
    <row r="36" spans="1:17" x14ac:dyDescent="0.3">
      <c r="A36" s="307" t="str">
        <f>'23'!A36</f>
        <v>WR</v>
      </c>
      <c r="B36" s="307">
        <f>'23'!B36</f>
        <v>5.5</v>
      </c>
      <c r="C36" s="307" t="str">
        <f>'23'!C36</f>
        <v>22.A</v>
      </c>
      <c r="D36" s="308">
        <f>'23'!D36</f>
        <v>813</v>
      </c>
      <c r="E36" s="308">
        <f>'23'!E36</f>
        <v>1694379</v>
      </c>
      <c r="F36" s="135"/>
      <c r="G36" s="307" t="str">
        <f>'23'!G36</f>
        <v>WR</v>
      </c>
      <c r="H36" s="309">
        <f>'23'!H36</f>
        <v>12</v>
      </c>
      <c r="I36" s="309">
        <f>'23'!I36</f>
        <v>8</v>
      </c>
      <c r="J36" s="170">
        <f>'23'!J36</f>
        <v>143</v>
      </c>
      <c r="K36" s="310">
        <f>'23'!K36</f>
        <v>298814</v>
      </c>
      <c r="L36" s="135"/>
      <c r="M36" s="307" t="str">
        <f>'23'!M36</f>
        <v>WR</v>
      </c>
      <c r="N36" s="309">
        <f>'23'!N36</f>
        <v>0</v>
      </c>
      <c r="O36" s="309">
        <f>'23'!O36</f>
        <v>0</v>
      </c>
      <c r="P36" s="170">
        <f>'23'!P36</f>
        <v>0</v>
      </c>
      <c r="Q36" s="310">
        <f>'23'!Q36</f>
        <v>0</v>
      </c>
    </row>
    <row r="37" spans="1:17" x14ac:dyDescent="0.3">
      <c r="A37" s="307" t="str">
        <f>'23'!A37</f>
        <v>WR</v>
      </c>
      <c r="B37" s="307">
        <f>'23'!B37</f>
        <v>5.5</v>
      </c>
      <c r="C37" s="307" t="str">
        <f>'23'!C37</f>
        <v>Y.11</v>
      </c>
      <c r="D37" s="308">
        <f>'23'!D37+J8</f>
        <v>1052</v>
      </c>
      <c r="E37" s="308">
        <f>'23'!E37+K8</f>
        <v>2198500</v>
      </c>
      <c r="F37" s="135"/>
      <c r="G37" s="307" t="str">
        <f>'23'!G37</f>
        <v>WR</v>
      </c>
      <c r="H37" s="309">
        <f>'23'!H37</f>
        <v>9</v>
      </c>
      <c r="I37" s="309">
        <f>'23'!I37</f>
        <v>8</v>
      </c>
      <c r="J37" s="170">
        <f>'23'!J37</f>
        <v>191</v>
      </c>
      <c r="K37" s="310">
        <f>'23'!K37</f>
        <v>398927</v>
      </c>
      <c r="L37" s="135"/>
      <c r="M37" s="307" t="str">
        <f>'23'!M37</f>
        <v>WR</v>
      </c>
      <c r="N37" s="309">
        <f>'23'!N37</f>
        <v>0</v>
      </c>
      <c r="O37" s="309">
        <f>'23'!O37</f>
        <v>0</v>
      </c>
      <c r="P37" s="170">
        <f>'23'!P37</f>
        <v>0</v>
      </c>
      <c r="Q37" s="310">
        <f>'23'!Q37</f>
        <v>0</v>
      </c>
    </row>
    <row r="38" spans="1:17" x14ac:dyDescent="0.3">
      <c r="A38" s="307" t="str">
        <f>'23'!A38</f>
        <v>WR</v>
      </c>
      <c r="B38" s="307">
        <f>'23'!B38</f>
        <v>5.5</v>
      </c>
      <c r="C38" s="307" t="str">
        <f>'23'!C38</f>
        <v>67.A</v>
      </c>
      <c r="D38" s="308">
        <f>'23'!D38+J7</f>
        <v>312</v>
      </c>
      <c r="E38" s="308">
        <f>'23'!E38+K7</f>
        <v>660228</v>
      </c>
      <c r="F38" s="135"/>
      <c r="G38" s="307" t="str">
        <f>'23'!G38</f>
        <v>WR</v>
      </c>
      <c r="H38" s="309">
        <f>'23'!H38</f>
        <v>9</v>
      </c>
      <c r="I38" s="309">
        <f>'23'!I38</f>
        <v>10</v>
      </c>
      <c r="J38" s="170">
        <f>'23'!J38</f>
        <v>48</v>
      </c>
      <c r="K38" s="310">
        <f>'23'!K38</f>
        <v>99117</v>
      </c>
      <c r="L38" s="135"/>
      <c r="M38" s="307" t="str">
        <f>'23'!M38</f>
        <v>WR</v>
      </c>
      <c r="N38" s="309">
        <f>'23'!N38</f>
        <v>0</v>
      </c>
      <c r="O38" s="309">
        <f>'23'!O38</f>
        <v>0</v>
      </c>
      <c r="P38" s="170">
        <f>'23'!P38</f>
        <v>0</v>
      </c>
      <c r="Q38" s="310">
        <f>'23'!Q38</f>
        <v>0</v>
      </c>
    </row>
    <row r="39" spans="1:17" x14ac:dyDescent="0.3">
      <c r="A39" s="307" t="str">
        <f>'23'!A39</f>
        <v>BIC</v>
      </c>
      <c r="B39" s="307" t="str">
        <f>'23'!B39</f>
        <v>P.8</v>
      </c>
      <c r="C39" s="307" t="str">
        <f>'23'!C39</f>
        <v>BjTPG280</v>
      </c>
      <c r="D39" s="308">
        <f>'23'!D39</f>
        <v>240</v>
      </c>
      <c r="E39" s="308">
        <f>'23'!E39</f>
        <v>499780</v>
      </c>
      <c r="F39" s="135"/>
      <c r="G39" s="307" t="str">
        <f>'23'!G39</f>
        <v>WR</v>
      </c>
      <c r="H39" s="309">
        <f>'23'!H39</f>
        <v>5.5</v>
      </c>
      <c r="I39" s="309">
        <f>'23'!I39</f>
        <v>15</v>
      </c>
      <c r="J39" s="170">
        <f>'23'!J39</f>
        <v>116</v>
      </c>
      <c r="K39" s="310">
        <f>'23'!K39</f>
        <v>239659</v>
      </c>
      <c r="L39" s="135"/>
      <c r="M39" s="307" t="str">
        <f>'23'!M39</f>
        <v>WR</v>
      </c>
      <c r="N39" s="309">
        <f>'23'!N39</f>
        <v>0</v>
      </c>
      <c r="O39" s="309">
        <f>'23'!O39</f>
        <v>0</v>
      </c>
      <c r="P39" s="170">
        <f>'23'!P39</f>
        <v>0</v>
      </c>
      <c r="Q39" s="310">
        <f>'23'!Q39</f>
        <v>0</v>
      </c>
    </row>
    <row r="40" spans="1:17" x14ac:dyDescent="0.3">
      <c r="A40" s="307" t="str">
        <f>'23'!A40</f>
        <v>BIC</v>
      </c>
      <c r="B40" s="307" t="str">
        <f>'23'!B40</f>
        <v>S.8</v>
      </c>
      <c r="C40" s="307" t="str">
        <f>'23'!C40</f>
        <v>BjTSG420</v>
      </c>
      <c r="D40" s="308">
        <f>'23'!D40</f>
        <v>335</v>
      </c>
      <c r="E40" s="308">
        <f>'23'!E40</f>
        <v>688721</v>
      </c>
      <c r="F40" s="135"/>
      <c r="G40" s="307" t="str">
        <f>'23'!G40</f>
        <v>WR</v>
      </c>
      <c r="H40" s="309">
        <f>'23'!H40</f>
        <v>5.5</v>
      </c>
      <c r="I40" s="309" t="str">
        <f>'23'!I40</f>
        <v>72.A</v>
      </c>
      <c r="J40" s="170">
        <f>'23'!J40</f>
        <v>48</v>
      </c>
      <c r="K40" s="310">
        <f>'23'!K40</f>
        <v>101358</v>
      </c>
      <c r="L40" s="135"/>
      <c r="M40" s="307" t="str">
        <f>'23'!M40</f>
        <v>WR</v>
      </c>
      <c r="N40" s="309">
        <f>'23'!N40</f>
        <v>0</v>
      </c>
      <c r="O40" s="309">
        <f>'23'!O40</f>
        <v>0</v>
      </c>
      <c r="P40" s="170">
        <f>'23'!P40</f>
        <v>0</v>
      </c>
      <c r="Q40" s="310">
        <f>'23'!Q40</f>
        <v>0</v>
      </c>
    </row>
    <row r="41" spans="1:17" x14ac:dyDescent="0.3">
      <c r="A41" s="307" t="str">
        <f>'23'!A41</f>
        <v>BIC</v>
      </c>
      <c r="B41" s="307" t="str">
        <f>'23'!B41</f>
        <v>S.10</v>
      </c>
      <c r="C41" s="307" t="str">
        <f>'23'!C41</f>
        <v>BjTSG420</v>
      </c>
      <c r="D41" s="308">
        <f>'23'!D41+J9</f>
        <v>292</v>
      </c>
      <c r="E41" s="308">
        <f>'23'!E41+K9</f>
        <v>602112</v>
      </c>
      <c r="F41" s="135"/>
      <c r="G41" s="307" t="str">
        <f>'23'!G41</f>
        <v>WR</v>
      </c>
      <c r="H41" s="309">
        <f>'23'!H41</f>
        <v>12</v>
      </c>
      <c r="I41" s="309">
        <f>'23'!I41</f>
        <v>15</v>
      </c>
      <c r="J41" s="170">
        <f>'23'!J41</f>
        <v>54</v>
      </c>
      <c r="K41" s="310">
        <f>'23'!K41</f>
        <v>111148</v>
      </c>
      <c r="L41" s="135"/>
      <c r="M41" s="307" t="str">
        <f>'23'!M41</f>
        <v>WR</v>
      </c>
      <c r="N41" s="309">
        <f>'23'!N41</f>
        <v>0</v>
      </c>
      <c r="O41" s="309">
        <f>'23'!O41</f>
        <v>0</v>
      </c>
      <c r="P41" s="170">
        <f>'23'!P41</f>
        <v>0</v>
      </c>
      <c r="Q41" s="310">
        <f>'23'!Q41</f>
        <v>0</v>
      </c>
    </row>
    <row r="42" spans="1:17" x14ac:dyDescent="0.3">
      <c r="A42" s="307" t="str">
        <f>'23'!A42</f>
        <v>WR</v>
      </c>
      <c r="B42" s="307">
        <f>'23'!B42</f>
        <v>5.5</v>
      </c>
      <c r="C42" s="307">
        <f>'23'!C42</f>
        <v>8</v>
      </c>
      <c r="D42" s="308">
        <f>'23'!D42</f>
        <v>480</v>
      </c>
      <c r="E42" s="308">
        <f>'23'!E42</f>
        <v>1006478</v>
      </c>
      <c r="F42" s="135"/>
      <c r="G42" s="307" t="str">
        <f>'23'!G42</f>
        <v>WR</v>
      </c>
      <c r="H42" s="309">
        <f>'23'!H42</f>
        <v>8.5</v>
      </c>
      <c r="I42" s="309">
        <f>'23'!I42</f>
        <v>8</v>
      </c>
      <c r="J42" s="170">
        <f>'23'!J42</f>
        <v>168</v>
      </c>
      <c r="K42" s="310">
        <f>'23'!K42</f>
        <v>351899</v>
      </c>
      <c r="L42" s="135"/>
      <c r="M42" s="307" t="str">
        <f>'23'!M42</f>
        <v>WR</v>
      </c>
      <c r="N42" s="309">
        <f>'23'!N42</f>
        <v>0</v>
      </c>
      <c r="O42" s="309">
        <f>'23'!O42</f>
        <v>0</v>
      </c>
      <c r="P42" s="170">
        <f>'23'!P42</f>
        <v>0</v>
      </c>
      <c r="Q42" s="310">
        <f>'23'!Q42</f>
        <v>0</v>
      </c>
    </row>
    <row r="43" spans="1:17" x14ac:dyDescent="0.3">
      <c r="A43" s="307" t="str">
        <f>'23'!A43</f>
        <v>WR</v>
      </c>
      <c r="B43" s="307">
        <f>'23'!B43</f>
        <v>5.5</v>
      </c>
      <c r="C43" s="307" t="str">
        <f>'23'!C43</f>
        <v>67.B</v>
      </c>
      <c r="D43" s="308">
        <f>'23'!D43</f>
        <v>288</v>
      </c>
      <c r="E43" s="308">
        <f>'23'!E43</f>
        <v>609307</v>
      </c>
      <c r="F43" s="135"/>
      <c r="G43" s="307" t="str">
        <f>'23'!G43</f>
        <v>WR</v>
      </c>
      <c r="H43" s="309">
        <f>'23'!H43</f>
        <v>7</v>
      </c>
      <c r="I43" s="309">
        <f>'23'!I43</f>
        <v>6</v>
      </c>
      <c r="J43" s="170">
        <f>'23'!J43</f>
        <v>48</v>
      </c>
      <c r="K43" s="310">
        <f>'23'!K43</f>
        <v>100641</v>
      </c>
      <c r="L43" s="135"/>
      <c r="M43" s="307" t="str">
        <f>'23'!M43</f>
        <v>WR</v>
      </c>
      <c r="N43" s="309">
        <f>'23'!N43</f>
        <v>0</v>
      </c>
      <c r="O43" s="309">
        <f>'23'!O43</f>
        <v>0</v>
      </c>
      <c r="P43" s="170">
        <f>'23'!P43</f>
        <v>0</v>
      </c>
      <c r="Q43" s="310">
        <f>'23'!Q43</f>
        <v>0</v>
      </c>
    </row>
    <row r="44" spans="1:17" x14ac:dyDescent="0.3">
      <c r="A44" s="307" t="str">
        <f>'23'!A44</f>
        <v>BIC</v>
      </c>
      <c r="B44" s="307" t="str">
        <f>'23'!B44</f>
        <v>P.10</v>
      </c>
      <c r="C44" s="307" t="str">
        <f>'23'!C44</f>
        <v>BjTPG280</v>
      </c>
      <c r="D44" s="308">
        <f>'23'!D44+J10</f>
        <v>189</v>
      </c>
      <c r="E44" s="308">
        <f>'23'!E44+K10</f>
        <v>392681</v>
      </c>
      <c r="F44" s="135"/>
      <c r="G44" s="307" t="str">
        <f>'23'!G44</f>
        <v>WR</v>
      </c>
      <c r="H44" s="309">
        <f>'23'!H44</f>
        <v>7</v>
      </c>
      <c r="I44" s="309">
        <f>'23'!I44</f>
        <v>8</v>
      </c>
      <c r="J44" s="170">
        <f>'23'!J44</f>
        <v>143</v>
      </c>
      <c r="K44" s="310">
        <f>'23'!K44</f>
        <v>299375</v>
      </c>
      <c r="L44" s="135"/>
      <c r="M44" s="307" t="str">
        <f>'23'!M44</f>
        <v>WR</v>
      </c>
      <c r="N44" s="309">
        <f>'23'!N44</f>
        <v>0</v>
      </c>
      <c r="O44" s="309">
        <f>'23'!O44</f>
        <v>0</v>
      </c>
      <c r="P44" s="170">
        <f>'23'!P44</f>
        <v>0</v>
      </c>
      <c r="Q44" s="310">
        <f>'23'!Q44</f>
        <v>0</v>
      </c>
    </row>
    <row r="45" spans="1:17" x14ac:dyDescent="0.3">
      <c r="A45" s="307" t="str">
        <f>'23'!A45</f>
        <v>BIC</v>
      </c>
      <c r="B45" s="307" t="str">
        <f>'23'!B45</f>
        <v>S.6</v>
      </c>
      <c r="C45" s="307" t="str">
        <f>'23'!C45</f>
        <v>BjTSG420</v>
      </c>
      <c r="D45" s="308">
        <f>'23'!D45</f>
        <v>48</v>
      </c>
      <c r="E45" s="308">
        <f>'23'!E45</f>
        <v>98404</v>
      </c>
      <c r="F45" s="135"/>
      <c r="G45" s="307" t="str">
        <f>'23'!G45</f>
        <v>WR</v>
      </c>
      <c r="H45" s="309">
        <f>'23'!H45</f>
        <v>7</v>
      </c>
      <c r="I45" s="309">
        <f>'23'!I45</f>
        <v>10</v>
      </c>
      <c r="J45" s="170">
        <f>'23'!J45</f>
        <v>48</v>
      </c>
      <c r="K45" s="310">
        <f>'23'!K45</f>
        <v>98999</v>
      </c>
      <c r="L45" s="135"/>
      <c r="M45" s="307" t="str">
        <f>'23'!M45</f>
        <v>WR</v>
      </c>
      <c r="N45" s="309">
        <f>'23'!N45</f>
        <v>0</v>
      </c>
      <c r="O45" s="309">
        <f>'23'!O45</f>
        <v>0</v>
      </c>
      <c r="P45" s="170">
        <f>'23'!P45</f>
        <v>0</v>
      </c>
      <c r="Q45" s="310">
        <f>'23'!Q45</f>
        <v>0</v>
      </c>
    </row>
    <row r="46" spans="1:17" x14ac:dyDescent="0.3">
      <c r="A46" s="307" t="str">
        <f>'23'!A46</f>
        <v>WR</v>
      </c>
      <c r="B46" s="307">
        <f>'23'!B46</f>
        <v>17</v>
      </c>
      <c r="C46" s="307">
        <f>'23'!C46</f>
        <v>8</v>
      </c>
      <c r="D46" s="308">
        <f>'23'!D46</f>
        <v>91</v>
      </c>
      <c r="E46" s="308">
        <f>'23'!E46</f>
        <v>188048</v>
      </c>
      <c r="F46" s="135"/>
      <c r="G46" s="307" t="str">
        <f>'23'!G46</f>
        <v>WR</v>
      </c>
      <c r="H46" s="309">
        <f>'23'!H46</f>
        <v>5.5</v>
      </c>
      <c r="I46" s="309" t="str">
        <f>'23'!I46</f>
        <v>72.A</v>
      </c>
      <c r="J46" s="170">
        <f>'23'!J46</f>
        <v>96</v>
      </c>
      <c r="K46" s="310">
        <f>'23'!K46</f>
        <v>203214</v>
      </c>
      <c r="L46" s="135"/>
      <c r="M46" s="307" t="str">
        <f>'23'!M46</f>
        <v>WR</v>
      </c>
      <c r="N46" s="309">
        <f>'23'!N46</f>
        <v>0</v>
      </c>
      <c r="O46" s="309">
        <f>'23'!O46</f>
        <v>0</v>
      </c>
      <c r="P46" s="170">
        <f>'23'!P46</f>
        <v>0</v>
      </c>
      <c r="Q46" s="310">
        <f>'23'!Q46</f>
        <v>0</v>
      </c>
    </row>
    <row r="47" spans="1:17" x14ac:dyDescent="0.3">
      <c r="A47" s="307" t="str">
        <f>'23'!A47</f>
        <v>WR</v>
      </c>
      <c r="B47" s="307">
        <f>'23'!B47</f>
        <v>8.5</v>
      </c>
      <c r="C47" s="307">
        <f>'23'!C47</f>
        <v>15</v>
      </c>
      <c r="D47" s="308">
        <f>'23'!D47</f>
        <v>576</v>
      </c>
      <c r="E47" s="308">
        <f>'23'!E47</f>
        <v>1194727</v>
      </c>
      <c r="F47" s="135"/>
      <c r="G47" s="307" t="str">
        <f>'23'!G47</f>
        <v>WR</v>
      </c>
      <c r="H47" s="309">
        <f>'23'!H47</f>
        <v>5.5</v>
      </c>
      <c r="I47" s="309" t="str">
        <f>'23'!I47</f>
        <v>72.B</v>
      </c>
      <c r="J47" s="170">
        <f>'23'!J47</f>
        <v>144</v>
      </c>
      <c r="K47" s="310">
        <f>'23'!K47</f>
        <v>304424</v>
      </c>
      <c r="L47" s="135"/>
      <c r="M47" s="307" t="str">
        <f>'23'!M47</f>
        <v>WR</v>
      </c>
      <c r="N47" s="309">
        <f>'23'!N47</f>
        <v>0</v>
      </c>
      <c r="O47" s="309">
        <f>'23'!O47</f>
        <v>0</v>
      </c>
      <c r="P47" s="170">
        <f>'23'!P47</f>
        <v>0</v>
      </c>
      <c r="Q47" s="310">
        <f>'23'!Q47</f>
        <v>0</v>
      </c>
    </row>
    <row r="48" spans="1:17" x14ac:dyDescent="0.3">
      <c r="A48" s="307" t="str">
        <f>'23'!A48</f>
        <v>WR</v>
      </c>
      <c r="B48" s="307">
        <f>'23'!B48</f>
        <v>6.5</v>
      </c>
      <c r="C48" s="307">
        <f>'23'!C48</f>
        <v>8</v>
      </c>
      <c r="D48" s="308">
        <f>'23'!D48</f>
        <v>264</v>
      </c>
      <c r="E48" s="308">
        <f>'23'!E48</f>
        <v>552714</v>
      </c>
      <c r="F48" s="135"/>
      <c r="G48" s="307" t="str">
        <f>'23'!G48</f>
        <v>WR</v>
      </c>
      <c r="H48" s="309">
        <f>'23'!H48</f>
        <v>0</v>
      </c>
      <c r="I48" s="309">
        <f>'23'!I48</f>
        <v>0</v>
      </c>
      <c r="J48" s="170">
        <f>'23'!J48</f>
        <v>0</v>
      </c>
      <c r="K48" s="310">
        <f>'23'!K48</f>
        <v>0</v>
      </c>
      <c r="L48" s="135"/>
      <c r="M48" s="307" t="str">
        <f>'23'!M48</f>
        <v>WR</v>
      </c>
      <c r="N48" s="309">
        <f>'23'!N48</f>
        <v>0</v>
      </c>
      <c r="O48" s="309">
        <f>'23'!O48</f>
        <v>0</v>
      </c>
      <c r="P48" s="170">
        <f>'23'!P48</f>
        <v>0</v>
      </c>
      <c r="Q48" s="310">
        <f>'23'!Q48</f>
        <v>0</v>
      </c>
    </row>
    <row r="49" spans="1:23" x14ac:dyDescent="0.3">
      <c r="A49" s="307" t="str">
        <f>'23'!A49</f>
        <v>WR</v>
      </c>
      <c r="B49" s="307">
        <f>'23'!B49</f>
        <v>6.5</v>
      </c>
      <c r="C49" s="307">
        <f>'23'!C49</f>
        <v>15</v>
      </c>
      <c r="D49" s="308">
        <f>'23'!D49</f>
        <v>281</v>
      </c>
      <c r="E49" s="308">
        <f>'23'!E49</f>
        <v>582161</v>
      </c>
      <c r="F49" s="3"/>
      <c r="G49" s="307" t="str">
        <f>'23'!G49</f>
        <v>WR</v>
      </c>
      <c r="H49" s="309">
        <f>'23'!H49</f>
        <v>0</v>
      </c>
      <c r="I49" s="309">
        <f>'23'!I49</f>
        <v>0</v>
      </c>
      <c r="J49" s="170">
        <f>'23'!J49</f>
        <v>0</v>
      </c>
      <c r="K49" s="310">
        <f>'23'!K49</f>
        <v>0</v>
      </c>
      <c r="L49" s="3"/>
      <c r="M49" s="307" t="str">
        <f>'23'!M49</f>
        <v>WR</v>
      </c>
      <c r="N49" s="309">
        <f>'23'!N49</f>
        <v>0</v>
      </c>
      <c r="O49" s="309">
        <f>'23'!O49</f>
        <v>0</v>
      </c>
      <c r="P49" s="170">
        <f>'23'!P49</f>
        <v>0</v>
      </c>
      <c r="Q49" s="310">
        <f>'23'!Q49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46046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452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40">
        <v>22</v>
      </c>
      <c r="C55" s="453"/>
      <c r="D55" s="494" t="s">
        <v>348</v>
      </c>
      <c r="E55" s="495"/>
      <c r="F55" s="495"/>
      <c r="G55" s="495"/>
      <c r="H55" s="495"/>
      <c r="I55" s="496"/>
      <c r="J55" s="97">
        <v>7</v>
      </c>
      <c r="K55" s="391"/>
      <c r="L55" s="466" t="s">
        <v>26</v>
      </c>
      <c r="M55" s="467"/>
      <c r="N55" s="467"/>
      <c r="O55" s="392" t="s">
        <v>13</v>
      </c>
      <c r="P55" s="393">
        <f>C16</f>
        <v>967583</v>
      </c>
      <c r="Q55" s="394">
        <f>C26</f>
        <v>20317593</v>
      </c>
      <c r="R55" s="395"/>
      <c r="S55" s="388">
        <f>DAY(A52)</f>
        <v>24</v>
      </c>
      <c r="T55" s="383">
        <f>S55-U55</f>
        <v>19</v>
      </c>
      <c r="U55" s="383">
        <f>'23'!U55</f>
        <v>5</v>
      </c>
    </row>
    <row r="56" spans="1:23" x14ac:dyDescent="0.3">
      <c r="A56" s="95" t="s">
        <v>37</v>
      </c>
      <c r="B56" s="441">
        <v>2</v>
      </c>
      <c r="C56" s="454"/>
      <c r="D56" s="494" t="s">
        <v>453</v>
      </c>
      <c r="E56" s="495"/>
      <c r="F56" s="495"/>
      <c r="G56" s="495"/>
      <c r="H56" s="495"/>
      <c r="I56" s="496"/>
      <c r="J56" s="97">
        <v>52</v>
      </c>
      <c r="K56" s="391"/>
      <c r="L56" s="502" t="s">
        <v>191</v>
      </c>
      <c r="M56" s="498"/>
      <c r="N56" s="498"/>
      <c r="O56" s="396" t="s">
        <v>13</v>
      </c>
      <c r="P56" s="397">
        <f>K17</f>
        <v>947696</v>
      </c>
      <c r="Q56" s="398">
        <f>K27</f>
        <v>20002745</v>
      </c>
      <c r="R56" s="399"/>
    </row>
    <row r="57" spans="1:23" x14ac:dyDescent="0.3">
      <c r="A57" s="95" t="s">
        <v>39</v>
      </c>
      <c r="B57" s="441">
        <v>26</v>
      </c>
      <c r="C57" s="454"/>
      <c r="D57" s="498"/>
      <c r="E57" s="498"/>
      <c r="F57" s="498"/>
      <c r="G57" s="498"/>
      <c r="H57" s="498"/>
      <c r="I57" s="498"/>
      <c r="J57" s="97"/>
      <c r="K57" s="391"/>
      <c r="L57" s="468" t="s">
        <v>19</v>
      </c>
      <c r="M57" s="469"/>
      <c r="N57" s="469"/>
      <c r="O57" s="400" t="s">
        <v>14</v>
      </c>
      <c r="P57" s="401">
        <f>L17</f>
        <v>0.97944672446704828</v>
      </c>
      <c r="Q57" s="430">
        <f>L27</f>
        <v>0.98450367619825829</v>
      </c>
      <c r="R57" s="403">
        <v>0.98499999999999999</v>
      </c>
    </row>
    <row r="58" spans="1:23" x14ac:dyDescent="0.3">
      <c r="A58" s="95" t="s">
        <v>41</v>
      </c>
      <c r="B58" s="441">
        <v>26</v>
      </c>
      <c r="C58" s="454"/>
      <c r="D58" s="498"/>
      <c r="E58" s="498"/>
      <c r="F58" s="498"/>
      <c r="G58" s="498"/>
      <c r="H58" s="498"/>
      <c r="I58" s="498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8384</v>
      </c>
      <c r="Q58" s="394">
        <f>E26</f>
        <v>50617</v>
      </c>
      <c r="R58" s="395"/>
    </row>
    <row r="59" spans="1:23" x14ac:dyDescent="0.3">
      <c r="A59" s="95" t="s">
        <v>43</v>
      </c>
      <c r="B59" s="441">
        <v>24</v>
      </c>
      <c r="C59" s="454"/>
      <c r="D59" s="498" t="s">
        <v>454</v>
      </c>
      <c r="E59" s="498"/>
      <c r="F59" s="498"/>
      <c r="G59" s="498"/>
      <c r="H59" s="498"/>
      <c r="I59" s="498"/>
      <c r="J59" s="97">
        <v>4</v>
      </c>
      <c r="K59" s="391"/>
      <c r="L59" s="509"/>
      <c r="M59" s="510"/>
      <c r="N59" s="510"/>
      <c r="O59" s="400" t="s">
        <v>14</v>
      </c>
      <c r="P59" s="401">
        <f>F16</f>
        <v>8.6648897303900543E-3</v>
      </c>
      <c r="Q59" s="430">
        <f>F26</f>
        <v>2.4912891994637357E-3</v>
      </c>
      <c r="R59" s="404">
        <v>1.5E-3</v>
      </c>
    </row>
    <row r="60" spans="1:23" x14ac:dyDescent="0.3">
      <c r="A60" s="95" t="s">
        <v>45</v>
      </c>
      <c r="B60" s="441">
        <v>24</v>
      </c>
      <c r="C60" s="454"/>
      <c r="D60" s="498" t="s">
        <v>455</v>
      </c>
      <c r="E60" s="498"/>
      <c r="F60" s="498"/>
      <c r="G60" s="498"/>
      <c r="H60" s="498"/>
      <c r="I60" s="498"/>
      <c r="J60" s="97">
        <v>6</v>
      </c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'1'!Q60+'2'!P60+'3'!P60+'4'!P60+'5'!P60+'6'!P60+'7'!P60+'8'!P60+'9'!P60+'10'!P60+'11'!P60+'12'!P60+'13'!P60+'14'!P60+'15'!P60+'16'!P60+'17'!P60+'18'!P60+'19'!P60+'20'!P62+'21'!P60+'22'!P61+'23'!P60+'24'!P60</f>
        <v>34560</v>
      </c>
      <c r="R60" s="406"/>
    </row>
    <row r="61" spans="1:23" x14ac:dyDescent="0.3">
      <c r="A61" s="95" t="s">
        <v>47</v>
      </c>
      <c r="B61" s="441">
        <v>24</v>
      </c>
      <c r="C61" s="454"/>
      <c r="D61" s="498" t="s">
        <v>348</v>
      </c>
      <c r="E61" s="498"/>
      <c r="F61" s="498"/>
      <c r="G61" s="498"/>
      <c r="H61" s="498"/>
      <c r="I61" s="498"/>
      <c r="J61" s="97">
        <v>4</v>
      </c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'1'!Q61+'2'!P61+'3'!P61+'4'!P61+'5'!P61+'6'!P61+'7'!P61+'8'!P61+'9'!P61+'10'!P61+'11'!P61+'12'!P61+'13'!P61+'14'!P61+'15'!P61+'16'!P61+'17'!P61+'18'!P61+'19'!P61+'20'!P63+'21'!P61+'22'!P62+'23'!P61+'24'!P61</f>
        <v>7200</v>
      </c>
      <c r="R61" s="395"/>
    </row>
    <row r="62" spans="1:23" x14ac:dyDescent="0.3">
      <c r="A62" s="95" t="s">
        <v>49</v>
      </c>
      <c r="B62" s="441">
        <v>26</v>
      </c>
      <c r="C62" s="454"/>
      <c r="D62" s="498"/>
      <c r="E62" s="498"/>
      <c r="F62" s="498"/>
      <c r="G62" s="498"/>
      <c r="H62" s="498"/>
      <c r="I62" s="498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'1'!Q62+'2'!P62+'3'!P62+'4'!P62+'5'!P62+'6'!P62+'7'!P62+'8'!P62+'9'!P62+'10'!P62+'11'!P62+'12'!P62+'13'!P62+'14'!P62+'15'!P62+'16'!P62+'17'!P62+'18'!P62+'19'!P62+'20'!P64+'21'!P62+'22'!P63+'23'!P62+'24'!P62</f>
        <v>7200</v>
      </c>
      <c r="R62" s="399"/>
    </row>
    <row r="63" spans="1:23" x14ac:dyDescent="0.3">
      <c r="A63" s="95" t="s">
        <v>51</v>
      </c>
      <c r="B63" s="441">
        <v>19</v>
      </c>
      <c r="C63" s="454">
        <v>1</v>
      </c>
      <c r="D63" s="498" t="s">
        <v>456</v>
      </c>
      <c r="E63" s="498"/>
      <c r="F63" s="498"/>
      <c r="G63" s="498"/>
      <c r="H63" s="498"/>
      <c r="I63" s="498"/>
      <c r="J63" s="97">
        <v>16</v>
      </c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'1'!Q63+'2'!P63+'3'!P63+'4'!P63+'5'!P63+'6'!P63+'7'!P63+'8'!P63+'9'!P63+'10'!P63+'11'!P63+'12'!P63+'13'!P63+'14'!P63+'15'!P63+'16'!P63+'17'!P63+'18'!P63+'19'!P63+'20'!P65+'21'!P63+'22'!P64+'23'!P63+'24'!P63</f>
        <v>0</v>
      </c>
      <c r="R63" s="399"/>
    </row>
    <row r="64" spans="1:23" x14ac:dyDescent="0.3">
      <c r="A64" s="95" t="s">
        <v>53</v>
      </c>
      <c r="B64" s="441">
        <v>25</v>
      </c>
      <c r="C64" s="454"/>
      <c r="D64" s="552"/>
      <c r="E64" s="553"/>
      <c r="F64" s="553"/>
      <c r="G64" s="553"/>
      <c r="H64" s="553"/>
      <c r="I64" s="55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'1'!Q64+'2'!P64+'3'!P64+'4'!P64+'5'!P64+'6'!P64+'7'!P64+'8'!P64+'9'!P64+'10'!P64+'11'!P64+'12'!P64+'13'!P64+'14'!P64+'15'!P64+'16'!P64+'17'!P64+'18'!P64+'19'!P64+'20'!P66+'21'!P64+'22'!P65+'23'!P64+'24'!P64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41">
        <v>26</v>
      </c>
      <c r="C65" s="454"/>
      <c r="D65" s="552" t="s">
        <v>457</v>
      </c>
      <c r="E65" s="553"/>
      <c r="F65" s="553"/>
      <c r="G65" s="553"/>
      <c r="H65" s="553"/>
      <c r="I65" s="553"/>
      <c r="J65" s="97">
        <v>2</v>
      </c>
      <c r="K65" s="391"/>
      <c r="L65" s="466" t="s">
        <v>46</v>
      </c>
      <c r="M65" s="467"/>
      <c r="N65" s="467"/>
      <c r="O65" s="106" t="s">
        <v>28</v>
      </c>
      <c r="P65" s="126">
        <f>SUM(P66:P68)</f>
        <v>180</v>
      </c>
      <c r="Q65" s="100">
        <f>'1'!Q65+'2'!P65+'3'!P65+'4'!P65+'5'!P65+'6'!P65+'7'!P65+'8'!P65+'9'!P65+'10'!P65+'11'!P65+'12'!P65+'13'!P65+'14'!P65+'15'!P65+'16'!P65+'17'!P65+'18'!P65+'19'!P65+'20'!P67+'21'!P65+'22'!P66+'23'!P65+'24'!P65</f>
        <v>3100</v>
      </c>
      <c r="R65" s="395"/>
      <c r="S65" s="171" t="s">
        <v>56</v>
      </c>
      <c r="T65" s="172"/>
      <c r="U65" s="173" t="s">
        <v>151</v>
      </c>
      <c r="V65" s="174">
        <v>4</v>
      </c>
      <c r="W65" s="181">
        <f>+'23'!W65+'24'!V65</f>
        <v>14</v>
      </c>
    </row>
    <row r="66" spans="1:23" x14ac:dyDescent="0.3">
      <c r="A66" s="95" t="s">
        <v>57</v>
      </c>
      <c r="B66" s="441">
        <v>19</v>
      </c>
      <c r="C66" s="454"/>
      <c r="D66" s="463" t="s">
        <v>458</v>
      </c>
      <c r="E66" s="543"/>
      <c r="F66" s="543"/>
      <c r="G66" s="543"/>
      <c r="H66" s="543"/>
      <c r="I66" s="543"/>
      <c r="J66" s="97">
        <v>7</v>
      </c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'1'!Q66+'2'!P66+'3'!P66+'4'!P66+'5'!P66+'6'!P66+'7'!P66+'8'!P66+'9'!P66+'10'!P66+'11'!P66+'12'!P66+'13'!P66+'14'!P66+'15'!P66+'16'!P66+'17'!P66+'18'!P66+'19'!P66+'20'!P68+'21'!P66+'22'!P67+'23'!P66+'24'!P66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+'23'!W66+'24'!V66</f>
        <v>7</v>
      </c>
    </row>
    <row r="67" spans="1:23" x14ac:dyDescent="0.3">
      <c r="A67" s="95" t="s">
        <v>59</v>
      </c>
      <c r="B67" s="441">
        <v>0</v>
      </c>
      <c r="C67" s="454"/>
      <c r="D67" s="463" t="s">
        <v>459</v>
      </c>
      <c r="E67" s="543"/>
      <c r="F67" s="543"/>
      <c r="G67" s="543"/>
      <c r="H67" s="543"/>
      <c r="I67" s="543"/>
      <c r="J67" s="97">
        <v>60</v>
      </c>
      <c r="K67" s="391"/>
      <c r="L67" s="502" t="s">
        <v>50</v>
      </c>
      <c r="M67" s="498"/>
      <c r="N67" s="498"/>
      <c r="O67" s="408" t="s">
        <v>28</v>
      </c>
      <c r="P67" s="138">
        <v>157</v>
      </c>
      <c r="Q67" s="99">
        <f>'1'!Q67+'2'!P67+'3'!P67+'4'!P67+'5'!P67+'6'!P67+'7'!P67+'8'!P67+'9'!P67+'10'!P67+'11'!P67+'12'!P67+'13'!P67+'14'!P67+'15'!P67+'16'!P67+'17'!P67+'18'!P67+'19'!P67+'20'!P69+'21'!P67+'22'!P68+'23'!P67+'24'!P67</f>
        <v>2664</v>
      </c>
      <c r="R67" s="399"/>
      <c r="S67" s="377" t="s">
        <v>60</v>
      </c>
      <c r="T67" s="175"/>
      <c r="U67" s="176" t="s">
        <v>151</v>
      </c>
      <c r="V67" s="177"/>
      <c r="W67" s="182">
        <f>+'23'!W67+'24'!V67</f>
        <v>0</v>
      </c>
    </row>
    <row r="68" spans="1:23" x14ac:dyDescent="0.3">
      <c r="A68" s="95" t="s">
        <v>61</v>
      </c>
      <c r="B68" s="441">
        <v>7</v>
      </c>
      <c r="C68" s="454">
        <v>2</v>
      </c>
      <c r="D68" s="463" t="s">
        <v>460</v>
      </c>
      <c r="E68" s="543"/>
      <c r="F68" s="543"/>
      <c r="G68" s="543"/>
      <c r="H68" s="543"/>
      <c r="I68" s="543"/>
      <c r="J68" s="97">
        <v>45</v>
      </c>
      <c r="K68" s="391"/>
      <c r="L68" s="468" t="s">
        <v>52</v>
      </c>
      <c r="M68" s="469"/>
      <c r="N68" s="469"/>
      <c r="O68" s="85" t="s">
        <v>28</v>
      </c>
      <c r="P68" s="141">
        <v>23</v>
      </c>
      <c r="Q68" s="86">
        <f>'1'!Q68+'2'!P68+'3'!P68+'4'!P68+'5'!P68+'6'!P68+'7'!P68+'8'!P68+'9'!P68+'10'!P68+'11'!P68+'12'!P68+'13'!P68+'14'!P68+'15'!P68+'16'!P68+'17'!P68+'18'!P68+'19'!P68+'20'!P70+'21'!P68+'22'!P69+'23'!P68+'24'!P68</f>
        <v>436</v>
      </c>
      <c r="R68" s="409"/>
      <c r="S68" s="377" t="s">
        <v>62</v>
      </c>
      <c r="T68" s="175"/>
      <c r="U68" s="176" t="s">
        <v>151</v>
      </c>
      <c r="V68" s="177"/>
      <c r="W68" s="182">
        <f>+'23'!W68+'24'!V68</f>
        <v>3</v>
      </c>
    </row>
    <row r="69" spans="1:23" x14ac:dyDescent="0.3">
      <c r="A69" s="95" t="s">
        <v>63</v>
      </c>
      <c r="B69" s="441">
        <v>1</v>
      </c>
      <c r="C69" s="454">
        <v>1</v>
      </c>
      <c r="D69" s="498" t="s">
        <v>456</v>
      </c>
      <c r="E69" s="498"/>
      <c r="F69" s="498"/>
      <c r="G69" s="498"/>
      <c r="H69" s="498"/>
      <c r="I69" s="498"/>
      <c r="J69" s="97">
        <v>57</v>
      </c>
      <c r="K69" s="391"/>
      <c r="L69" s="466" t="s">
        <v>54</v>
      </c>
      <c r="M69" s="467"/>
      <c r="N69" s="467"/>
      <c r="O69" s="106" t="s">
        <v>28</v>
      </c>
      <c r="P69" s="100">
        <f>SUM(P70:P74)</f>
        <v>156</v>
      </c>
      <c r="Q69" s="100">
        <f>'1'!Q69+'2'!P69+'3'!P69+'4'!P69+'5'!P69+'6'!P69+'7'!P69+'8'!P69+'9'!P69+'10'!P69+'11'!P69+'12'!P69+'13'!P69+'14'!P69+'15'!P69+'16'!P69+'17'!P69+'18'!P69+'19'!P69+'20'!P71+'21'!P69+'22'!P70+'23'!P69+'24'!P69</f>
        <v>1292</v>
      </c>
      <c r="R69" s="395"/>
      <c r="S69" s="376" t="s">
        <v>64</v>
      </c>
      <c r="T69" s="178"/>
      <c r="U69" s="179" t="s">
        <v>151</v>
      </c>
      <c r="V69" s="180"/>
      <c r="W69" s="183">
        <f>+'23'!W69+'24'!V69</f>
        <v>0</v>
      </c>
    </row>
    <row r="70" spans="1:23" x14ac:dyDescent="0.3">
      <c r="A70" s="95" t="s">
        <v>65</v>
      </c>
      <c r="B70" s="441">
        <v>16</v>
      </c>
      <c r="C70" s="454"/>
      <c r="D70" s="498" t="s">
        <v>477</v>
      </c>
      <c r="E70" s="498"/>
      <c r="F70" s="498"/>
      <c r="G70" s="498"/>
      <c r="H70" s="498"/>
      <c r="I70" s="498"/>
      <c r="J70" s="97">
        <v>21</v>
      </c>
      <c r="K70" s="407"/>
      <c r="L70" s="497" t="s">
        <v>56</v>
      </c>
      <c r="M70" s="498"/>
      <c r="N70" s="498"/>
      <c r="O70" s="408" t="s">
        <v>28</v>
      </c>
      <c r="P70" s="138">
        <v>144</v>
      </c>
      <c r="Q70" s="429">
        <f>'1'!Q70+'2'!P70+'3'!P70+'4'!P70+'5'!P70+'6'!P70+'7'!P70+'8'!P70+'9'!P70+'10'!P70+'11'!P70+'12'!P70+'13'!P70+'14'!P70+'15'!P70+'16'!P70+'17'!P70+'18'!P70+'19'!P70+'20'!P72+'21'!P70+'22'!P71+'23'!P70+'24'!P70</f>
        <v>799</v>
      </c>
      <c r="R70" s="399">
        <f>T55*30</f>
        <v>570</v>
      </c>
    </row>
    <row r="71" spans="1:23" x14ac:dyDescent="0.3">
      <c r="A71" s="95" t="s">
        <v>67</v>
      </c>
      <c r="B71" s="441">
        <v>24</v>
      </c>
      <c r="C71" s="454"/>
      <c r="D71" s="552"/>
      <c r="E71" s="553"/>
      <c r="F71" s="553"/>
      <c r="G71" s="553"/>
      <c r="H71" s="553"/>
      <c r="I71" s="553"/>
      <c r="J71" s="97"/>
      <c r="K71" s="391"/>
      <c r="L71" s="497" t="s">
        <v>58</v>
      </c>
      <c r="M71" s="498"/>
      <c r="N71" s="498"/>
      <c r="O71" s="408" t="s">
        <v>28</v>
      </c>
      <c r="P71" s="138">
        <v>12</v>
      </c>
      <c r="Q71" s="99">
        <f>'1'!Q71+'2'!P71+'3'!P71+'4'!P71+'5'!P71+'6'!P71+'7'!P71+'8'!P71+'9'!P71+'10'!P71+'11'!P71+'12'!P71+'13'!P71+'14'!P71+'15'!P71+'16'!P71+'17'!P71+'18'!P71+'19'!P71+'20'!P73+'21'!P71+'22'!P72+'23'!P71+'24'!P71</f>
        <v>392</v>
      </c>
      <c r="R71" s="399">
        <f>T55*25</f>
        <v>475</v>
      </c>
    </row>
    <row r="72" spans="1:23" x14ac:dyDescent="0.3">
      <c r="A72" s="95" t="s">
        <v>69</v>
      </c>
      <c r="B72" s="441">
        <v>24</v>
      </c>
      <c r="C72" s="454"/>
      <c r="D72" s="552"/>
      <c r="E72" s="553"/>
      <c r="F72" s="553"/>
      <c r="G72" s="553"/>
      <c r="H72" s="553"/>
      <c r="I72" s="553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'1'!Q72+'2'!P72+'3'!P72+'4'!P72+'5'!P72+'6'!P72+'7'!P72+'8'!P72+'9'!P72+'10'!P72+'11'!P72+'12'!P72+'13'!P72+'14'!P72+'15'!P72+'16'!P72+'17'!P72+'18'!P72+'19'!P72+'20'!P74+'21'!P72+'22'!P73+'23'!P72+'24'!P72</f>
        <v>30</v>
      </c>
      <c r="R72" s="399">
        <f>T55*10</f>
        <v>190</v>
      </c>
    </row>
    <row r="73" spans="1:23" x14ac:dyDescent="0.3">
      <c r="A73" s="95" t="s">
        <v>71</v>
      </c>
      <c r="B73" s="441">
        <v>23</v>
      </c>
      <c r="C73" s="454"/>
      <c r="D73" s="552"/>
      <c r="E73" s="553"/>
      <c r="F73" s="553"/>
      <c r="G73" s="553"/>
      <c r="H73" s="553"/>
      <c r="I73" s="553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'1'!Q73+'2'!P73+'3'!P73+'4'!P73+'5'!P73+'6'!P73+'7'!P73+'8'!P73+'9'!P73+'10'!P73+'11'!P73+'12'!P73+'13'!P73+'14'!P73+'15'!P73+'16'!P73+'17'!P73+'18'!P73+'19'!P73+'20'!P75+'21'!P73+'22'!P74+'23'!P73+'24'!P73</f>
        <v>71</v>
      </c>
      <c r="R73" s="399"/>
    </row>
    <row r="74" spans="1:23" x14ac:dyDescent="0.3">
      <c r="A74" s="95" t="s">
        <v>73</v>
      </c>
      <c r="B74" s="441">
        <v>24</v>
      </c>
      <c r="C74" s="454"/>
      <c r="D74" s="552"/>
      <c r="E74" s="553"/>
      <c r="F74" s="553"/>
      <c r="G74" s="553"/>
      <c r="H74" s="553"/>
      <c r="I74" s="553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'1'!Q74+'2'!P74+'3'!P74+'4'!P74+'5'!P74+'6'!P74+'7'!P74+'8'!P74+'9'!P74+'10'!P74+'11'!P74+'12'!P74+'13'!P74+'14'!P74+'15'!P74+'16'!P74+'17'!P74+'18'!P74+'19'!P74+'20'!P76+'21'!P74+'22'!P75+'23'!P74+'24'!P74</f>
        <v>0</v>
      </c>
      <c r="R74" s="409"/>
    </row>
    <row r="75" spans="1:23" x14ac:dyDescent="0.3">
      <c r="A75" s="95" t="s">
        <v>75</v>
      </c>
      <c r="B75" s="441">
        <v>24</v>
      </c>
      <c r="C75" s="454"/>
      <c r="D75" s="552"/>
      <c r="E75" s="553"/>
      <c r="F75" s="553"/>
      <c r="G75" s="553"/>
      <c r="H75" s="553"/>
      <c r="I75" s="55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'1'!Q75+'2'!P75+'3'!P75+'4'!P75+'5'!P75+'6'!P75+'7'!P75+'8'!P75+'9'!P75+'10'!P75+'11'!P75+'12'!P75+'13'!P75+'14'!P75+'15'!P75+'16'!P75+'17'!P75+'18'!P75+'19'!P75+'20'!P77+'21'!P75+'22'!P76+'23'!P75+'24'!P75</f>
        <v>27360</v>
      </c>
      <c r="R75" s="406"/>
    </row>
    <row r="76" spans="1:23" x14ac:dyDescent="0.3">
      <c r="A76" s="95" t="s">
        <v>77</v>
      </c>
      <c r="B76" s="441">
        <v>9</v>
      </c>
      <c r="C76" s="454"/>
      <c r="D76" s="552" t="s">
        <v>461</v>
      </c>
      <c r="E76" s="553"/>
      <c r="F76" s="553"/>
      <c r="G76" s="553"/>
      <c r="H76" s="553"/>
      <c r="I76" s="553"/>
      <c r="J76" s="97">
        <v>35</v>
      </c>
      <c r="K76" s="391"/>
      <c r="L76" s="489" t="s">
        <v>68</v>
      </c>
      <c r="M76" s="490"/>
      <c r="N76" s="490"/>
      <c r="O76" s="405" t="s">
        <v>28</v>
      </c>
      <c r="P76" s="94">
        <f>P65+P69</f>
        <v>336</v>
      </c>
      <c r="Q76" s="94">
        <f>'1'!Q76+'2'!P76+'3'!P76+'4'!P76+'5'!P76+'6'!P76+'7'!P76+'8'!P76+'9'!P76+'10'!P76+'11'!P76+'12'!P76+'13'!P76+'14'!P76+'15'!P76+'16'!P76+'17'!P76+'18'!P76+'19'!P76+'20'!P78+'21'!P76+'22'!P77+'23'!P76+'24'!P76</f>
        <v>4392</v>
      </c>
      <c r="R76" s="406"/>
    </row>
    <row r="77" spans="1:23" x14ac:dyDescent="0.3">
      <c r="A77" s="95" t="s">
        <v>79</v>
      </c>
      <c r="B77" s="441">
        <v>18</v>
      </c>
      <c r="C77" s="454"/>
      <c r="D77" s="552" t="s">
        <v>462</v>
      </c>
      <c r="E77" s="553"/>
      <c r="F77" s="553"/>
      <c r="G77" s="553"/>
      <c r="H77" s="553"/>
      <c r="I77" s="553"/>
      <c r="J77" s="97">
        <v>20</v>
      </c>
      <c r="K77" s="391"/>
      <c r="L77" s="486" t="s">
        <v>70</v>
      </c>
      <c r="M77" s="487"/>
      <c r="N77" s="488"/>
      <c r="O77" s="405" t="s">
        <v>28</v>
      </c>
      <c r="P77" s="142">
        <v>339</v>
      </c>
      <c r="Q77" s="94">
        <f>'1'!Q77+'2'!P77+'3'!P77+'4'!P77+'5'!P77+'6'!P77+'7'!P77+'8'!P77+'9'!P77+'10'!P77+'11'!P77+'12'!P77+'13'!P77+'14'!P77+'15'!P77+'16'!P77+'17'!P77+'18'!P77+'19'!P77+'20'!P79+'21'!P77+'22'!P78+'23'!P77+'24'!P77</f>
        <v>4437</v>
      </c>
      <c r="R77" s="406"/>
    </row>
    <row r="78" spans="1:23" x14ac:dyDescent="0.3">
      <c r="A78" s="109" t="s">
        <v>82</v>
      </c>
      <c r="B78" s="442">
        <v>28</v>
      </c>
      <c r="C78" s="455"/>
      <c r="D78" s="498"/>
      <c r="E78" s="498"/>
      <c r="F78" s="498"/>
      <c r="G78" s="498"/>
      <c r="H78" s="498"/>
      <c r="I78" s="498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3</v>
      </c>
      <c r="Q78" s="94">
        <f>'1'!Q78+'2'!P78+'3'!P78+'4'!P78+'5'!P78+'6'!P78+'7'!P78+'8'!P78+'9'!P78+'10'!P78+'11'!P78+'12'!P78+'13'!P78+'14'!P78+'15'!P78+'16'!P78+'17'!P78+'18'!P78+'19'!P78+'20'!P80+'21'!P78+'22'!P79+'23'!P78+'24'!P78</f>
        <v>45</v>
      </c>
      <c r="R78" s="406"/>
    </row>
    <row r="79" spans="1:23" x14ac:dyDescent="0.3">
      <c r="A79" s="114"/>
      <c r="B79" s="115">
        <f>SUM(B55:B78)</f>
        <v>461</v>
      </c>
      <c r="C79" s="116">
        <f>SUM(C55:C78)</f>
        <v>4</v>
      </c>
      <c r="D79" s="470"/>
      <c r="E79" s="471"/>
      <c r="F79" s="471"/>
      <c r="G79" s="471"/>
      <c r="H79" s="471"/>
      <c r="I79" s="472"/>
      <c r="J79" s="117">
        <f>SUM(J55:J78)</f>
        <v>336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1101</v>
      </c>
      <c r="Q79" s="94">
        <f>'1'!Q79+'2'!P79+'3'!P79+'4'!P79+'5'!P79+'6'!P79+'7'!P79+'8'!P79+'9'!P79+'10'!P79+'11'!P79+'12'!P79+'13'!P79+'14'!P79+'15'!P79+'16'!P79+'17'!P79+'18'!P79+'19'!P79+'20'!P81+'21'!P79+'22'!P80+'23'!P79+'24'!P79</f>
        <v>22923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0.76458333333333328</v>
      </c>
      <c r="Q80" s="431">
        <f>Q79/Q75</f>
        <v>0.83782894736842106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0.76458333333333328</v>
      </c>
      <c r="Q81" s="165">
        <f>Q79/Q60</f>
        <v>0.66328125000000004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52.72931880108991</v>
      </c>
      <c r="Q82" s="150">
        <f>(C26/1000)/(Q79/60)</f>
        <v>53.180455437769929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40.315958333333334</v>
      </c>
      <c r="Q83" s="113">
        <f>(C26/1000)/(Q75/60)</f>
        <v>44.556125000000002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31147</v>
      </c>
      <c r="Q84" s="100">
        <f>'1'!Q84+'2'!P84+'3'!P84+'4'!P84+'5'!P84+'6'!P84+'7'!P84+'8'!P84+'9'!P84+'10'!P84+'11'!P84+'12'!P84+'13'!P84+'14'!P84+'15'!P84+'16'!P84+'17'!P84+'18'!P84+'19'!P84+'20'!P86+'21'!P84+'22'!P85+'23'!P84+'24'!P84</f>
        <v>655709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32.866024547956307</v>
      </c>
      <c r="Q85" s="124">
        <f>Q84/(K27/1000)</f>
        <v>32.780950814500713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161.47999999999999</v>
      </c>
      <c r="Q86" s="100">
        <f>'1'!Q86+'2'!P86+'3'!P86+'4'!P86+'5'!P86+'6'!P86+'7'!P86+'8'!P86+'9'!P86+'10'!P86+'11'!P86+'12'!P86+'13'!P86+'14'!P86+'15'!P86+'16'!P86+'17'!P86+'18'!P86+'19'!P86+'20'!P88+'21'!P86+'22'!P87+'23'!P86+'24'!P86</f>
        <v>3774.37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171.12911515819482</v>
      </c>
      <c r="Q87" s="124">
        <f>(Q86*1000)/(K26/1000)</f>
        <v>189.34779740467445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174</v>
      </c>
      <c r="Q88" s="100">
        <f>'1'!Q88+'2'!P88+'3'!P88+'4'!P88+'5'!P88+'6'!P88+'7'!P88+'8'!P88+'9'!P88+'10'!P88+'11'!P88+'12'!P88+'13'!P88+'14'!P88+'15'!P88+'16'!P88+'17'!P88+'18'!P88+'19'!P88+'20'!P90+'21'!P88+'22'!P89+'23'!P88+'24'!P88</f>
        <v>2191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0.18439723828044277</v>
      </c>
      <c r="Q89" s="124">
        <f>Q88/(K26/1000)</f>
        <v>0.10991530351121954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pageMargins left="0.7" right="0.7" top="0.25" bottom="0.25" header="0.3" footer="0.3"/>
  <pageSetup paperSize="9" scale="71" orientation="landscape" horizontalDpi="0" verticalDpi="0" r:id="rId1"/>
  <rowBreaks count="1" manualBreakCount="1">
    <brk id="49" max="16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zoomScaleNormal="100" workbookViewId="0">
      <selection activeCell="D74" sqref="D74:I74"/>
    </sheetView>
  </sheetViews>
  <sheetFormatPr defaultRowHeight="16.5" x14ac:dyDescent="0.3"/>
  <cols>
    <col min="1" max="1" width="8.570312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'24'!A3:Q3+1</f>
        <v>46047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 t="s">
        <v>319</v>
      </c>
      <c r="B7" s="15">
        <v>98</v>
      </c>
      <c r="C7" s="15">
        <v>205212</v>
      </c>
      <c r="D7" s="16"/>
      <c r="E7" s="17"/>
      <c r="F7" s="18"/>
      <c r="G7" s="19" t="s">
        <v>195</v>
      </c>
      <c r="H7" s="20" t="s">
        <v>451</v>
      </c>
      <c r="I7" s="21" t="s">
        <v>202</v>
      </c>
      <c r="J7" s="22">
        <v>98</v>
      </c>
      <c r="K7" s="17">
        <v>202799</v>
      </c>
      <c r="L7" s="23">
        <f t="shared" ref="L7:L16" si="0">K7/C7</f>
        <v>0.98824142837650819</v>
      </c>
      <c r="M7" s="17"/>
      <c r="N7" s="22"/>
      <c r="O7" s="134"/>
      <c r="P7" s="134"/>
      <c r="Q7" s="134"/>
    </row>
    <row r="8" spans="1:17" x14ac:dyDescent="0.3">
      <c r="A8" s="24" t="s">
        <v>221</v>
      </c>
      <c r="B8" s="25">
        <v>167</v>
      </c>
      <c r="C8" s="25">
        <v>354207</v>
      </c>
      <c r="D8" s="26"/>
      <c r="E8" s="27"/>
      <c r="F8" s="28"/>
      <c r="G8" s="29" t="s">
        <v>1</v>
      </c>
      <c r="H8" s="30">
        <v>10</v>
      </c>
      <c r="I8" s="31" t="s">
        <v>204</v>
      </c>
      <c r="J8" s="32">
        <v>167</v>
      </c>
      <c r="K8" s="33">
        <v>349862</v>
      </c>
      <c r="L8" s="34">
        <f t="shared" si="0"/>
        <v>0.98773316168229308</v>
      </c>
      <c r="M8" s="33"/>
      <c r="N8" s="32"/>
      <c r="O8" s="135"/>
      <c r="P8" s="135"/>
      <c r="Q8" s="135"/>
    </row>
    <row r="9" spans="1:17" x14ac:dyDescent="0.3">
      <c r="A9" s="24" t="s">
        <v>449</v>
      </c>
      <c r="B9" s="25">
        <v>144</v>
      </c>
      <c r="C9" s="25">
        <v>301680</v>
      </c>
      <c r="D9" s="26"/>
      <c r="E9" s="27"/>
      <c r="F9" s="28"/>
      <c r="G9" s="29" t="s">
        <v>195</v>
      </c>
      <c r="H9" s="30" t="s">
        <v>475</v>
      </c>
      <c r="I9" s="31" t="s">
        <v>262</v>
      </c>
      <c r="J9" s="32">
        <v>141</v>
      </c>
      <c r="K9" s="33">
        <v>292629</v>
      </c>
      <c r="L9" s="34">
        <f t="shared" si="0"/>
        <v>0.96999801113762929</v>
      </c>
      <c r="M9" s="33">
        <v>3</v>
      </c>
      <c r="N9" s="32">
        <v>6247</v>
      </c>
      <c r="O9" s="135"/>
      <c r="P9" s="135"/>
      <c r="Q9" s="135"/>
    </row>
    <row r="10" spans="1:17" x14ac:dyDescent="0.3">
      <c r="A10" s="35" t="s">
        <v>221</v>
      </c>
      <c r="B10" s="36">
        <v>119</v>
      </c>
      <c r="C10" s="36">
        <v>252399</v>
      </c>
      <c r="D10" s="37"/>
      <c r="E10" s="38"/>
      <c r="F10" s="18"/>
      <c r="G10" s="39" t="s">
        <v>1</v>
      </c>
      <c r="H10" s="40">
        <v>8</v>
      </c>
      <c r="I10" s="31" t="s">
        <v>204</v>
      </c>
      <c r="J10" s="41">
        <v>119</v>
      </c>
      <c r="K10" s="42">
        <v>248951</v>
      </c>
      <c r="L10" s="34">
        <f t="shared" si="0"/>
        <v>0.98633909009148213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528</v>
      </c>
      <c r="C16" s="48">
        <f>SUM(C7:C15)</f>
        <v>1113498</v>
      </c>
      <c r="D16" s="49">
        <f>SUM(D7:D15)</f>
        <v>0</v>
      </c>
      <c r="E16" s="50">
        <f>SUM(E7:E15)</f>
        <v>0</v>
      </c>
      <c r="F16" s="51">
        <f>E16/C16</f>
        <v>0</v>
      </c>
      <c r="G16" s="52"/>
      <c r="H16" s="2"/>
      <c r="I16" s="2"/>
      <c r="J16" s="53">
        <f>SUM(J7:J15)</f>
        <v>525</v>
      </c>
      <c r="K16" s="53">
        <f>SUM(K7:K15)</f>
        <v>1094241</v>
      </c>
      <c r="L16" s="51">
        <f t="shared" si="0"/>
        <v>0.98270585129025823</v>
      </c>
      <c r="M16" s="50">
        <f>SUM(M7:M15)</f>
        <v>3</v>
      </c>
      <c r="N16" s="54">
        <f>SUM(N7:N15)</f>
        <v>6247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1100488</v>
      </c>
      <c r="L17" s="51">
        <f>K17/C16</f>
        <v>0.9883160993553648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'24'!B22+B8+B10</f>
        <v>8552</v>
      </c>
      <c r="C22" s="57">
        <f>'24'!C22+C8+C10</f>
        <v>18074564</v>
      </c>
      <c r="D22" s="57">
        <f>'24'!D22+D8+D10</f>
        <v>15</v>
      </c>
      <c r="E22" s="57">
        <f>'24'!E22+E8+E10</f>
        <v>31699</v>
      </c>
      <c r="F22" s="423">
        <f>E22/C22</f>
        <v>1.7537905755292355E-3</v>
      </c>
      <c r="G22" s="58" t="s">
        <v>1</v>
      </c>
      <c r="H22" s="59"/>
      <c r="I22" s="59"/>
      <c r="J22" s="57">
        <f>'24'!J22+J8+J10</f>
        <v>8509</v>
      </c>
      <c r="K22" s="57">
        <f>'24'!K22+K8+K10</f>
        <v>17753607</v>
      </c>
      <c r="L22" s="60">
        <f>K22/C22</f>
        <v>0.98224261453830919</v>
      </c>
      <c r="M22" s="57">
        <f>'24'!M22+M8+M10</f>
        <v>28</v>
      </c>
      <c r="N22" s="57">
        <f>'24'!N22+N8+N10</f>
        <v>57472</v>
      </c>
      <c r="O22" s="135"/>
      <c r="P22" s="135"/>
      <c r="Q22" s="135"/>
    </row>
    <row r="23" spans="1:17" x14ac:dyDescent="0.3">
      <c r="A23" s="521"/>
      <c r="B23" s="61">
        <f>'24'!B23+B7+B9</f>
        <v>1600</v>
      </c>
      <c r="C23" s="61">
        <f>'24'!C23+C7+C9</f>
        <v>3356527</v>
      </c>
      <c r="D23" s="61">
        <f>'24'!D23+D7+D9</f>
        <v>9</v>
      </c>
      <c r="E23" s="61">
        <f>'24'!E23+E7+E9</f>
        <v>18918</v>
      </c>
      <c r="F23" s="424">
        <f>E23/C23</f>
        <v>5.6361828759309849E-3</v>
      </c>
      <c r="G23" s="381" t="s">
        <v>195</v>
      </c>
      <c r="H23" s="59"/>
      <c r="I23" s="59"/>
      <c r="J23" s="61">
        <f>'24'!J23+J7+J9</f>
        <v>1582</v>
      </c>
      <c r="K23" s="61">
        <f>'24'!K23+K7+K9</f>
        <v>3274164</v>
      </c>
      <c r="L23" s="382">
        <f t="shared" ref="L23:L24" si="1">K23/C23</f>
        <v>0.97546183897820571</v>
      </c>
      <c r="M23" s="61">
        <f>'24'!M23+M7+M9</f>
        <v>9</v>
      </c>
      <c r="N23" s="61">
        <f>'24'!N23+N7+N9</f>
        <v>17990</v>
      </c>
      <c r="O23" s="135"/>
      <c r="P23" s="135"/>
      <c r="Q23" s="135"/>
    </row>
    <row r="24" spans="1:17" x14ac:dyDescent="0.3">
      <c r="A24" s="521"/>
      <c r="B24" s="61">
        <f>'24'!B24</f>
        <v>0</v>
      </c>
      <c r="C24" s="61">
        <f>'24'!C24</f>
        <v>0</v>
      </c>
      <c r="D24" s="61">
        <f>'24'!D24</f>
        <v>0</v>
      </c>
      <c r="E24" s="61">
        <f>'24'!E24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'24'!J24</f>
        <v>0</v>
      </c>
      <c r="K24" s="61">
        <f>'24'!K24</f>
        <v>0</v>
      </c>
      <c r="L24" s="382" t="e">
        <f t="shared" si="1"/>
        <v>#DIV/0!</v>
      </c>
      <c r="M24" s="61">
        <f>'24'!M24</f>
        <v>0</v>
      </c>
      <c r="N24" s="61">
        <f>'24'!N24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10152</v>
      </c>
      <c r="C26" s="68">
        <f>SUM(C21:C25)</f>
        <v>21431091</v>
      </c>
      <c r="D26" s="49">
        <f>SUM(D21:D25)</f>
        <v>24</v>
      </c>
      <c r="E26" s="69">
        <f>SUM(E22:E25)</f>
        <v>50617</v>
      </c>
      <c r="F26" s="51">
        <f>E26/C26</f>
        <v>2.3618489604658949E-3</v>
      </c>
      <c r="G26" s="51"/>
      <c r="H26" s="70"/>
      <c r="I26" s="70"/>
      <c r="J26" s="71">
        <f>SUM(J22:J25)</f>
        <v>10091</v>
      </c>
      <c r="K26" s="68">
        <f>SUM(K22:K25)</f>
        <v>21027771</v>
      </c>
      <c r="L26" s="51">
        <f>K26/C26</f>
        <v>0.98118061278354896</v>
      </c>
      <c r="M26" s="71">
        <f>SUM(M22:M25)</f>
        <v>37</v>
      </c>
      <c r="N26" s="54">
        <f>SUM(N22:N25)</f>
        <v>75462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21103233</v>
      </c>
      <c r="L27" s="51">
        <f>K27/C26</f>
        <v>0.98470175876720412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'24'!A30</f>
        <v>BIC</v>
      </c>
      <c r="B30" s="307" t="str">
        <f>'24'!B30</f>
        <v>P.6</v>
      </c>
      <c r="C30" s="307" t="str">
        <f>'24'!C30</f>
        <v>BjTPG280</v>
      </c>
      <c r="D30" s="308">
        <f>'24'!D30</f>
        <v>239</v>
      </c>
      <c r="E30" s="308">
        <f>'24'!E30</f>
        <v>497038</v>
      </c>
      <c r="F30" s="79"/>
      <c r="G30" s="307" t="str">
        <f>'24'!G30</f>
        <v>WR</v>
      </c>
      <c r="H30" s="309">
        <f>'24'!H30</f>
        <v>18</v>
      </c>
      <c r="I30" s="309">
        <f>'24'!I30</f>
        <v>8</v>
      </c>
      <c r="J30" s="170">
        <f>'24'!J30</f>
        <v>68</v>
      </c>
      <c r="K30" s="310">
        <f>'24'!K30</f>
        <v>140152</v>
      </c>
      <c r="L30" s="79"/>
      <c r="M30" s="307" t="str">
        <f>'24'!M30</f>
        <v>WR</v>
      </c>
      <c r="N30" s="309">
        <f>'24'!N30</f>
        <v>0</v>
      </c>
      <c r="O30" s="309">
        <f>'24'!O30</f>
        <v>0</v>
      </c>
      <c r="P30" s="170">
        <f>'24'!P30</f>
        <v>0</v>
      </c>
      <c r="Q30" s="310">
        <f>'24'!Q30</f>
        <v>0</v>
      </c>
    </row>
    <row r="31" spans="1:17" x14ac:dyDescent="0.3">
      <c r="A31" s="307" t="str">
        <f>'24'!A31</f>
        <v>WR</v>
      </c>
      <c r="B31" s="307">
        <f>'24'!B31</f>
        <v>6.5</v>
      </c>
      <c r="C31" s="307">
        <f>'24'!C31</f>
        <v>8</v>
      </c>
      <c r="D31" s="308">
        <f>'24'!D31</f>
        <v>180</v>
      </c>
      <c r="E31" s="308">
        <f>'24'!E31</f>
        <v>377095</v>
      </c>
      <c r="F31" s="135"/>
      <c r="G31" s="307" t="str">
        <f>'24'!G31</f>
        <v>WR</v>
      </c>
      <c r="H31" s="309">
        <f>'24'!H31</f>
        <v>7.5</v>
      </c>
      <c r="I31" s="309">
        <f>'24'!I31</f>
        <v>8</v>
      </c>
      <c r="J31" s="170">
        <f>'24'!J31</f>
        <v>96</v>
      </c>
      <c r="K31" s="310">
        <f>'24'!K31</f>
        <v>200884</v>
      </c>
      <c r="L31" s="135"/>
      <c r="M31" s="307" t="str">
        <f>'24'!M31</f>
        <v>WR</v>
      </c>
      <c r="N31" s="309">
        <f>'24'!N31</f>
        <v>0</v>
      </c>
      <c r="O31" s="309">
        <f>'24'!O31</f>
        <v>0</v>
      </c>
      <c r="P31" s="170">
        <f>'24'!P31</f>
        <v>0</v>
      </c>
      <c r="Q31" s="310">
        <f>'24'!Q31</f>
        <v>0</v>
      </c>
    </row>
    <row r="32" spans="1:17" x14ac:dyDescent="0.3">
      <c r="A32" s="307" t="str">
        <f>'24'!A32</f>
        <v>WR</v>
      </c>
      <c r="B32" s="307">
        <f>'24'!B32</f>
        <v>6.5</v>
      </c>
      <c r="C32" s="307">
        <f>'24'!C32</f>
        <v>10</v>
      </c>
      <c r="D32" s="308">
        <f>'24'!D32</f>
        <v>48</v>
      </c>
      <c r="E32" s="308">
        <f>'24'!E32</f>
        <v>99149</v>
      </c>
      <c r="F32" s="135"/>
      <c r="G32" s="307" t="str">
        <f>'24'!G32</f>
        <v>WR</v>
      </c>
      <c r="H32" s="309">
        <f>'24'!H32</f>
        <v>7.5</v>
      </c>
      <c r="I32" s="309">
        <f>'24'!I32</f>
        <v>15</v>
      </c>
      <c r="J32" s="170">
        <f>'24'!J32</f>
        <v>543</v>
      </c>
      <c r="K32" s="310">
        <f>'24'!K32</f>
        <v>1124422</v>
      </c>
      <c r="L32" s="135"/>
      <c r="M32" s="307" t="str">
        <f>'24'!M32</f>
        <v>WR</v>
      </c>
      <c r="N32" s="309">
        <f>'24'!N32</f>
        <v>0</v>
      </c>
      <c r="O32" s="309">
        <f>'24'!O32</f>
        <v>0</v>
      </c>
      <c r="P32" s="170">
        <f>'24'!P32</f>
        <v>0</v>
      </c>
      <c r="Q32" s="310">
        <f>'24'!Q32</f>
        <v>0</v>
      </c>
    </row>
    <row r="33" spans="1:17" x14ac:dyDescent="0.3">
      <c r="A33" s="307" t="str">
        <f>'24'!A33</f>
        <v>WR</v>
      </c>
      <c r="B33" s="307">
        <f>'24'!B33</f>
        <v>6.5</v>
      </c>
      <c r="C33" s="307">
        <f>'24'!C33</f>
        <v>15</v>
      </c>
      <c r="D33" s="308">
        <f>'24'!D33</f>
        <v>6</v>
      </c>
      <c r="E33" s="308">
        <f>'24'!E33</f>
        <v>12304</v>
      </c>
      <c r="F33" s="135"/>
      <c r="G33" s="307" t="str">
        <f>'24'!G33</f>
        <v>WR</v>
      </c>
      <c r="H33" s="309">
        <f>'24'!H33</f>
        <v>5.5</v>
      </c>
      <c r="I33" s="309">
        <f>'24'!I33</f>
        <v>22</v>
      </c>
      <c r="J33" s="170">
        <f>'24'!J33</f>
        <v>436</v>
      </c>
      <c r="K33" s="310">
        <f>'24'!K33</f>
        <v>893285</v>
      </c>
      <c r="L33" s="135"/>
      <c r="M33" s="307" t="str">
        <f>'24'!M33</f>
        <v>WR</v>
      </c>
      <c r="N33" s="309">
        <f>'24'!N33</f>
        <v>0</v>
      </c>
      <c r="O33" s="309">
        <f>'24'!O33</f>
        <v>0</v>
      </c>
      <c r="P33" s="170">
        <f>'24'!P33</f>
        <v>0</v>
      </c>
      <c r="Q33" s="310">
        <f>'24'!Q33</f>
        <v>0</v>
      </c>
    </row>
    <row r="34" spans="1:17" x14ac:dyDescent="0.3">
      <c r="A34" s="307" t="str">
        <f>'24'!A34</f>
        <v>WR</v>
      </c>
      <c r="B34" s="307">
        <f>'24'!B34</f>
        <v>5.5</v>
      </c>
      <c r="C34" s="307">
        <f>'24'!C34</f>
        <v>6</v>
      </c>
      <c r="D34" s="308">
        <f>'24'!D34</f>
        <v>995</v>
      </c>
      <c r="E34" s="308">
        <f>'24'!E34</f>
        <v>2086453</v>
      </c>
      <c r="F34" s="135"/>
      <c r="G34" s="307" t="str">
        <f>'24'!G34</f>
        <v>WR</v>
      </c>
      <c r="H34" s="309">
        <f>'24'!H34</f>
        <v>5.5</v>
      </c>
      <c r="I34" s="309">
        <f>'24'!I34</f>
        <v>1045</v>
      </c>
      <c r="J34" s="170">
        <f>'24'!J34</f>
        <v>50</v>
      </c>
      <c r="K34" s="310">
        <f>'24'!K34</f>
        <v>104556</v>
      </c>
      <c r="L34" s="135"/>
      <c r="M34" s="307" t="str">
        <f>'24'!M34</f>
        <v>WR</v>
      </c>
      <c r="N34" s="309">
        <f>'24'!N34</f>
        <v>0</v>
      </c>
      <c r="O34" s="309">
        <f>'24'!O34</f>
        <v>0</v>
      </c>
      <c r="P34" s="170">
        <f>'24'!P34</f>
        <v>0</v>
      </c>
      <c r="Q34" s="310">
        <f>'24'!Q34</f>
        <v>0</v>
      </c>
    </row>
    <row r="35" spans="1:17" x14ac:dyDescent="0.3">
      <c r="A35" s="307" t="str">
        <f>'24'!A35</f>
        <v>WR</v>
      </c>
      <c r="B35" s="307">
        <f>'24'!B35</f>
        <v>5.5</v>
      </c>
      <c r="C35" s="307" t="str">
        <f>'24'!C35</f>
        <v>8.A</v>
      </c>
      <c r="D35" s="308">
        <f>'24'!D35</f>
        <v>75</v>
      </c>
      <c r="E35" s="308">
        <f>'24'!E35</f>
        <v>157414</v>
      </c>
      <c r="F35" s="135"/>
      <c r="G35" s="307" t="str">
        <f>'24'!G35</f>
        <v>WR</v>
      </c>
      <c r="H35" s="309">
        <f>'24'!H35</f>
        <v>9.5</v>
      </c>
      <c r="I35" s="309">
        <f>'24'!I35</f>
        <v>15</v>
      </c>
      <c r="J35" s="170">
        <f>'24'!J35</f>
        <v>322</v>
      </c>
      <c r="K35" s="310">
        <f>'24'!K35</f>
        <v>664963</v>
      </c>
      <c r="L35" s="135"/>
      <c r="M35" s="307" t="str">
        <f>'24'!M35</f>
        <v>WR</v>
      </c>
      <c r="N35" s="309">
        <f>'24'!N35</f>
        <v>0</v>
      </c>
      <c r="O35" s="309">
        <f>'24'!O35</f>
        <v>0</v>
      </c>
      <c r="P35" s="170">
        <f>'24'!P35</f>
        <v>0</v>
      </c>
      <c r="Q35" s="310">
        <f>'24'!Q35</f>
        <v>0</v>
      </c>
    </row>
    <row r="36" spans="1:17" x14ac:dyDescent="0.3">
      <c r="A36" s="307" t="str">
        <f>'24'!A36</f>
        <v>WR</v>
      </c>
      <c r="B36" s="307">
        <f>'24'!B36</f>
        <v>5.5</v>
      </c>
      <c r="C36" s="307" t="str">
        <f>'24'!C36</f>
        <v>22.A</v>
      </c>
      <c r="D36" s="308">
        <f>'24'!D36</f>
        <v>813</v>
      </c>
      <c r="E36" s="308">
        <f>'24'!E36</f>
        <v>1694379</v>
      </c>
      <c r="F36" s="135"/>
      <c r="G36" s="307" t="str">
        <f>'24'!G36</f>
        <v>WR</v>
      </c>
      <c r="H36" s="309">
        <f>'24'!H36</f>
        <v>12</v>
      </c>
      <c r="I36" s="309">
        <f>'24'!I36</f>
        <v>8</v>
      </c>
      <c r="J36" s="170">
        <f>'24'!J36</f>
        <v>143</v>
      </c>
      <c r="K36" s="310">
        <f>'24'!K36</f>
        <v>298814</v>
      </c>
      <c r="L36" s="135"/>
      <c r="M36" s="307" t="str">
        <f>'24'!M36</f>
        <v>WR</v>
      </c>
      <c r="N36" s="309">
        <f>'24'!N36</f>
        <v>0</v>
      </c>
      <c r="O36" s="309">
        <f>'24'!O36</f>
        <v>0</v>
      </c>
      <c r="P36" s="170">
        <f>'24'!P36</f>
        <v>0</v>
      </c>
      <c r="Q36" s="310">
        <f>'24'!Q36</f>
        <v>0</v>
      </c>
    </row>
    <row r="37" spans="1:17" x14ac:dyDescent="0.3">
      <c r="A37" s="307" t="str">
        <f>'24'!A37</f>
        <v>WR</v>
      </c>
      <c r="B37" s="307">
        <f>'24'!B37</f>
        <v>5.5</v>
      </c>
      <c r="C37" s="307" t="str">
        <f>'24'!C37</f>
        <v>Y.11</v>
      </c>
      <c r="D37" s="308">
        <f>'24'!D37</f>
        <v>1052</v>
      </c>
      <c r="E37" s="308">
        <f>'24'!E37</f>
        <v>2198500</v>
      </c>
      <c r="F37" s="135"/>
      <c r="G37" s="307" t="str">
        <f>'24'!G37</f>
        <v>WR</v>
      </c>
      <c r="H37" s="309">
        <f>'24'!H37</f>
        <v>9</v>
      </c>
      <c r="I37" s="309">
        <f>'24'!I37</f>
        <v>8</v>
      </c>
      <c r="J37" s="170">
        <f>'24'!J37</f>
        <v>191</v>
      </c>
      <c r="K37" s="310">
        <f>'24'!K37</f>
        <v>398927</v>
      </c>
      <c r="L37" s="135"/>
      <c r="M37" s="307" t="str">
        <f>'24'!M37</f>
        <v>WR</v>
      </c>
      <c r="N37" s="309">
        <f>'24'!N37</f>
        <v>0</v>
      </c>
      <c r="O37" s="309">
        <f>'24'!O37</f>
        <v>0</v>
      </c>
      <c r="P37" s="170">
        <f>'24'!P37</f>
        <v>0</v>
      </c>
      <c r="Q37" s="310">
        <f>'24'!Q37</f>
        <v>0</v>
      </c>
    </row>
    <row r="38" spans="1:17" x14ac:dyDescent="0.3">
      <c r="A38" s="307" t="str">
        <f>'24'!A38</f>
        <v>WR</v>
      </c>
      <c r="B38" s="307">
        <f>'24'!B38</f>
        <v>5.5</v>
      </c>
      <c r="C38" s="307" t="str">
        <f>'24'!C38</f>
        <v>67.A</v>
      </c>
      <c r="D38" s="308">
        <f>'24'!D38</f>
        <v>312</v>
      </c>
      <c r="E38" s="308">
        <f>'24'!E38</f>
        <v>660228</v>
      </c>
      <c r="F38" s="135"/>
      <c r="G38" s="307" t="str">
        <f>'24'!G38</f>
        <v>WR</v>
      </c>
      <c r="H38" s="309">
        <f>'24'!H38</f>
        <v>9</v>
      </c>
      <c r="I38" s="309">
        <f>'24'!I38</f>
        <v>10</v>
      </c>
      <c r="J38" s="170">
        <f>'24'!J38</f>
        <v>48</v>
      </c>
      <c r="K38" s="310">
        <f>'24'!K38</f>
        <v>99117</v>
      </c>
      <c r="L38" s="135"/>
      <c r="M38" s="307" t="str">
        <f>'24'!M38</f>
        <v>WR</v>
      </c>
      <c r="N38" s="309">
        <f>'24'!N38</f>
        <v>0</v>
      </c>
      <c r="O38" s="309">
        <f>'24'!O38</f>
        <v>0</v>
      </c>
      <c r="P38" s="170">
        <f>'24'!P38</f>
        <v>0</v>
      </c>
      <c r="Q38" s="310">
        <f>'24'!Q38</f>
        <v>0</v>
      </c>
    </row>
    <row r="39" spans="1:17" x14ac:dyDescent="0.3">
      <c r="A39" s="307" t="str">
        <f>'24'!A39</f>
        <v>BIC</v>
      </c>
      <c r="B39" s="307" t="str">
        <f>'24'!B39</f>
        <v>P.8</v>
      </c>
      <c r="C39" s="307" t="str">
        <f>'24'!C39</f>
        <v>BjTPG280</v>
      </c>
      <c r="D39" s="308">
        <f>'24'!D39</f>
        <v>240</v>
      </c>
      <c r="E39" s="308">
        <f>'24'!E39</f>
        <v>499780</v>
      </c>
      <c r="F39" s="135"/>
      <c r="G39" s="307" t="str">
        <f>'24'!G39</f>
        <v>WR</v>
      </c>
      <c r="H39" s="309">
        <f>'24'!H39</f>
        <v>5.5</v>
      </c>
      <c r="I39" s="309">
        <f>'24'!I39</f>
        <v>15</v>
      </c>
      <c r="J39" s="170">
        <f>'24'!J39</f>
        <v>116</v>
      </c>
      <c r="K39" s="310">
        <f>'24'!K39</f>
        <v>239659</v>
      </c>
      <c r="L39" s="135"/>
      <c r="M39" s="307" t="str">
        <f>'24'!M39</f>
        <v>WR</v>
      </c>
      <c r="N39" s="309">
        <f>'24'!N39</f>
        <v>0</v>
      </c>
      <c r="O39" s="309">
        <f>'24'!O39</f>
        <v>0</v>
      </c>
      <c r="P39" s="170">
        <f>'24'!P39</f>
        <v>0</v>
      </c>
      <c r="Q39" s="310">
        <f>'24'!Q39</f>
        <v>0</v>
      </c>
    </row>
    <row r="40" spans="1:17" x14ac:dyDescent="0.3">
      <c r="A40" s="307" t="str">
        <f>'24'!A40</f>
        <v>BIC</v>
      </c>
      <c r="B40" s="307" t="str">
        <f>'24'!B40</f>
        <v>S.8</v>
      </c>
      <c r="C40" s="307" t="str">
        <f>'24'!C40</f>
        <v>BjTSG420</v>
      </c>
      <c r="D40" s="308">
        <f>'24'!D40+J9</f>
        <v>476</v>
      </c>
      <c r="E40" s="308">
        <f>'24'!E40+K9</f>
        <v>981350</v>
      </c>
      <c r="F40" s="135"/>
      <c r="G40" s="307" t="str">
        <f>'24'!G40</f>
        <v>WR</v>
      </c>
      <c r="H40" s="309">
        <f>'24'!H40</f>
        <v>5.5</v>
      </c>
      <c r="I40" s="309" t="str">
        <f>'24'!I40</f>
        <v>72.A</v>
      </c>
      <c r="J40" s="170">
        <f>'24'!J40</f>
        <v>48</v>
      </c>
      <c r="K40" s="310">
        <f>'24'!K40</f>
        <v>101358</v>
      </c>
      <c r="L40" s="135"/>
      <c r="M40" s="307" t="str">
        <f>'24'!M40</f>
        <v>WR</v>
      </c>
      <c r="N40" s="309">
        <f>'24'!N40</f>
        <v>0</v>
      </c>
      <c r="O40" s="309">
        <f>'24'!O40</f>
        <v>0</v>
      </c>
      <c r="P40" s="170">
        <f>'24'!P40</f>
        <v>0</v>
      </c>
      <c r="Q40" s="310">
        <f>'24'!Q40</f>
        <v>0</v>
      </c>
    </row>
    <row r="41" spans="1:17" x14ac:dyDescent="0.3">
      <c r="A41" s="307" t="str">
        <f>'24'!A41</f>
        <v>BIC</v>
      </c>
      <c r="B41" s="307" t="str">
        <f>'24'!B41</f>
        <v>S.10</v>
      </c>
      <c r="C41" s="307" t="str">
        <f>'24'!C41</f>
        <v>BjTSG420</v>
      </c>
      <c r="D41" s="308">
        <f>'24'!D41</f>
        <v>292</v>
      </c>
      <c r="E41" s="308">
        <f>'24'!E41</f>
        <v>602112</v>
      </c>
      <c r="F41" s="135"/>
      <c r="G41" s="307" t="str">
        <f>'24'!G41</f>
        <v>WR</v>
      </c>
      <c r="H41" s="309">
        <f>'24'!H41</f>
        <v>12</v>
      </c>
      <c r="I41" s="309">
        <f>'24'!I41</f>
        <v>15</v>
      </c>
      <c r="J41" s="170">
        <f>'24'!J41</f>
        <v>54</v>
      </c>
      <c r="K41" s="310">
        <f>'24'!K41</f>
        <v>111148</v>
      </c>
      <c r="L41" s="135"/>
      <c r="M41" s="307" t="str">
        <f>'24'!M41</f>
        <v>WR</v>
      </c>
      <c r="N41" s="309">
        <f>'24'!N41</f>
        <v>0</v>
      </c>
      <c r="O41" s="309">
        <f>'24'!O41</f>
        <v>0</v>
      </c>
      <c r="P41" s="170">
        <f>'24'!P41</f>
        <v>0</v>
      </c>
      <c r="Q41" s="310">
        <f>'24'!Q41</f>
        <v>0</v>
      </c>
    </row>
    <row r="42" spans="1:17" x14ac:dyDescent="0.3">
      <c r="A42" s="307" t="str">
        <f>'24'!A42</f>
        <v>WR</v>
      </c>
      <c r="B42" s="307">
        <f>'24'!B42</f>
        <v>5.5</v>
      </c>
      <c r="C42" s="307">
        <f>'24'!C42</f>
        <v>8</v>
      </c>
      <c r="D42" s="308">
        <f>'24'!D42</f>
        <v>480</v>
      </c>
      <c r="E42" s="308">
        <f>'24'!E42</f>
        <v>1006478</v>
      </c>
      <c r="F42" s="135"/>
      <c r="G42" s="307" t="str">
        <f>'24'!G42</f>
        <v>WR</v>
      </c>
      <c r="H42" s="309">
        <f>'24'!H42</f>
        <v>8.5</v>
      </c>
      <c r="I42" s="309">
        <f>'24'!I42</f>
        <v>8</v>
      </c>
      <c r="J42" s="170">
        <f>'24'!J42</f>
        <v>168</v>
      </c>
      <c r="K42" s="310">
        <f>'24'!K42</f>
        <v>351899</v>
      </c>
      <c r="L42" s="135"/>
      <c r="M42" s="307" t="str">
        <f>'24'!M42</f>
        <v>WR</v>
      </c>
      <c r="N42" s="309">
        <f>'24'!N42</f>
        <v>0</v>
      </c>
      <c r="O42" s="309">
        <f>'24'!O42</f>
        <v>0</v>
      </c>
      <c r="P42" s="170">
        <f>'24'!P42</f>
        <v>0</v>
      </c>
      <c r="Q42" s="310">
        <f>'24'!Q42</f>
        <v>0</v>
      </c>
    </row>
    <row r="43" spans="1:17" x14ac:dyDescent="0.3">
      <c r="A43" s="307" t="str">
        <f>'24'!A43</f>
        <v>WR</v>
      </c>
      <c r="B43" s="307">
        <f>'24'!B43</f>
        <v>5.5</v>
      </c>
      <c r="C43" s="307" t="str">
        <f>'24'!C43</f>
        <v>67.B</v>
      </c>
      <c r="D43" s="308">
        <f>'24'!D43</f>
        <v>288</v>
      </c>
      <c r="E43" s="308">
        <f>'24'!E43</f>
        <v>609307</v>
      </c>
      <c r="F43" s="135"/>
      <c r="G43" s="307" t="str">
        <f>'24'!G43</f>
        <v>WR</v>
      </c>
      <c r="H43" s="309">
        <f>'24'!H43</f>
        <v>7</v>
      </c>
      <c r="I43" s="309">
        <f>'24'!I43</f>
        <v>6</v>
      </c>
      <c r="J43" s="170">
        <f>'24'!J43</f>
        <v>48</v>
      </c>
      <c r="K43" s="310">
        <f>'24'!K43</f>
        <v>100641</v>
      </c>
      <c r="L43" s="135"/>
      <c r="M43" s="307" t="str">
        <f>'24'!M43</f>
        <v>WR</v>
      </c>
      <c r="N43" s="309">
        <f>'24'!N43</f>
        <v>0</v>
      </c>
      <c r="O43" s="309">
        <f>'24'!O43</f>
        <v>0</v>
      </c>
      <c r="P43" s="170">
        <f>'24'!P43</f>
        <v>0</v>
      </c>
      <c r="Q43" s="310">
        <f>'24'!Q43</f>
        <v>0</v>
      </c>
    </row>
    <row r="44" spans="1:17" x14ac:dyDescent="0.3">
      <c r="A44" s="307" t="str">
        <f>'24'!A44</f>
        <v>BIC</v>
      </c>
      <c r="B44" s="307" t="str">
        <f>'24'!B44</f>
        <v>P.10</v>
      </c>
      <c r="C44" s="307" t="str">
        <f>'24'!C44</f>
        <v>BjTPG280</v>
      </c>
      <c r="D44" s="308">
        <f>'24'!D44+J7</f>
        <v>287</v>
      </c>
      <c r="E44" s="308">
        <f>'24'!E44+K7</f>
        <v>595480</v>
      </c>
      <c r="F44" s="135"/>
      <c r="G44" s="307" t="str">
        <f>'24'!G44</f>
        <v>WR</v>
      </c>
      <c r="H44" s="309">
        <f>'24'!H44</f>
        <v>7</v>
      </c>
      <c r="I44" s="309">
        <f>'24'!I44</f>
        <v>8</v>
      </c>
      <c r="J44" s="170">
        <f>'24'!J44</f>
        <v>143</v>
      </c>
      <c r="K44" s="310">
        <f>'24'!K44</f>
        <v>299375</v>
      </c>
      <c r="L44" s="135"/>
      <c r="M44" s="307" t="str">
        <f>'24'!M44</f>
        <v>WR</v>
      </c>
      <c r="N44" s="309">
        <f>'24'!N44</f>
        <v>0</v>
      </c>
      <c r="O44" s="309">
        <f>'24'!O44</f>
        <v>0</v>
      </c>
      <c r="P44" s="170">
        <f>'24'!P44</f>
        <v>0</v>
      </c>
      <c r="Q44" s="310">
        <f>'24'!Q44</f>
        <v>0</v>
      </c>
    </row>
    <row r="45" spans="1:17" x14ac:dyDescent="0.3">
      <c r="A45" s="307" t="str">
        <f>'24'!A45</f>
        <v>BIC</v>
      </c>
      <c r="B45" s="307" t="str">
        <f>'24'!B45</f>
        <v>S.6</v>
      </c>
      <c r="C45" s="307" t="str">
        <f>'24'!C45</f>
        <v>BjTSG420</v>
      </c>
      <c r="D45" s="308">
        <f>'24'!D45</f>
        <v>48</v>
      </c>
      <c r="E45" s="308">
        <f>'24'!E45</f>
        <v>98404</v>
      </c>
      <c r="F45" s="135"/>
      <c r="G45" s="307" t="str">
        <f>'24'!G45</f>
        <v>WR</v>
      </c>
      <c r="H45" s="309">
        <f>'24'!H45</f>
        <v>7</v>
      </c>
      <c r="I45" s="309">
        <f>'24'!I45</f>
        <v>10</v>
      </c>
      <c r="J45" s="170">
        <f>'24'!J45</f>
        <v>48</v>
      </c>
      <c r="K45" s="310">
        <f>'24'!K45</f>
        <v>98999</v>
      </c>
      <c r="L45" s="135"/>
      <c r="M45" s="307" t="str">
        <f>'24'!M45</f>
        <v>WR</v>
      </c>
      <c r="N45" s="309">
        <f>'24'!N45</f>
        <v>0</v>
      </c>
      <c r="O45" s="309">
        <f>'24'!O45</f>
        <v>0</v>
      </c>
      <c r="P45" s="170">
        <f>'24'!P45</f>
        <v>0</v>
      </c>
      <c r="Q45" s="310">
        <f>'24'!Q45</f>
        <v>0</v>
      </c>
    </row>
    <row r="46" spans="1:17" x14ac:dyDescent="0.3">
      <c r="A46" s="307" t="str">
        <f>'24'!A46</f>
        <v>WR</v>
      </c>
      <c r="B46" s="307">
        <f>'24'!B46</f>
        <v>17</v>
      </c>
      <c r="C46" s="307">
        <f>'24'!C46</f>
        <v>8</v>
      </c>
      <c r="D46" s="308">
        <f>'24'!D46</f>
        <v>91</v>
      </c>
      <c r="E46" s="308">
        <f>'24'!E46</f>
        <v>188048</v>
      </c>
      <c r="F46" s="135"/>
      <c r="G46" s="307" t="str">
        <f>'24'!G46</f>
        <v>WR</v>
      </c>
      <c r="H46" s="309">
        <f>'24'!H46</f>
        <v>5.5</v>
      </c>
      <c r="I46" s="309" t="str">
        <f>'24'!I46</f>
        <v>72.A</v>
      </c>
      <c r="J46" s="170">
        <f>'24'!J46</f>
        <v>96</v>
      </c>
      <c r="K46" s="310">
        <f>'24'!K46</f>
        <v>203214</v>
      </c>
      <c r="L46" s="135"/>
      <c r="M46" s="307" t="str">
        <f>'24'!M46</f>
        <v>WR</v>
      </c>
      <c r="N46" s="309">
        <f>'24'!N46</f>
        <v>0</v>
      </c>
      <c r="O46" s="309">
        <f>'24'!O46</f>
        <v>0</v>
      </c>
      <c r="P46" s="170">
        <f>'24'!P46</f>
        <v>0</v>
      </c>
      <c r="Q46" s="310">
        <f>'24'!Q46</f>
        <v>0</v>
      </c>
    </row>
    <row r="47" spans="1:17" x14ac:dyDescent="0.3">
      <c r="A47" s="307" t="str">
        <f>'24'!A47</f>
        <v>WR</v>
      </c>
      <c r="B47" s="307">
        <f>'24'!B47</f>
        <v>8.5</v>
      </c>
      <c r="C47" s="307">
        <f>'24'!C47</f>
        <v>15</v>
      </c>
      <c r="D47" s="308">
        <f>'24'!D47</f>
        <v>576</v>
      </c>
      <c r="E47" s="308">
        <f>'24'!E47</f>
        <v>1194727</v>
      </c>
      <c r="F47" s="135"/>
      <c r="G47" s="307" t="str">
        <f>'24'!G47</f>
        <v>WR</v>
      </c>
      <c r="H47" s="309">
        <f>'24'!H47</f>
        <v>5.5</v>
      </c>
      <c r="I47" s="309" t="str">
        <f>'24'!I47</f>
        <v>72.B</v>
      </c>
      <c r="J47" s="170">
        <f>'24'!J47</f>
        <v>144</v>
      </c>
      <c r="K47" s="310">
        <f>'24'!K47</f>
        <v>304424</v>
      </c>
      <c r="L47" s="135"/>
      <c r="M47" s="307" t="str">
        <f>'24'!M47</f>
        <v>WR</v>
      </c>
      <c r="N47" s="309">
        <f>'24'!N47</f>
        <v>0</v>
      </c>
      <c r="O47" s="309">
        <f>'24'!O47</f>
        <v>0</v>
      </c>
      <c r="P47" s="170">
        <f>'24'!P47</f>
        <v>0</v>
      </c>
      <c r="Q47" s="310">
        <f>'24'!Q47</f>
        <v>0</v>
      </c>
    </row>
    <row r="48" spans="1:17" x14ac:dyDescent="0.3">
      <c r="A48" s="307" t="str">
        <f>'24'!A48</f>
        <v>WR</v>
      </c>
      <c r="B48" s="307">
        <f>'24'!B48</f>
        <v>6.5</v>
      </c>
      <c r="C48" s="307">
        <f>'24'!C48</f>
        <v>8</v>
      </c>
      <c r="D48" s="308">
        <f>'24'!D48</f>
        <v>264</v>
      </c>
      <c r="E48" s="308">
        <f>'24'!E48</f>
        <v>552714</v>
      </c>
      <c r="F48" s="135"/>
      <c r="G48" s="307" t="str">
        <f>'24'!G48</f>
        <v>WR</v>
      </c>
      <c r="H48" s="309">
        <v>10</v>
      </c>
      <c r="I48" s="309">
        <v>8</v>
      </c>
      <c r="J48" s="310">
        <f>J8</f>
        <v>167</v>
      </c>
      <c r="K48" s="310">
        <f>K8</f>
        <v>349862</v>
      </c>
      <c r="L48" s="135"/>
      <c r="M48" s="307" t="str">
        <f>'24'!M48</f>
        <v>WR</v>
      </c>
      <c r="N48" s="309">
        <f>'24'!N48</f>
        <v>0</v>
      </c>
      <c r="O48" s="309">
        <f>'24'!O48</f>
        <v>0</v>
      </c>
      <c r="P48" s="170">
        <f>'24'!P48</f>
        <v>0</v>
      </c>
      <c r="Q48" s="310">
        <f>'24'!Q48</f>
        <v>0</v>
      </c>
    </row>
    <row r="49" spans="1:23" x14ac:dyDescent="0.3">
      <c r="A49" s="307" t="str">
        <f>'24'!A49</f>
        <v>WR</v>
      </c>
      <c r="B49" s="307">
        <f>'24'!B49</f>
        <v>6.5</v>
      </c>
      <c r="C49" s="307">
        <f>'24'!C49</f>
        <v>15</v>
      </c>
      <c r="D49" s="308">
        <f>'24'!D49</f>
        <v>281</v>
      </c>
      <c r="E49" s="308">
        <f>'24'!E49</f>
        <v>582161</v>
      </c>
      <c r="F49" s="3"/>
      <c r="G49" s="307" t="str">
        <f>'24'!G49</f>
        <v>WR</v>
      </c>
      <c r="H49" s="309">
        <v>8</v>
      </c>
      <c r="I49" s="309">
        <v>8</v>
      </c>
      <c r="J49" s="310">
        <f>J10</f>
        <v>119</v>
      </c>
      <c r="K49" s="310">
        <f>K10</f>
        <v>248951</v>
      </c>
      <c r="L49" s="3"/>
      <c r="M49" s="307" t="str">
        <f>'24'!M49</f>
        <v>WR</v>
      </c>
      <c r="N49" s="309">
        <f>'24'!N49</f>
        <v>0</v>
      </c>
      <c r="O49" s="309">
        <f>'24'!O49</f>
        <v>0</v>
      </c>
      <c r="P49" s="170">
        <f>'24'!P49</f>
        <v>0</v>
      </c>
      <c r="Q49" s="310">
        <f>'24'!Q49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46047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422" t="s">
        <v>476</v>
      </c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440">
        <v>25</v>
      </c>
      <c r="C55" s="453"/>
      <c r="D55" s="494" t="s">
        <v>463</v>
      </c>
      <c r="E55" s="495"/>
      <c r="F55" s="495"/>
      <c r="G55" s="495"/>
      <c r="H55" s="495"/>
      <c r="I55" s="496"/>
      <c r="J55" s="97">
        <v>6</v>
      </c>
      <c r="K55" s="391"/>
      <c r="L55" s="466" t="s">
        <v>26</v>
      </c>
      <c r="M55" s="467"/>
      <c r="N55" s="467"/>
      <c r="O55" s="392" t="s">
        <v>13</v>
      </c>
      <c r="P55" s="393">
        <f>C16</f>
        <v>1113498</v>
      </c>
      <c r="Q55" s="394">
        <f>C26</f>
        <v>21431091</v>
      </c>
      <c r="R55" s="395"/>
      <c r="S55" s="388">
        <f>DAY(A52)</f>
        <v>25</v>
      </c>
      <c r="T55" s="383">
        <f>S55-U55</f>
        <v>20</v>
      </c>
      <c r="U55" s="383">
        <f>'24'!U55</f>
        <v>5</v>
      </c>
    </row>
    <row r="56" spans="1:23" x14ac:dyDescent="0.3">
      <c r="A56" s="95" t="s">
        <v>37</v>
      </c>
      <c r="B56" s="441">
        <v>29</v>
      </c>
      <c r="C56" s="454"/>
      <c r="D56" s="498"/>
      <c r="E56" s="498"/>
      <c r="F56" s="498"/>
      <c r="G56" s="498"/>
      <c r="H56" s="498"/>
      <c r="I56" s="498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1100488</v>
      </c>
      <c r="Q56" s="398">
        <f>K27</f>
        <v>21103233</v>
      </c>
      <c r="R56" s="399"/>
    </row>
    <row r="57" spans="1:23" x14ac:dyDescent="0.3">
      <c r="A57" s="95" t="s">
        <v>39</v>
      </c>
      <c r="B57" s="441">
        <v>29</v>
      </c>
      <c r="C57" s="454"/>
      <c r="D57" s="498"/>
      <c r="E57" s="498"/>
      <c r="F57" s="498"/>
      <c r="G57" s="498"/>
      <c r="H57" s="498"/>
      <c r="I57" s="498"/>
      <c r="J57" s="97"/>
      <c r="K57" s="391"/>
      <c r="L57" s="468" t="s">
        <v>19</v>
      </c>
      <c r="M57" s="469"/>
      <c r="N57" s="469"/>
      <c r="O57" s="400" t="s">
        <v>14</v>
      </c>
      <c r="P57" s="401">
        <f>L17</f>
        <v>0.9883160993553648</v>
      </c>
      <c r="Q57" s="430">
        <f>L27</f>
        <v>0.98470175876720412</v>
      </c>
      <c r="R57" s="403">
        <v>0.98499999999999999</v>
      </c>
    </row>
    <row r="58" spans="1:23" x14ac:dyDescent="0.3">
      <c r="A58" s="95" t="s">
        <v>41</v>
      </c>
      <c r="B58" s="441">
        <v>15</v>
      </c>
      <c r="C58" s="454"/>
      <c r="D58" s="498" t="s">
        <v>464</v>
      </c>
      <c r="E58" s="498"/>
      <c r="F58" s="498"/>
      <c r="G58" s="498"/>
      <c r="H58" s="498"/>
      <c r="I58" s="498"/>
      <c r="J58" s="97">
        <v>27</v>
      </c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50617</v>
      </c>
      <c r="R58" s="395"/>
    </row>
    <row r="59" spans="1:23" x14ac:dyDescent="0.3">
      <c r="A59" s="95" t="s">
        <v>43</v>
      </c>
      <c r="B59" s="441">
        <v>15</v>
      </c>
      <c r="C59" s="454"/>
      <c r="D59" s="498" t="s">
        <v>465</v>
      </c>
      <c r="E59" s="498"/>
      <c r="F59" s="498"/>
      <c r="G59" s="498"/>
      <c r="H59" s="498"/>
      <c r="I59" s="498"/>
      <c r="J59" s="97">
        <v>28</v>
      </c>
      <c r="K59" s="391"/>
      <c r="L59" s="509"/>
      <c r="M59" s="510"/>
      <c r="N59" s="510"/>
      <c r="O59" s="400" t="s">
        <v>14</v>
      </c>
      <c r="P59" s="401">
        <f>F16</f>
        <v>0</v>
      </c>
      <c r="Q59" s="430">
        <f>F26</f>
        <v>2.3618489604658949E-3</v>
      </c>
      <c r="R59" s="404">
        <v>1.5E-3</v>
      </c>
    </row>
    <row r="60" spans="1:23" x14ac:dyDescent="0.3">
      <c r="A60" s="95" t="s">
        <v>45</v>
      </c>
      <c r="B60" s="441">
        <v>28</v>
      </c>
      <c r="C60" s="454"/>
      <c r="D60" s="498"/>
      <c r="E60" s="498"/>
      <c r="F60" s="498"/>
      <c r="G60" s="498"/>
      <c r="H60" s="498"/>
      <c r="I60" s="498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'1'!Q60+'2'!P60+'3'!P60+'4'!P60+'5'!P60+'6'!P60+'7'!P60+'8'!P60+'9'!P60+'10'!P60+'11'!P60+'12'!P60+'13'!P60+'14'!P60+'15'!P60+'16'!P60+'17'!P60+'18'!P60+'19'!P60+'20'!P62+'21'!P60+'22'!P61+'23'!P60+'24'!P60+'25'!P60</f>
        <v>36000</v>
      </c>
      <c r="R60" s="406"/>
    </row>
    <row r="61" spans="1:23" x14ac:dyDescent="0.3">
      <c r="A61" s="95" t="s">
        <v>47</v>
      </c>
      <c r="B61" s="441">
        <v>29</v>
      </c>
      <c r="C61" s="454"/>
      <c r="D61" s="498"/>
      <c r="E61" s="498"/>
      <c r="F61" s="498"/>
      <c r="G61" s="498"/>
      <c r="H61" s="498"/>
      <c r="I61" s="498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'1'!Q61+'2'!P61+'3'!P61+'4'!P61+'5'!P61+'6'!P61+'7'!P61+'8'!P61+'9'!P61+'10'!P61+'11'!P61+'12'!P61+'13'!P61+'14'!P61+'15'!P61+'16'!P61+'17'!P61+'18'!P61+'19'!P61+'20'!P63+'21'!P61+'22'!P62+'23'!P61+'24'!P61+'25'!P61</f>
        <v>7200</v>
      </c>
      <c r="R61" s="395"/>
    </row>
    <row r="62" spans="1:23" x14ac:dyDescent="0.3">
      <c r="A62" s="95" t="s">
        <v>49</v>
      </c>
      <c r="B62" s="441">
        <v>28</v>
      </c>
      <c r="C62" s="454"/>
      <c r="D62" s="498"/>
      <c r="E62" s="498"/>
      <c r="F62" s="498"/>
      <c r="G62" s="498"/>
      <c r="H62" s="498"/>
      <c r="I62" s="498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'1'!Q62+'2'!P62+'3'!P62+'4'!P62+'5'!P62+'6'!P62+'7'!P62+'8'!P62+'9'!P62+'10'!P62+'11'!P62+'12'!P62+'13'!P62+'14'!P62+'15'!P62+'16'!P62+'17'!P62+'18'!P62+'19'!P62+'20'!P64+'21'!P62+'22'!P63+'23'!P62+'24'!P62+'25'!P62</f>
        <v>7200</v>
      </c>
      <c r="R62" s="399"/>
    </row>
    <row r="63" spans="1:23" x14ac:dyDescent="0.3">
      <c r="A63" s="95" t="s">
        <v>51</v>
      </c>
      <c r="B63" s="441">
        <v>21</v>
      </c>
      <c r="C63" s="454"/>
      <c r="D63" s="463" t="s">
        <v>466</v>
      </c>
      <c r="E63" s="543"/>
      <c r="F63" s="543"/>
      <c r="G63" s="543"/>
      <c r="H63" s="543"/>
      <c r="I63" s="543"/>
      <c r="J63" s="97">
        <v>15</v>
      </c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'1'!Q63+'2'!P63+'3'!P63+'4'!P63+'5'!P63+'6'!P63+'7'!P63+'8'!P63+'9'!P63+'10'!P63+'11'!P63+'12'!P63+'13'!P63+'14'!P63+'15'!P63+'16'!P63+'17'!P63+'18'!P63+'19'!P63+'20'!P65+'21'!P63+'22'!P64+'23'!P63+'24'!P63+'25'!P63</f>
        <v>0</v>
      </c>
      <c r="R63" s="399"/>
    </row>
    <row r="64" spans="1:23" x14ac:dyDescent="0.3">
      <c r="A64" s="95" t="s">
        <v>53</v>
      </c>
      <c r="B64" s="441">
        <v>28</v>
      </c>
      <c r="C64" s="454"/>
      <c r="D64" s="498"/>
      <c r="E64" s="498"/>
      <c r="F64" s="498"/>
      <c r="G64" s="498"/>
      <c r="H64" s="498"/>
      <c r="I64" s="498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'1'!Q64+'2'!P64+'3'!P64+'4'!P64+'5'!P64+'6'!P64+'7'!P64+'8'!P64+'9'!P64+'10'!P64+'11'!P64+'12'!P64+'13'!P64+'14'!P64+'15'!P64+'16'!P64+'17'!P64+'18'!P64+'19'!P64+'20'!P66+'21'!P64+'22'!P65+'23'!P64+'24'!P64+'25'!P64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441">
        <v>18</v>
      </c>
      <c r="C65" s="454"/>
      <c r="D65" s="463" t="s">
        <v>467</v>
      </c>
      <c r="E65" s="543"/>
      <c r="F65" s="543"/>
      <c r="G65" s="543"/>
      <c r="H65" s="543"/>
      <c r="I65" s="543"/>
      <c r="J65" s="97">
        <v>21</v>
      </c>
      <c r="K65" s="391"/>
      <c r="L65" s="466" t="s">
        <v>46</v>
      </c>
      <c r="M65" s="467"/>
      <c r="N65" s="467"/>
      <c r="O65" s="106" t="s">
        <v>28</v>
      </c>
      <c r="P65" s="126">
        <f>SUM(P66:P68)</f>
        <v>155</v>
      </c>
      <c r="Q65" s="100">
        <f>'1'!Q65+'2'!P65+'3'!P65+'4'!P65+'5'!P65+'6'!P65+'7'!P65+'8'!P65+'9'!P65+'10'!P65+'11'!P65+'12'!P65+'13'!P65+'14'!P65+'15'!P65+'16'!P65+'17'!P65+'18'!P65+'19'!P65+'20'!P67+'21'!P65+'22'!P66+'23'!P65+'24'!P65+'25'!P65</f>
        <v>3255</v>
      </c>
      <c r="R65" s="395"/>
      <c r="S65" s="171" t="s">
        <v>56</v>
      </c>
      <c r="T65" s="172"/>
      <c r="U65" s="173" t="s">
        <v>151</v>
      </c>
      <c r="V65" s="174"/>
      <c r="W65" s="181">
        <f>+'24'!W65+V65</f>
        <v>14</v>
      </c>
    </row>
    <row r="66" spans="1:23" x14ac:dyDescent="0.3">
      <c r="A66" s="95" t="s">
        <v>57</v>
      </c>
      <c r="B66" s="441">
        <v>10</v>
      </c>
      <c r="C66" s="454"/>
      <c r="D66" s="463" t="s">
        <v>468</v>
      </c>
      <c r="E66" s="543"/>
      <c r="F66" s="543"/>
      <c r="G66" s="543"/>
      <c r="H66" s="543"/>
      <c r="I66" s="543"/>
      <c r="J66" s="97">
        <v>33</v>
      </c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'1'!Q66+'2'!P66+'3'!P66+'4'!P66+'5'!P66+'6'!P66+'7'!P66+'8'!P66+'9'!P66+'10'!P66+'11'!P66+'12'!P66+'13'!P66+'14'!P66+'15'!P66+'16'!P66+'17'!P66+'18'!P66+'19'!P66+'20'!P68+'21'!P66+'22'!P67+'23'!P66+'24'!P66+'25'!P66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+'24'!W66+'25'!V66</f>
        <v>7</v>
      </c>
    </row>
    <row r="67" spans="1:23" x14ac:dyDescent="0.3">
      <c r="A67" s="95" t="s">
        <v>59</v>
      </c>
      <c r="B67" s="441">
        <v>23</v>
      </c>
      <c r="C67" s="454"/>
      <c r="D67" s="463"/>
      <c r="E67" s="543"/>
      <c r="F67" s="543"/>
      <c r="G67" s="543"/>
      <c r="H67" s="543"/>
      <c r="I67" s="543"/>
      <c r="J67" s="97"/>
      <c r="K67" s="391"/>
      <c r="L67" s="502" t="s">
        <v>50</v>
      </c>
      <c r="M67" s="498"/>
      <c r="N67" s="498"/>
      <c r="O67" s="408" t="s">
        <v>28</v>
      </c>
      <c r="P67" s="138">
        <v>140</v>
      </c>
      <c r="Q67" s="99">
        <f>'1'!Q67+'2'!P67+'3'!P67+'4'!P67+'5'!P67+'6'!P67+'7'!P67+'8'!P67+'9'!P67+'10'!P67+'11'!P67+'12'!P67+'13'!P67+'14'!P67+'15'!P67+'16'!P67+'17'!P67+'18'!P67+'19'!P67+'20'!P69+'21'!P67+'22'!P68+'23'!P67+'24'!P67+'25'!P67</f>
        <v>2804</v>
      </c>
      <c r="R67" s="399"/>
      <c r="S67" s="377" t="s">
        <v>60</v>
      </c>
      <c r="T67" s="175"/>
      <c r="U67" s="176" t="s">
        <v>151</v>
      </c>
      <c r="V67" s="177"/>
      <c r="W67" s="182">
        <f>+'24'!W67+'25'!V67</f>
        <v>0</v>
      </c>
    </row>
    <row r="68" spans="1:23" x14ac:dyDescent="0.3">
      <c r="A68" s="95" t="s">
        <v>61</v>
      </c>
      <c r="B68" s="441">
        <v>22</v>
      </c>
      <c r="C68" s="454"/>
      <c r="D68" s="463" t="s">
        <v>469</v>
      </c>
      <c r="E68" s="543"/>
      <c r="F68" s="543"/>
      <c r="G68" s="543"/>
      <c r="H68" s="543"/>
      <c r="I68" s="543"/>
      <c r="J68" s="97">
        <v>3</v>
      </c>
      <c r="K68" s="391"/>
      <c r="L68" s="468" t="s">
        <v>52</v>
      </c>
      <c r="M68" s="469"/>
      <c r="N68" s="469"/>
      <c r="O68" s="85" t="s">
        <v>28</v>
      </c>
      <c r="P68" s="141">
        <v>15</v>
      </c>
      <c r="Q68" s="86">
        <f>'1'!Q68+'2'!P68+'3'!P68+'4'!P68+'5'!P68+'6'!P68+'7'!P68+'8'!P68+'9'!P68+'10'!P68+'11'!P68+'12'!P68+'13'!P68+'14'!P68+'15'!P68+'16'!P68+'17'!P68+'18'!P68+'19'!P68+'20'!P70+'21'!P68+'22'!P69+'23'!P68+'24'!P68+'25'!P68</f>
        <v>451</v>
      </c>
      <c r="R68" s="409"/>
      <c r="S68" s="377" t="s">
        <v>62</v>
      </c>
      <c r="T68" s="175"/>
      <c r="U68" s="176" t="s">
        <v>151</v>
      </c>
      <c r="V68" s="177"/>
      <c r="W68" s="182">
        <f>+'24'!W68+'25'!V68</f>
        <v>3</v>
      </c>
    </row>
    <row r="69" spans="1:23" x14ac:dyDescent="0.3">
      <c r="A69" s="95" t="s">
        <v>63</v>
      </c>
      <c r="B69" s="441">
        <v>20</v>
      </c>
      <c r="C69" s="454"/>
      <c r="D69" s="463" t="s">
        <v>470</v>
      </c>
      <c r="E69" s="543"/>
      <c r="F69" s="543"/>
      <c r="G69" s="543"/>
      <c r="H69" s="543"/>
      <c r="I69" s="543"/>
      <c r="J69" s="97">
        <v>7</v>
      </c>
      <c r="K69" s="391"/>
      <c r="L69" s="466" t="s">
        <v>54</v>
      </c>
      <c r="M69" s="467"/>
      <c r="N69" s="467"/>
      <c r="O69" s="106" t="s">
        <v>28</v>
      </c>
      <c r="P69" s="100">
        <f>SUM(P70:P74)</f>
        <v>83</v>
      </c>
      <c r="Q69" s="100">
        <f>'1'!Q69+'2'!P69+'3'!P69+'4'!P69+'5'!P69+'6'!P69+'7'!P69+'8'!P69+'9'!P69+'10'!P69+'11'!P69+'12'!P69+'13'!P69+'14'!P69+'15'!P69+'16'!P69+'17'!P69+'18'!P69+'19'!P69+'20'!P71+'21'!P69+'22'!P70+'23'!P69+'24'!P69+'25'!P69</f>
        <v>1375</v>
      </c>
      <c r="R69" s="395"/>
      <c r="S69" s="376" t="s">
        <v>64</v>
      </c>
      <c r="T69" s="178"/>
      <c r="U69" s="179" t="s">
        <v>151</v>
      </c>
      <c r="V69" s="180"/>
      <c r="W69" s="183">
        <f>+'24'!W69+'25'!V69</f>
        <v>0</v>
      </c>
    </row>
    <row r="70" spans="1:23" x14ac:dyDescent="0.3">
      <c r="A70" s="95" t="s">
        <v>65</v>
      </c>
      <c r="B70" s="441">
        <v>10</v>
      </c>
      <c r="C70" s="454"/>
      <c r="D70" s="463" t="s">
        <v>471</v>
      </c>
      <c r="E70" s="543"/>
      <c r="F70" s="543"/>
      <c r="G70" s="543"/>
      <c r="H70" s="543"/>
      <c r="I70" s="543"/>
      <c r="J70" s="97">
        <v>34</v>
      </c>
      <c r="K70" s="407"/>
      <c r="L70" s="497" t="s">
        <v>56</v>
      </c>
      <c r="M70" s="498"/>
      <c r="N70" s="498"/>
      <c r="O70" s="408" t="s">
        <v>28</v>
      </c>
      <c r="P70" s="138">
        <v>62</v>
      </c>
      <c r="Q70" s="429">
        <f>'1'!Q70+'2'!P70+'3'!P70+'4'!P70+'5'!P70+'6'!P70+'7'!P70+'8'!P70+'9'!P70+'10'!P70+'11'!P70+'12'!P70+'13'!P70+'14'!P70+'15'!P70+'16'!P70+'17'!P70+'18'!P70+'19'!P70+'20'!P72+'21'!P70+'22'!P71+'23'!P70+'24'!P70+'25'!P70</f>
        <v>861</v>
      </c>
      <c r="R70" s="399">
        <f>T55*30</f>
        <v>600</v>
      </c>
    </row>
    <row r="71" spans="1:23" x14ac:dyDescent="0.3">
      <c r="A71" s="95" t="s">
        <v>67</v>
      </c>
      <c r="B71" s="441">
        <v>24</v>
      </c>
      <c r="C71" s="454"/>
      <c r="D71" s="552"/>
      <c r="E71" s="553"/>
      <c r="F71" s="553"/>
      <c r="G71" s="553"/>
      <c r="H71" s="553"/>
      <c r="I71" s="553"/>
      <c r="J71" s="97"/>
      <c r="K71" s="391"/>
      <c r="L71" s="497" t="s">
        <v>58</v>
      </c>
      <c r="M71" s="498"/>
      <c r="N71" s="498"/>
      <c r="O71" s="408" t="s">
        <v>28</v>
      </c>
      <c r="P71" s="138">
        <v>14</v>
      </c>
      <c r="Q71" s="99">
        <f>'1'!Q71+'2'!P71+'3'!P71+'4'!P71+'5'!P71+'6'!P71+'7'!P71+'8'!P71+'9'!P71+'10'!P71+'11'!P71+'12'!P71+'13'!P71+'14'!P71+'15'!P71+'16'!P71+'17'!P71+'18'!P71+'19'!P71+'20'!P73+'21'!P71+'22'!P72+'23'!P71+'24'!P71+'25'!P71</f>
        <v>406</v>
      </c>
      <c r="R71" s="399">
        <f>T55*25</f>
        <v>500</v>
      </c>
    </row>
    <row r="72" spans="1:23" x14ac:dyDescent="0.3">
      <c r="A72" s="95" t="s">
        <v>69</v>
      </c>
      <c r="B72" s="441">
        <v>23</v>
      </c>
      <c r="C72" s="454"/>
      <c r="D72" s="463"/>
      <c r="E72" s="543"/>
      <c r="F72" s="543"/>
      <c r="G72" s="543"/>
      <c r="H72" s="543"/>
      <c r="I72" s="543"/>
      <c r="J72" s="97"/>
      <c r="K72" s="391"/>
      <c r="L72" s="497" t="s">
        <v>60</v>
      </c>
      <c r="M72" s="498"/>
      <c r="N72" s="498"/>
      <c r="O72" s="408" t="s">
        <v>28</v>
      </c>
      <c r="P72" s="138">
        <v>7</v>
      </c>
      <c r="Q72" s="99">
        <f>'1'!Q72+'2'!P72+'3'!P72+'4'!P72+'5'!P72+'6'!P72+'7'!P72+'8'!P72+'9'!P72+'10'!P72+'11'!P72+'12'!P72+'13'!P72+'14'!P72+'15'!P72+'16'!P72+'17'!P72+'18'!P72+'19'!P72+'20'!P74+'21'!P72+'22'!P73+'23'!P72+'24'!P72+'25'!P72</f>
        <v>37</v>
      </c>
      <c r="R72" s="399">
        <f>T55*10</f>
        <v>200</v>
      </c>
    </row>
    <row r="73" spans="1:23" x14ac:dyDescent="0.3">
      <c r="A73" s="95" t="s">
        <v>71</v>
      </c>
      <c r="B73" s="441">
        <v>12</v>
      </c>
      <c r="C73" s="454"/>
      <c r="D73" s="463" t="s">
        <v>472</v>
      </c>
      <c r="E73" s="543"/>
      <c r="F73" s="543"/>
      <c r="G73" s="543"/>
      <c r="H73" s="543"/>
      <c r="I73" s="543"/>
      <c r="J73" s="97">
        <v>27</v>
      </c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'1'!Q73+'2'!P73+'3'!P73+'4'!P73+'5'!P73+'6'!P73+'7'!P73+'8'!P73+'9'!P73+'10'!P73+'11'!P73+'12'!P73+'13'!P73+'14'!P73+'15'!P73+'16'!P73+'17'!P73+'18'!P73+'19'!P73+'20'!P75+'21'!P73+'22'!P74+'23'!P73+'24'!P73+'25'!P73</f>
        <v>71</v>
      </c>
      <c r="R73" s="399"/>
    </row>
    <row r="74" spans="1:23" x14ac:dyDescent="0.3">
      <c r="A74" s="95" t="s">
        <v>73</v>
      </c>
      <c r="B74" s="441">
        <v>11</v>
      </c>
      <c r="C74" s="454"/>
      <c r="D74" s="463" t="s">
        <v>473</v>
      </c>
      <c r="E74" s="543"/>
      <c r="F74" s="543"/>
      <c r="G74" s="543"/>
      <c r="H74" s="543"/>
      <c r="I74" s="543"/>
      <c r="J74" s="97">
        <v>33</v>
      </c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'1'!Q74+'2'!P74+'3'!P74+'4'!P74+'5'!P74+'6'!P74+'7'!P74+'8'!P74+'9'!P74+'10'!P74+'11'!P74+'12'!P74+'13'!P74+'14'!P74+'15'!P74+'16'!P74+'17'!P74+'18'!P74+'19'!P74+'20'!P76+'21'!P74+'22'!P75+'23'!P74+'24'!P74+'25'!P74</f>
        <v>0</v>
      </c>
      <c r="R74" s="409"/>
    </row>
    <row r="75" spans="1:23" x14ac:dyDescent="0.3">
      <c r="A75" s="95" t="s">
        <v>75</v>
      </c>
      <c r="B75" s="441">
        <v>28</v>
      </c>
      <c r="C75" s="454"/>
      <c r="D75" s="552"/>
      <c r="E75" s="553"/>
      <c r="F75" s="553"/>
      <c r="G75" s="553"/>
      <c r="H75" s="553"/>
      <c r="I75" s="55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'1'!Q75+'2'!P75+'3'!P75+'4'!P75+'5'!P75+'6'!P75+'7'!P75+'8'!P75+'9'!P75+'10'!P75+'11'!P75+'12'!P75+'13'!P75+'14'!P75+'15'!P75+'16'!P75+'17'!P75+'18'!P75+'19'!P75+'20'!P77+'21'!P75+'22'!P76+'23'!P75+'24'!P75+'25'!P75</f>
        <v>28800</v>
      </c>
      <c r="R75" s="406"/>
    </row>
    <row r="76" spans="1:23" x14ac:dyDescent="0.3">
      <c r="A76" s="95" t="s">
        <v>77</v>
      </c>
      <c r="B76" s="441">
        <v>27</v>
      </c>
      <c r="C76" s="454"/>
      <c r="D76" s="463"/>
      <c r="E76" s="543"/>
      <c r="F76" s="543"/>
      <c r="G76" s="543"/>
      <c r="H76" s="543"/>
      <c r="I76" s="54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238</v>
      </c>
      <c r="Q76" s="94">
        <f>'1'!Q76+'2'!P76+'3'!P76+'4'!P76+'5'!P76+'6'!P76+'7'!P76+'8'!P76+'9'!P76+'10'!P76+'11'!P76+'12'!P76+'13'!P76+'14'!P76+'15'!P76+'16'!P76+'17'!P76+'18'!P76+'19'!P76+'20'!P78+'21'!P76+'22'!P77+'23'!P76+'24'!P76+'25'!P76</f>
        <v>4630</v>
      </c>
      <c r="R76" s="406"/>
    </row>
    <row r="77" spans="1:23" x14ac:dyDescent="0.3">
      <c r="A77" s="95" t="s">
        <v>79</v>
      </c>
      <c r="B77" s="441">
        <v>28</v>
      </c>
      <c r="C77" s="454"/>
      <c r="D77" s="463"/>
      <c r="E77" s="543"/>
      <c r="F77" s="543"/>
      <c r="G77" s="543"/>
      <c r="H77" s="543"/>
      <c r="I77" s="543"/>
      <c r="J77" s="97"/>
      <c r="K77" s="391"/>
      <c r="L77" s="486" t="s">
        <v>70</v>
      </c>
      <c r="M77" s="487"/>
      <c r="N77" s="488"/>
      <c r="O77" s="405" t="s">
        <v>28</v>
      </c>
      <c r="P77" s="142">
        <v>242</v>
      </c>
      <c r="Q77" s="94">
        <f>'1'!Q77+'2'!P77+'3'!P77+'4'!P77+'5'!P77+'6'!P77+'7'!P77+'8'!P77+'9'!P77+'10'!P77+'11'!P77+'12'!P77+'13'!P77+'14'!P77+'15'!P77+'16'!P77+'17'!P77+'18'!P77+'19'!P77+'20'!P79+'21'!P77+'22'!P78+'23'!P77+'24'!P77+'25'!P77</f>
        <v>4679</v>
      </c>
      <c r="R77" s="406"/>
    </row>
    <row r="78" spans="1:23" x14ac:dyDescent="0.3">
      <c r="A78" s="109" t="s">
        <v>82</v>
      </c>
      <c r="B78" s="442">
        <v>25</v>
      </c>
      <c r="C78" s="455"/>
      <c r="D78" s="463" t="s">
        <v>474</v>
      </c>
      <c r="E78" s="543"/>
      <c r="F78" s="543"/>
      <c r="G78" s="543"/>
      <c r="H78" s="543"/>
      <c r="I78" s="543"/>
      <c r="J78" s="97">
        <v>4</v>
      </c>
      <c r="K78" s="407"/>
      <c r="L78" s="486" t="s">
        <v>72</v>
      </c>
      <c r="M78" s="487"/>
      <c r="N78" s="488"/>
      <c r="O78" s="405" t="s">
        <v>28</v>
      </c>
      <c r="P78" s="94">
        <f>+P77-P76</f>
        <v>4</v>
      </c>
      <c r="Q78" s="94">
        <f>'1'!Q78+'2'!P78+'3'!P78+'4'!P78+'5'!P78+'6'!P78+'7'!P78+'8'!P78+'9'!P78+'10'!P78+'11'!P78+'12'!P78+'13'!P78+'14'!P78+'15'!P78+'16'!P78+'17'!P78+'18'!P78+'19'!P78+'20'!P80+'21'!P78+'22'!P79+'23'!P78+'24'!P78+'25'!P78</f>
        <v>49</v>
      </c>
      <c r="R78" s="406"/>
    </row>
    <row r="79" spans="1:23" x14ac:dyDescent="0.3">
      <c r="A79" s="114"/>
      <c r="B79" s="115">
        <f>SUM(B55:B78)</f>
        <v>528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238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1198</v>
      </c>
      <c r="Q79" s="94">
        <f>'1'!Q79+'2'!P79+'3'!P79+'4'!P79+'5'!P79+'6'!P79+'7'!P79+'8'!P79+'9'!P79+'10'!P79+'11'!P79+'12'!P79+'13'!P79+'14'!P79+'15'!P79+'16'!P79+'17'!P79+'18'!P79+'19'!P79+'20'!P81+'21'!P79+'22'!P80+'23'!P79+'24'!P79+'25'!P79</f>
        <v>24121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0.83194444444444449</v>
      </c>
      <c r="Q80" s="431">
        <f>Q79/Q75</f>
        <v>0.83753472222222225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0.83194444444444449</v>
      </c>
      <c r="Q81" s="165">
        <f>Q79/Q60</f>
        <v>0.67002777777777778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55.767846410684484</v>
      </c>
      <c r="Q82" s="150">
        <f>(C26/1000)/(Q79/60)</f>
        <v>53.308961485842218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46.39575</v>
      </c>
      <c r="Q83" s="113">
        <f>(C26/1000)/(Q75/60)</f>
        <v>44.648106249999998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34428</v>
      </c>
      <c r="Q84" s="100">
        <f>'1'!Q84+'2'!P84+'3'!P84+'4'!P84+'5'!P84+'6'!P84+'7'!P84+'8'!P84+'9'!P84+'10'!P84+'11'!P84+'12'!P84+'13'!P84+'14'!P84+'15'!P84+'16'!P84+'17'!P84+'18'!P84+'19'!P84+'20'!P86+'21'!P84+'22'!P85+'23'!P84+'24'!P84+'25'!P84</f>
        <v>690137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>
        <f>P84/(K17/1000)</f>
        <v>31.284302963776067</v>
      </c>
      <c r="Q85" s="124">
        <f>Q84/(K27/1000)</f>
        <v>32.702903863118983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200.56</v>
      </c>
      <c r="Q86" s="100">
        <f>'1'!Q86+'2'!P86+'3'!P86+'4'!P86+'5'!P86+'6'!P86+'7'!P86+'8'!P86+'9'!P86+'10'!P86+'11'!P86+'12'!P86+'13'!P86+'14'!P86+'15'!P86+'16'!P86+'17'!P86+'18'!P86+'19'!P86+'20'!P88+'21'!P86+'22'!P87+'23'!P86+'24'!P86+'25'!P86</f>
        <v>3974.93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>
        <f>(P86*1000)/(K16/1000)</f>
        <v>183.28686276606342</v>
      </c>
      <c r="Q87" s="124">
        <f>(Q86*1000)/(K26/1000)</f>
        <v>189.03239910687631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79</v>
      </c>
      <c r="Q88" s="100">
        <f>'1'!Q88+'2'!P88+'3'!P88+'4'!P88+'5'!P88+'6'!P88+'7'!P88+'8'!P88+'9'!P88+'10'!P88+'11'!P88+'12'!P88+'13'!P88+'14'!P88+'15'!P88+'16'!P88+'17'!P88+'18'!P88+'19'!P88+'20'!P90+'21'!P88+'22'!P89+'23'!P88+'24'!P88+'25'!P88</f>
        <v>2270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>
        <f>P88/(K16/1000)</f>
        <v>7.2196161540282258E-2</v>
      </c>
      <c r="Q89" s="124">
        <f>Q88/(K26/1000)</f>
        <v>0.10795247865311068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pageMargins left="0.7" right="0.7" top="0.25" bottom="0.25" header="0.3" footer="0.3"/>
  <pageSetup paperSize="9" scale="78" orientation="landscape" horizontalDpi="0" verticalDpi="0" r:id="rId1"/>
  <rowBreaks count="1" manualBreakCount="1">
    <brk id="49" max="16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abSelected="1" topLeftCell="B1" workbookViewId="0">
      <selection activeCell="R59" sqref="R59"/>
    </sheetView>
  </sheetViews>
  <sheetFormatPr defaultRowHeight="16.5" x14ac:dyDescent="0.3"/>
  <cols>
    <col min="1" max="1" width="9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'25'!A3:Q3+1</f>
        <v>46048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/>
      <c r="B7" s="15"/>
      <c r="C7" s="15"/>
      <c r="D7" s="16"/>
      <c r="E7" s="17"/>
      <c r="F7" s="18"/>
      <c r="G7" s="19" t="s">
        <v>1</v>
      </c>
      <c r="H7" s="20"/>
      <c r="I7" s="21"/>
      <c r="J7" s="22"/>
      <c r="K7" s="17"/>
      <c r="L7" s="23" t="e">
        <f t="shared" ref="L7:L16" si="0">K7/C7</f>
        <v>#DIV/0!</v>
      </c>
      <c r="M7" s="17"/>
      <c r="N7" s="22"/>
      <c r="O7" s="134"/>
      <c r="P7" s="134"/>
      <c r="Q7" s="134"/>
    </row>
    <row r="8" spans="1:17" x14ac:dyDescent="0.3">
      <c r="A8" s="24"/>
      <c r="B8" s="25"/>
      <c r="C8" s="25"/>
      <c r="D8" s="26"/>
      <c r="E8" s="27"/>
      <c r="F8" s="28"/>
      <c r="G8" s="29" t="s">
        <v>1</v>
      </c>
      <c r="H8" s="30"/>
      <c r="I8" s="31"/>
      <c r="J8" s="32"/>
      <c r="K8" s="33"/>
      <c r="L8" s="34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si="0"/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'25'!B22+'26'!B16</f>
        <v>8552</v>
      </c>
      <c r="C22" s="57">
        <f>'25'!C22+'26'!C16</f>
        <v>18074564</v>
      </c>
      <c r="D22" s="57">
        <f>'25'!D22+'26'!D16</f>
        <v>15</v>
      </c>
      <c r="E22" s="57">
        <f>'25'!E22+'26'!E16</f>
        <v>31699</v>
      </c>
      <c r="F22" s="423">
        <f>E22/C22</f>
        <v>1.7537905755292355E-3</v>
      </c>
      <c r="G22" s="58" t="s">
        <v>1</v>
      </c>
      <c r="H22" s="59"/>
      <c r="I22" s="59"/>
      <c r="J22" s="57">
        <f>'25'!J22+'26'!J16</f>
        <v>8509</v>
      </c>
      <c r="K22" s="57">
        <f>'25'!K22+'26'!K16</f>
        <v>17753607</v>
      </c>
      <c r="L22" s="60">
        <f>K22/C22</f>
        <v>0.98224261453830919</v>
      </c>
      <c r="M22" s="57">
        <f>'25'!M22+'26'!M16</f>
        <v>28</v>
      </c>
      <c r="N22" s="57">
        <f>'25'!N22+'26'!N16</f>
        <v>57472</v>
      </c>
      <c r="O22" s="135"/>
      <c r="P22" s="135"/>
      <c r="Q22" s="135"/>
    </row>
    <row r="23" spans="1:17" x14ac:dyDescent="0.3">
      <c r="A23" s="521"/>
      <c r="B23" s="61">
        <f>'25'!B23</f>
        <v>1600</v>
      </c>
      <c r="C23" s="61">
        <f>'25'!C23</f>
        <v>3356527</v>
      </c>
      <c r="D23" s="61">
        <f>'25'!D23</f>
        <v>9</v>
      </c>
      <c r="E23" s="61">
        <f>'25'!E23</f>
        <v>18918</v>
      </c>
      <c r="F23" s="424">
        <f>E23/C23</f>
        <v>5.6361828759309849E-3</v>
      </c>
      <c r="G23" s="381" t="s">
        <v>195</v>
      </c>
      <c r="H23" s="59"/>
      <c r="I23" s="59"/>
      <c r="J23" s="61">
        <f>'25'!J23</f>
        <v>1582</v>
      </c>
      <c r="K23" s="61">
        <f>'25'!K23</f>
        <v>3274164</v>
      </c>
      <c r="L23" s="382">
        <f t="shared" ref="L23:L24" si="1">K23/C23</f>
        <v>0.97546183897820571</v>
      </c>
      <c r="M23" s="61">
        <f>'25'!M23</f>
        <v>9</v>
      </c>
      <c r="N23" s="61">
        <f>'25'!N23</f>
        <v>17990</v>
      </c>
      <c r="O23" s="135"/>
      <c r="P23" s="135"/>
      <c r="Q23" s="135"/>
    </row>
    <row r="24" spans="1:17" x14ac:dyDescent="0.3">
      <c r="A24" s="521"/>
      <c r="B24" s="61">
        <f>'25'!B24</f>
        <v>0</v>
      </c>
      <c r="C24" s="61">
        <f>'25'!C24</f>
        <v>0</v>
      </c>
      <c r="D24" s="61">
        <f>'25'!D24</f>
        <v>0</v>
      </c>
      <c r="E24" s="61">
        <f>'25'!E24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'25'!J24</f>
        <v>0</v>
      </c>
      <c r="K24" s="61">
        <f>'25'!K24</f>
        <v>0</v>
      </c>
      <c r="L24" s="382" t="e">
        <f t="shared" si="1"/>
        <v>#DIV/0!</v>
      </c>
      <c r="M24" s="61">
        <f>'25'!M24</f>
        <v>0</v>
      </c>
      <c r="N24" s="61">
        <f>'25'!N24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10152</v>
      </c>
      <c r="C26" s="68">
        <f>SUM(C21:C25)</f>
        <v>21431091</v>
      </c>
      <c r="D26" s="49">
        <f>SUM(D21:D25)</f>
        <v>24</v>
      </c>
      <c r="E26" s="69">
        <f>SUM(E22:E25)</f>
        <v>50617</v>
      </c>
      <c r="F26" s="51">
        <f>E26/C26</f>
        <v>2.3618489604658949E-3</v>
      </c>
      <c r="G26" s="51"/>
      <c r="H26" s="70"/>
      <c r="I26" s="70"/>
      <c r="J26" s="71">
        <f>SUM(J22:J25)</f>
        <v>10091</v>
      </c>
      <c r="K26" s="68">
        <f>SUM(K22:K25)</f>
        <v>21027771</v>
      </c>
      <c r="L26" s="51">
        <f>K26/C26</f>
        <v>0.98118061278354896</v>
      </c>
      <c r="M26" s="71">
        <f>SUM(M22:M25)</f>
        <v>37</v>
      </c>
      <c r="N26" s="54">
        <f>SUM(N22:N25)</f>
        <v>75462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21103233</v>
      </c>
      <c r="L27" s="51">
        <f>K27/C26</f>
        <v>0.98470175876720412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'25'!A30</f>
        <v>BIC</v>
      </c>
      <c r="B30" s="307" t="str">
        <f>'25'!B30</f>
        <v>P.6</v>
      </c>
      <c r="C30" s="307" t="str">
        <f>'25'!C30</f>
        <v>BjTPG280</v>
      </c>
      <c r="D30" s="308">
        <f>'25'!D30</f>
        <v>239</v>
      </c>
      <c r="E30" s="308">
        <f>'25'!E30</f>
        <v>497038</v>
      </c>
      <c r="F30" s="79"/>
      <c r="G30" s="307" t="str">
        <f>'25'!G30</f>
        <v>WR</v>
      </c>
      <c r="H30" s="309">
        <f>'25'!H30</f>
        <v>18</v>
      </c>
      <c r="I30" s="309">
        <f>'25'!I30</f>
        <v>8</v>
      </c>
      <c r="J30" s="170">
        <f>'25'!J30</f>
        <v>68</v>
      </c>
      <c r="K30" s="310">
        <f>'25'!K30</f>
        <v>140152</v>
      </c>
      <c r="L30" s="79"/>
      <c r="M30" s="307" t="str">
        <f>'25'!M30</f>
        <v>WR</v>
      </c>
      <c r="N30" s="309">
        <f>'25'!N30</f>
        <v>0</v>
      </c>
      <c r="O30" s="309">
        <f>'25'!O30</f>
        <v>0</v>
      </c>
      <c r="P30" s="170">
        <f>'25'!P30</f>
        <v>0</v>
      </c>
      <c r="Q30" s="310">
        <f>'25'!Q30</f>
        <v>0</v>
      </c>
    </row>
    <row r="31" spans="1:17" x14ac:dyDescent="0.3">
      <c r="A31" s="307" t="str">
        <f>'25'!A31</f>
        <v>WR</v>
      </c>
      <c r="B31" s="307">
        <f>'25'!B31</f>
        <v>6.5</v>
      </c>
      <c r="C31" s="307">
        <f>'25'!C31</f>
        <v>8</v>
      </c>
      <c r="D31" s="308">
        <f>'25'!D31</f>
        <v>180</v>
      </c>
      <c r="E31" s="308">
        <f>'25'!E31</f>
        <v>377095</v>
      </c>
      <c r="F31" s="135"/>
      <c r="G31" s="307" t="str">
        <f>'25'!G31</f>
        <v>WR</v>
      </c>
      <c r="H31" s="309">
        <f>'25'!H31</f>
        <v>7.5</v>
      </c>
      <c r="I31" s="309">
        <f>'25'!I31</f>
        <v>8</v>
      </c>
      <c r="J31" s="170">
        <f>'25'!J31</f>
        <v>96</v>
      </c>
      <c r="K31" s="310">
        <f>'25'!K31</f>
        <v>200884</v>
      </c>
      <c r="L31" s="135"/>
      <c r="M31" s="307" t="str">
        <f>'25'!M31</f>
        <v>WR</v>
      </c>
      <c r="N31" s="309">
        <f>'25'!N31</f>
        <v>0</v>
      </c>
      <c r="O31" s="309">
        <f>'25'!O31</f>
        <v>0</v>
      </c>
      <c r="P31" s="170">
        <f>'25'!P31</f>
        <v>0</v>
      </c>
      <c r="Q31" s="310">
        <f>'25'!Q31</f>
        <v>0</v>
      </c>
    </row>
    <row r="32" spans="1:17" x14ac:dyDescent="0.3">
      <c r="A32" s="307" t="str">
        <f>'25'!A32</f>
        <v>WR</v>
      </c>
      <c r="B32" s="307">
        <f>'25'!B32</f>
        <v>6.5</v>
      </c>
      <c r="C32" s="307">
        <f>'25'!C32</f>
        <v>10</v>
      </c>
      <c r="D32" s="308">
        <f>'25'!D32</f>
        <v>48</v>
      </c>
      <c r="E32" s="308">
        <f>'25'!E32</f>
        <v>99149</v>
      </c>
      <c r="F32" s="135"/>
      <c r="G32" s="307" t="str">
        <f>'25'!G32</f>
        <v>WR</v>
      </c>
      <c r="H32" s="309">
        <f>'25'!H32</f>
        <v>7.5</v>
      </c>
      <c r="I32" s="309">
        <f>'25'!I32</f>
        <v>15</v>
      </c>
      <c r="J32" s="170">
        <f>'25'!J32</f>
        <v>543</v>
      </c>
      <c r="K32" s="310">
        <f>'25'!K32</f>
        <v>1124422</v>
      </c>
      <c r="L32" s="135"/>
      <c r="M32" s="307" t="str">
        <f>'25'!M32</f>
        <v>WR</v>
      </c>
      <c r="N32" s="309">
        <f>'25'!N32</f>
        <v>0</v>
      </c>
      <c r="O32" s="309">
        <f>'25'!O32</f>
        <v>0</v>
      </c>
      <c r="P32" s="170">
        <f>'25'!P32</f>
        <v>0</v>
      </c>
      <c r="Q32" s="310">
        <f>'25'!Q32</f>
        <v>0</v>
      </c>
    </row>
    <row r="33" spans="1:17" x14ac:dyDescent="0.3">
      <c r="A33" s="307" t="str">
        <f>'25'!A33</f>
        <v>WR</v>
      </c>
      <c r="B33" s="307">
        <f>'25'!B33</f>
        <v>6.5</v>
      </c>
      <c r="C33" s="307">
        <f>'25'!C33</f>
        <v>15</v>
      </c>
      <c r="D33" s="308">
        <f>'25'!D33</f>
        <v>6</v>
      </c>
      <c r="E33" s="308">
        <f>'25'!E33</f>
        <v>12304</v>
      </c>
      <c r="F33" s="135"/>
      <c r="G33" s="307" t="str">
        <f>'25'!G33</f>
        <v>WR</v>
      </c>
      <c r="H33" s="309">
        <f>'25'!H33</f>
        <v>5.5</v>
      </c>
      <c r="I33" s="309">
        <f>'25'!I33</f>
        <v>22</v>
      </c>
      <c r="J33" s="170">
        <f>'25'!J33</f>
        <v>436</v>
      </c>
      <c r="K33" s="310">
        <f>'25'!K33</f>
        <v>893285</v>
      </c>
      <c r="L33" s="135"/>
      <c r="M33" s="307" t="str">
        <f>'25'!M33</f>
        <v>WR</v>
      </c>
      <c r="N33" s="309">
        <f>'25'!N33</f>
        <v>0</v>
      </c>
      <c r="O33" s="309">
        <f>'25'!O33</f>
        <v>0</v>
      </c>
      <c r="P33" s="170">
        <f>'25'!P33</f>
        <v>0</v>
      </c>
      <c r="Q33" s="310">
        <f>'25'!Q33</f>
        <v>0</v>
      </c>
    </row>
    <row r="34" spans="1:17" x14ac:dyDescent="0.3">
      <c r="A34" s="307" t="str">
        <f>'25'!A34</f>
        <v>WR</v>
      </c>
      <c r="B34" s="307">
        <f>'25'!B34</f>
        <v>5.5</v>
      </c>
      <c r="C34" s="307">
        <f>'25'!C34</f>
        <v>6</v>
      </c>
      <c r="D34" s="308">
        <f>'25'!D34</f>
        <v>995</v>
      </c>
      <c r="E34" s="308">
        <f>'25'!E34</f>
        <v>2086453</v>
      </c>
      <c r="F34" s="135"/>
      <c r="G34" s="307" t="str">
        <f>'25'!G34</f>
        <v>WR</v>
      </c>
      <c r="H34" s="309">
        <f>'25'!H34</f>
        <v>5.5</v>
      </c>
      <c r="I34" s="309">
        <f>'25'!I34</f>
        <v>1045</v>
      </c>
      <c r="J34" s="170">
        <f>'25'!J34</f>
        <v>50</v>
      </c>
      <c r="K34" s="310">
        <f>'25'!K34</f>
        <v>104556</v>
      </c>
      <c r="L34" s="135"/>
      <c r="M34" s="307" t="str">
        <f>'25'!M34</f>
        <v>WR</v>
      </c>
      <c r="N34" s="309">
        <f>'25'!N34</f>
        <v>0</v>
      </c>
      <c r="O34" s="309">
        <f>'25'!O34</f>
        <v>0</v>
      </c>
      <c r="P34" s="170">
        <f>'25'!P34</f>
        <v>0</v>
      </c>
      <c r="Q34" s="310">
        <f>'25'!Q34</f>
        <v>0</v>
      </c>
    </row>
    <row r="35" spans="1:17" x14ac:dyDescent="0.3">
      <c r="A35" s="307" t="str">
        <f>'25'!A35</f>
        <v>WR</v>
      </c>
      <c r="B35" s="307">
        <f>'25'!B35</f>
        <v>5.5</v>
      </c>
      <c r="C35" s="307" t="str">
        <f>'25'!C35</f>
        <v>8.A</v>
      </c>
      <c r="D35" s="308">
        <f>'25'!D35</f>
        <v>75</v>
      </c>
      <c r="E35" s="308">
        <f>'25'!E35</f>
        <v>157414</v>
      </c>
      <c r="F35" s="135"/>
      <c r="G35" s="307" t="str">
        <f>'25'!G35</f>
        <v>WR</v>
      </c>
      <c r="H35" s="309">
        <f>'25'!H35</f>
        <v>9.5</v>
      </c>
      <c r="I35" s="309">
        <f>'25'!I35</f>
        <v>15</v>
      </c>
      <c r="J35" s="170">
        <f>'25'!J35</f>
        <v>322</v>
      </c>
      <c r="K35" s="310">
        <f>'25'!K35</f>
        <v>664963</v>
      </c>
      <c r="L35" s="135"/>
      <c r="M35" s="307" t="str">
        <f>'25'!M35</f>
        <v>WR</v>
      </c>
      <c r="N35" s="309">
        <f>'25'!N35</f>
        <v>0</v>
      </c>
      <c r="O35" s="309">
        <f>'25'!O35</f>
        <v>0</v>
      </c>
      <c r="P35" s="170">
        <f>'25'!P35</f>
        <v>0</v>
      </c>
      <c r="Q35" s="310">
        <f>'25'!Q35</f>
        <v>0</v>
      </c>
    </row>
    <row r="36" spans="1:17" x14ac:dyDescent="0.3">
      <c r="A36" s="307" t="str">
        <f>'25'!A36</f>
        <v>WR</v>
      </c>
      <c r="B36" s="307">
        <f>'25'!B36</f>
        <v>5.5</v>
      </c>
      <c r="C36" s="307" t="str">
        <f>'25'!C36</f>
        <v>22.A</v>
      </c>
      <c r="D36" s="308">
        <f>'25'!D36</f>
        <v>813</v>
      </c>
      <c r="E36" s="308">
        <f>'25'!E36</f>
        <v>1694379</v>
      </c>
      <c r="F36" s="135"/>
      <c r="G36" s="307" t="str">
        <f>'25'!G36</f>
        <v>WR</v>
      </c>
      <c r="H36" s="309">
        <f>'25'!H36</f>
        <v>12</v>
      </c>
      <c r="I36" s="309">
        <f>'25'!I36</f>
        <v>8</v>
      </c>
      <c r="J36" s="170">
        <f>'25'!J36</f>
        <v>143</v>
      </c>
      <c r="K36" s="310">
        <f>'25'!K36</f>
        <v>298814</v>
      </c>
      <c r="L36" s="135"/>
      <c r="M36" s="307" t="str">
        <f>'25'!M36</f>
        <v>WR</v>
      </c>
      <c r="N36" s="309">
        <f>'25'!N36</f>
        <v>0</v>
      </c>
      <c r="O36" s="309">
        <f>'25'!O36</f>
        <v>0</v>
      </c>
      <c r="P36" s="170">
        <f>'25'!P36</f>
        <v>0</v>
      </c>
      <c r="Q36" s="310">
        <f>'25'!Q36</f>
        <v>0</v>
      </c>
    </row>
    <row r="37" spans="1:17" x14ac:dyDescent="0.3">
      <c r="A37" s="307" t="str">
        <f>'25'!A37</f>
        <v>WR</v>
      </c>
      <c r="B37" s="307">
        <f>'25'!B37</f>
        <v>5.5</v>
      </c>
      <c r="C37" s="307" t="str">
        <f>'25'!C37</f>
        <v>Y.11</v>
      </c>
      <c r="D37" s="308">
        <f>'25'!D37</f>
        <v>1052</v>
      </c>
      <c r="E37" s="308">
        <f>'25'!E37</f>
        <v>2198500</v>
      </c>
      <c r="F37" s="135"/>
      <c r="G37" s="307" t="str">
        <f>'25'!G37</f>
        <v>WR</v>
      </c>
      <c r="H37" s="309">
        <f>'25'!H37</f>
        <v>9</v>
      </c>
      <c r="I37" s="309">
        <f>'25'!I37</f>
        <v>8</v>
      </c>
      <c r="J37" s="170">
        <f>'25'!J37</f>
        <v>191</v>
      </c>
      <c r="K37" s="310">
        <f>'25'!K37</f>
        <v>398927</v>
      </c>
      <c r="L37" s="135"/>
      <c r="M37" s="307" t="str">
        <f>'25'!M37</f>
        <v>WR</v>
      </c>
      <c r="N37" s="309">
        <f>'25'!N37</f>
        <v>0</v>
      </c>
      <c r="O37" s="309">
        <f>'25'!O37</f>
        <v>0</v>
      </c>
      <c r="P37" s="170">
        <f>'25'!P37</f>
        <v>0</v>
      </c>
      <c r="Q37" s="310">
        <f>'25'!Q37</f>
        <v>0</v>
      </c>
    </row>
    <row r="38" spans="1:17" x14ac:dyDescent="0.3">
      <c r="A38" s="307" t="str">
        <f>'25'!A38</f>
        <v>WR</v>
      </c>
      <c r="B38" s="307">
        <f>'25'!B38</f>
        <v>5.5</v>
      </c>
      <c r="C38" s="307" t="str">
        <f>'25'!C38</f>
        <v>67.A</v>
      </c>
      <c r="D38" s="308">
        <f>'25'!D38</f>
        <v>312</v>
      </c>
      <c r="E38" s="308">
        <f>'25'!E38</f>
        <v>660228</v>
      </c>
      <c r="F38" s="135"/>
      <c r="G38" s="307" t="str">
        <f>'25'!G38</f>
        <v>WR</v>
      </c>
      <c r="H38" s="309">
        <f>'25'!H38</f>
        <v>9</v>
      </c>
      <c r="I38" s="309">
        <f>'25'!I38</f>
        <v>10</v>
      </c>
      <c r="J38" s="170">
        <f>'25'!J38</f>
        <v>48</v>
      </c>
      <c r="K38" s="310">
        <f>'25'!K38</f>
        <v>99117</v>
      </c>
      <c r="L38" s="135"/>
      <c r="M38" s="307" t="str">
        <f>'25'!M38</f>
        <v>WR</v>
      </c>
      <c r="N38" s="309">
        <f>'25'!N38</f>
        <v>0</v>
      </c>
      <c r="O38" s="309">
        <f>'25'!O38</f>
        <v>0</v>
      </c>
      <c r="P38" s="170">
        <f>'25'!P38</f>
        <v>0</v>
      </c>
      <c r="Q38" s="310">
        <f>'25'!Q38</f>
        <v>0</v>
      </c>
    </row>
    <row r="39" spans="1:17" x14ac:dyDescent="0.3">
      <c r="A39" s="307" t="str">
        <f>'25'!A39</f>
        <v>BIC</v>
      </c>
      <c r="B39" s="307" t="str">
        <f>'25'!B39</f>
        <v>P.8</v>
      </c>
      <c r="C39" s="307" t="str">
        <f>'25'!C39</f>
        <v>BjTPG280</v>
      </c>
      <c r="D39" s="308">
        <f>'25'!D39</f>
        <v>240</v>
      </c>
      <c r="E39" s="308">
        <f>'25'!E39</f>
        <v>499780</v>
      </c>
      <c r="F39" s="135"/>
      <c r="G39" s="307" t="str">
        <f>'25'!G39</f>
        <v>WR</v>
      </c>
      <c r="H39" s="309">
        <f>'25'!H39</f>
        <v>5.5</v>
      </c>
      <c r="I39" s="309">
        <f>'25'!I39</f>
        <v>15</v>
      </c>
      <c r="J39" s="170">
        <f>'25'!J39</f>
        <v>116</v>
      </c>
      <c r="K39" s="310">
        <f>'25'!K39</f>
        <v>239659</v>
      </c>
      <c r="L39" s="135"/>
      <c r="M39" s="307" t="str">
        <f>'25'!M39</f>
        <v>WR</v>
      </c>
      <c r="N39" s="309">
        <f>'25'!N39</f>
        <v>0</v>
      </c>
      <c r="O39" s="309">
        <f>'25'!O39</f>
        <v>0</v>
      </c>
      <c r="P39" s="170">
        <f>'25'!P39</f>
        <v>0</v>
      </c>
      <c r="Q39" s="310">
        <f>'25'!Q39</f>
        <v>0</v>
      </c>
    </row>
    <row r="40" spans="1:17" x14ac:dyDescent="0.3">
      <c r="A40" s="307" t="str">
        <f>'25'!A40</f>
        <v>BIC</v>
      </c>
      <c r="B40" s="307" t="str">
        <f>'25'!B40</f>
        <v>S.8</v>
      </c>
      <c r="C40" s="307" t="str">
        <f>'25'!C40</f>
        <v>BjTSG420</v>
      </c>
      <c r="D40" s="308">
        <f>'25'!D40</f>
        <v>476</v>
      </c>
      <c r="E40" s="308">
        <f>'25'!E40</f>
        <v>981350</v>
      </c>
      <c r="F40" s="135"/>
      <c r="G40" s="307" t="str">
        <f>'25'!G40</f>
        <v>WR</v>
      </c>
      <c r="H40" s="309">
        <f>'25'!H40</f>
        <v>5.5</v>
      </c>
      <c r="I40" s="309" t="str">
        <f>'25'!I40</f>
        <v>72.A</v>
      </c>
      <c r="J40" s="170">
        <f>'25'!J40</f>
        <v>48</v>
      </c>
      <c r="K40" s="310">
        <f>'25'!K40</f>
        <v>101358</v>
      </c>
      <c r="L40" s="135"/>
      <c r="M40" s="307" t="str">
        <f>'25'!M40</f>
        <v>WR</v>
      </c>
      <c r="N40" s="309">
        <f>'25'!N40</f>
        <v>0</v>
      </c>
      <c r="O40" s="309">
        <f>'25'!O40</f>
        <v>0</v>
      </c>
      <c r="P40" s="170">
        <f>'25'!P40</f>
        <v>0</v>
      </c>
      <c r="Q40" s="310">
        <f>'25'!Q40</f>
        <v>0</v>
      </c>
    </row>
    <row r="41" spans="1:17" x14ac:dyDescent="0.3">
      <c r="A41" s="307" t="str">
        <f>'25'!A41</f>
        <v>BIC</v>
      </c>
      <c r="B41" s="307" t="str">
        <f>'25'!B41</f>
        <v>S.10</v>
      </c>
      <c r="C41" s="307" t="str">
        <f>'25'!C41</f>
        <v>BjTSG420</v>
      </c>
      <c r="D41" s="308">
        <f>'25'!D41</f>
        <v>292</v>
      </c>
      <c r="E41" s="308">
        <f>'25'!E41</f>
        <v>602112</v>
      </c>
      <c r="F41" s="135"/>
      <c r="G41" s="307" t="str">
        <f>'25'!G41</f>
        <v>WR</v>
      </c>
      <c r="H41" s="309">
        <f>'25'!H41</f>
        <v>12</v>
      </c>
      <c r="I41" s="309">
        <f>'25'!I41</f>
        <v>15</v>
      </c>
      <c r="J41" s="170">
        <f>'25'!J41</f>
        <v>54</v>
      </c>
      <c r="K41" s="310">
        <f>'25'!K41</f>
        <v>111148</v>
      </c>
      <c r="L41" s="135"/>
      <c r="M41" s="307" t="str">
        <f>'25'!M41</f>
        <v>WR</v>
      </c>
      <c r="N41" s="309">
        <f>'25'!N41</f>
        <v>0</v>
      </c>
      <c r="O41" s="309">
        <f>'25'!O41</f>
        <v>0</v>
      </c>
      <c r="P41" s="170">
        <f>'25'!P41</f>
        <v>0</v>
      </c>
      <c r="Q41" s="310">
        <f>'25'!Q41</f>
        <v>0</v>
      </c>
    </row>
    <row r="42" spans="1:17" x14ac:dyDescent="0.3">
      <c r="A42" s="307" t="str">
        <f>'25'!A42</f>
        <v>WR</v>
      </c>
      <c r="B42" s="307">
        <f>'25'!B42</f>
        <v>5.5</v>
      </c>
      <c r="C42" s="307">
        <f>'25'!C42</f>
        <v>8</v>
      </c>
      <c r="D42" s="308">
        <f>'25'!D42</f>
        <v>480</v>
      </c>
      <c r="E42" s="308">
        <f>'25'!E42</f>
        <v>1006478</v>
      </c>
      <c r="F42" s="135"/>
      <c r="G42" s="307" t="str">
        <f>'25'!G42</f>
        <v>WR</v>
      </c>
      <c r="H42" s="309">
        <f>'25'!H42</f>
        <v>8.5</v>
      </c>
      <c r="I42" s="309">
        <f>'25'!I42</f>
        <v>8</v>
      </c>
      <c r="J42" s="170">
        <f>'25'!J42</f>
        <v>168</v>
      </c>
      <c r="K42" s="310">
        <f>'25'!K42</f>
        <v>351899</v>
      </c>
      <c r="L42" s="135"/>
      <c r="M42" s="307" t="str">
        <f>'25'!M42</f>
        <v>WR</v>
      </c>
      <c r="N42" s="309">
        <f>'25'!N42</f>
        <v>0</v>
      </c>
      <c r="O42" s="309">
        <f>'25'!O42</f>
        <v>0</v>
      </c>
      <c r="P42" s="170">
        <f>'25'!P42</f>
        <v>0</v>
      </c>
      <c r="Q42" s="310">
        <f>'25'!Q42</f>
        <v>0</v>
      </c>
    </row>
    <row r="43" spans="1:17" x14ac:dyDescent="0.3">
      <c r="A43" s="307" t="str">
        <f>'25'!A43</f>
        <v>WR</v>
      </c>
      <c r="B43" s="307">
        <f>'25'!B43</f>
        <v>5.5</v>
      </c>
      <c r="C43" s="307" t="str">
        <f>'25'!C43</f>
        <v>67.B</v>
      </c>
      <c r="D43" s="308">
        <f>'25'!D43</f>
        <v>288</v>
      </c>
      <c r="E43" s="308">
        <f>'25'!E43</f>
        <v>609307</v>
      </c>
      <c r="F43" s="135"/>
      <c r="G43" s="307" t="str">
        <f>'25'!G43</f>
        <v>WR</v>
      </c>
      <c r="H43" s="309">
        <f>'25'!H43</f>
        <v>7</v>
      </c>
      <c r="I43" s="309">
        <f>'25'!I43</f>
        <v>6</v>
      </c>
      <c r="J43" s="170">
        <f>'25'!J43</f>
        <v>48</v>
      </c>
      <c r="K43" s="310">
        <f>'25'!K43</f>
        <v>100641</v>
      </c>
      <c r="L43" s="135"/>
      <c r="M43" s="307" t="str">
        <f>'25'!M43</f>
        <v>WR</v>
      </c>
      <c r="N43" s="309">
        <f>'25'!N43</f>
        <v>0</v>
      </c>
      <c r="O43" s="309">
        <f>'25'!O43</f>
        <v>0</v>
      </c>
      <c r="P43" s="170">
        <f>'25'!P43</f>
        <v>0</v>
      </c>
      <c r="Q43" s="310">
        <f>'25'!Q43</f>
        <v>0</v>
      </c>
    </row>
    <row r="44" spans="1:17" x14ac:dyDescent="0.3">
      <c r="A44" s="307" t="str">
        <f>'25'!A44</f>
        <v>BIC</v>
      </c>
      <c r="B44" s="307" t="str">
        <f>'25'!B44</f>
        <v>P.10</v>
      </c>
      <c r="C44" s="307" t="str">
        <f>'25'!C44</f>
        <v>BjTPG280</v>
      </c>
      <c r="D44" s="308">
        <f>'25'!D44</f>
        <v>287</v>
      </c>
      <c r="E44" s="308">
        <f>'25'!E44</f>
        <v>595480</v>
      </c>
      <c r="F44" s="135"/>
      <c r="G44" s="307" t="str">
        <f>'25'!G44</f>
        <v>WR</v>
      </c>
      <c r="H44" s="309">
        <f>'25'!H44</f>
        <v>7</v>
      </c>
      <c r="I44" s="309">
        <f>'25'!I44</f>
        <v>8</v>
      </c>
      <c r="J44" s="170">
        <f>'25'!J44</f>
        <v>143</v>
      </c>
      <c r="K44" s="310">
        <f>'25'!K44</f>
        <v>299375</v>
      </c>
      <c r="L44" s="135"/>
      <c r="M44" s="307" t="str">
        <f>'25'!M44</f>
        <v>WR</v>
      </c>
      <c r="N44" s="309">
        <f>'25'!N44</f>
        <v>0</v>
      </c>
      <c r="O44" s="309">
        <f>'25'!O44</f>
        <v>0</v>
      </c>
      <c r="P44" s="170">
        <f>'25'!P44</f>
        <v>0</v>
      </c>
      <c r="Q44" s="310">
        <f>'25'!Q44</f>
        <v>0</v>
      </c>
    </row>
    <row r="45" spans="1:17" x14ac:dyDescent="0.3">
      <c r="A45" s="307" t="str">
        <f>'25'!A45</f>
        <v>BIC</v>
      </c>
      <c r="B45" s="307" t="str">
        <f>'25'!B45</f>
        <v>S.6</v>
      </c>
      <c r="C45" s="307" t="str">
        <f>'25'!C45</f>
        <v>BjTSG420</v>
      </c>
      <c r="D45" s="308">
        <f>'25'!D45</f>
        <v>48</v>
      </c>
      <c r="E45" s="308">
        <f>'25'!E45</f>
        <v>98404</v>
      </c>
      <c r="F45" s="135"/>
      <c r="G45" s="307" t="str">
        <f>'25'!G45</f>
        <v>WR</v>
      </c>
      <c r="H45" s="309">
        <f>'25'!H45</f>
        <v>7</v>
      </c>
      <c r="I45" s="309">
        <f>'25'!I45</f>
        <v>10</v>
      </c>
      <c r="J45" s="170">
        <f>'25'!J45</f>
        <v>48</v>
      </c>
      <c r="K45" s="310">
        <f>'25'!K45</f>
        <v>98999</v>
      </c>
      <c r="L45" s="135"/>
      <c r="M45" s="307" t="str">
        <f>'25'!M45</f>
        <v>WR</v>
      </c>
      <c r="N45" s="309">
        <f>'25'!N45</f>
        <v>0</v>
      </c>
      <c r="O45" s="309">
        <f>'25'!O45</f>
        <v>0</v>
      </c>
      <c r="P45" s="170">
        <f>'25'!P45</f>
        <v>0</v>
      </c>
      <c r="Q45" s="310">
        <f>'25'!Q45</f>
        <v>0</v>
      </c>
    </row>
    <row r="46" spans="1:17" x14ac:dyDescent="0.3">
      <c r="A46" s="307" t="str">
        <f>'25'!A46</f>
        <v>WR</v>
      </c>
      <c r="B46" s="307">
        <f>'25'!B46</f>
        <v>17</v>
      </c>
      <c r="C46" s="307">
        <f>'25'!C46</f>
        <v>8</v>
      </c>
      <c r="D46" s="308">
        <f>'25'!D46</f>
        <v>91</v>
      </c>
      <c r="E46" s="308">
        <f>'25'!E46</f>
        <v>188048</v>
      </c>
      <c r="F46" s="135"/>
      <c r="G46" s="307" t="str">
        <f>'25'!G46</f>
        <v>WR</v>
      </c>
      <c r="H46" s="309">
        <f>'25'!H46</f>
        <v>5.5</v>
      </c>
      <c r="I46" s="309" t="str">
        <f>'25'!I46</f>
        <v>72.A</v>
      </c>
      <c r="J46" s="170">
        <f>'25'!J46</f>
        <v>96</v>
      </c>
      <c r="K46" s="310">
        <f>'25'!K46</f>
        <v>203214</v>
      </c>
      <c r="L46" s="135"/>
      <c r="M46" s="307" t="str">
        <f>'25'!M46</f>
        <v>WR</v>
      </c>
      <c r="N46" s="309">
        <f>'25'!N46</f>
        <v>0</v>
      </c>
      <c r="O46" s="309">
        <f>'25'!O46</f>
        <v>0</v>
      </c>
      <c r="P46" s="170">
        <f>'25'!P46</f>
        <v>0</v>
      </c>
      <c r="Q46" s="310">
        <f>'25'!Q46</f>
        <v>0</v>
      </c>
    </row>
    <row r="47" spans="1:17" x14ac:dyDescent="0.3">
      <c r="A47" s="307" t="str">
        <f>'25'!A47</f>
        <v>WR</v>
      </c>
      <c r="B47" s="307">
        <f>'25'!B47</f>
        <v>8.5</v>
      </c>
      <c r="C47" s="307">
        <f>'25'!C47</f>
        <v>15</v>
      </c>
      <c r="D47" s="308">
        <f>'25'!D47</f>
        <v>576</v>
      </c>
      <c r="E47" s="308">
        <f>'25'!E47</f>
        <v>1194727</v>
      </c>
      <c r="F47" s="135"/>
      <c r="G47" s="307" t="str">
        <f>'25'!G47</f>
        <v>WR</v>
      </c>
      <c r="H47" s="309">
        <f>'25'!H47</f>
        <v>5.5</v>
      </c>
      <c r="I47" s="309" t="str">
        <f>'25'!I47</f>
        <v>72.B</v>
      </c>
      <c r="J47" s="170">
        <f>'25'!J47</f>
        <v>144</v>
      </c>
      <c r="K47" s="310">
        <f>'25'!K47</f>
        <v>304424</v>
      </c>
      <c r="L47" s="135"/>
      <c r="M47" s="307" t="str">
        <f>'25'!M47</f>
        <v>WR</v>
      </c>
      <c r="N47" s="309">
        <f>'25'!N47</f>
        <v>0</v>
      </c>
      <c r="O47" s="309">
        <f>'25'!O47</f>
        <v>0</v>
      </c>
      <c r="P47" s="170">
        <f>'25'!P47</f>
        <v>0</v>
      </c>
      <c r="Q47" s="310">
        <f>'25'!Q47</f>
        <v>0</v>
      </c>
    </row>
    <row r="48" spans="1:17" x14ac:dyDescent="0.3">
      <c r="A48" s="307" t="str">
        <f>'25'!A48</f>
        <v>WR</v>
      </c>
      <c r="B48" s="307">
        <f>'25'!B48</f>
        <v>6.5</v>
      </c>
      <c r="C48" s="307">
        <f>'25'!C48</f>
        <v>8</v>
      </c>
      <c r="D48" s="308">
        <f>'25'!D48</f>
        <v>264</v>
      </c>
      <c r="E48" s="308">
        <f>'25'!E48</f>
        <v>552714</v>
      </c>
      <c r="F48" s="135"/>
      <c r="G48" s="307" t="str">
        <f>'25'!G48</f>
        <v>WR</v>
      </c>
      <c r="H48" s="309">
        <f>'25'!H48</f>
        <v>10</v>
      </c>
      <c r="I48" s="309">
        <f>'25'!I48</f>
        <v>8</v>
      </c>
      <c r="J48" s="170">
        <f>'25'!J48</f>
        <v>167</v>
      </c>
      <c r="K48" s="310">
        <f>'25'!K48</f>
        <v>349862</v>
      </c>
      <c r="L48" s="135"/>
      <c r="M48" s="307" t="str">
        <f>'25'!M48</f>
        <v>WR</v>
      </c>
      <c r="N48" s="309">
        <f>'25'!N48</f>
        <v>0</v>
      </c>
      <c r="O48" s="309">
        <f>'25'!O48</f>
        <v>0</v>
      </c>
      <c r="P48" s="170">
        <f>'25'!P48</f>
        <v>0</v>
      </c>
      <c r="Q48" s="310">
        <f>'25'!Q48</f>
        <v>0</v>
      </c>
    </row>
    <row r="49" spans="1:23" x14ac:dyDescent="0.3">
      <c r="A49" s="307" t="str">
        <f>'25'!A49</f>
        <v>WR</v>
      </c>
      <c r="B49" s="307">
        <f>'25'!B49</f>
        <v>6.5</v>
      </c>
      <c r="C49" s="307">
        <f>'25'!C49</f>
        <v>15</v>
      </c>
      <c r="D49" s="308">
        <f>'25'!D49</f>
        <v>281</v>
      </c>
      <c r="E49" s="308">
        <f>'25'!E49</f>
        <v>582161</v>
      </c>
      <c r="F49" s="3"/>
      <c r="G49" s="307" t="str">
        <f>'25'!G49</f>
        <v>WR</v>
      </c>
      <c r="H49" s="309">
        <f>'25'!H49</f>
        <v>8</v>
      </c>
      <c r="I49" s="309">
        <f>'25'!I49</f>
        <v>8</v>
      </c>
      <c r="J49" s="170">
        <f>'25'!J49</f>
        <v>119</v>
      </c>
      <c r="K49" s="310">
        <f>'25'!K49</f>
        <v>248951</v>
      </c>
      <c r="L49" s="3"/>
      <c r="M49" s="307" t="str">
        <f>'25'!M49</f>
        <v>WR</v>
      </c>
      <c r="N49" s="309">
        <f>'25'!N49</f>
        <v>0</v>
      </c>
      <c r="O49" s="309">
        <f>'25'!O49</f>
        <v>0</v>
      </c>
      <c r="P49" s="170">
        <f>'25'!P49</f>
        <v>0</v>
      </c>
      <c r="Q49" s="310">
        <f>'25'!Q49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46048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/>
      <c r="E55" s="506"/>
      <c r="F55" s="506"/>
      <c r="G55" s="506"/>
      <c r="H55" s="506"/>
      <c r="I55" s="506"/>
      <c r="J55" s="93"/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21431091</v>
      </c>
      <c r="R55" s="395"/>
      <c r="S55" s="388">
        <f>DAY(A52)</f>
        <v>26</v>
      </c>
      <c r="T55" s="383">
        <f>S55-U55</f>
        <v>21</v>
      </c>
      <c r="U55" s="383">
        <f>'25'!U55</f>
        <v>5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21103233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>
        <f>L27</f>
        <v>0.98470175876720412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50617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>
        <f>F26</f>
        <v>2.3618489604658949E-3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'1'!Q60+'2'!P60+'3'!P60+'4'!P60+'5'!P60+'6'!P60+'7'!P60+'8'!P60+'9'!P60+'10'!P60+'11'!P60+'12'!P60+'13'!P60+'14'!P60+'15'!P60+'16'!P60+'17'!P60+'18'!P60+'19'!P60+'20'!P62+'21'!P60+'22'!P61+'23'!P60+'24'!P60+'25'!P60+'26'!P60</f>
        <v>37440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'1'!Q61+'2'!P61+'3'!P61+'4'!P61+'5'!P61+'6'!P61+'7'!P61+'8'!P61+'9'!P61+'10'!P61+'11'!P61+'12'!P61+'13'!P61+'14'!P61+'15'!P61+'16'!P61+'17'!P61+'18'!P61+'19'!P61+'20'!P63+'21'!P61+'22'!P62+'23'!P61+'24'!P61+'25'!P61+'26'!P61</f>
        <v>7200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'1'!Q62+'2'!P62+'3'!P62+'4'!P62+'5'!P62+'6'!P62+'7'!P62+'8'!P62+'9'!P62+'10'!P62+'11'!P62+'12'!P62+'13'!P62+'14'!P62+'15'!P62+'16'!P62+'17'!P62+'18'!P62+'19'!P62+'20'!P64+'21'!P62+'22'!P63+'23'!P62+'24'!P62+'25'!P62+'26'!P62</f>
        <v>7200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'1'!Q63+'2'!P63+'3'!P63+'4'!P63+'5'!P63+'6'!P63+'7'!P63+'8'!P63+'9'!P63+'10'!P63+'11'!P63+'12'!P63+'13'!P63+'14'!P63+'15'!P63+'16'!P63+'17'!P63+'18'!P63+'19'!P63+'20'!P65+'21'!P63+'22'!P64+'23'!P63+'24'!P63+'25'!P63+'26'!P63</f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'1'!Q64+'2'!P64+'3'!P64+'4'!P64+'5'!P64+'6'!P64+'7'!P64+'8'!P64+'9'!P64+'10'!P64+'11'!P64+'12'!P64+'13'!P64+'14'!P64+'15'!P64+'16'!P64+'17'!P64+'18'!P64+'19'!P64+'20'!P66+'21'!P64+'22'!P65+'23'!P64+'24'!P64+'25'!P64+'26'!P64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00">
        <f>'1'!Q65+'2'!P65+'3'!P65+'4'!P65+'5'!P65+'6'!P65+'7'!P65+'8'!P65+'9'!P65+'10'!P65+'11'!P65+'12'!P65+'13'!P65+'14'!P65+'15'!P65+'16'!P65+'17'!P65+'18'!P65+'19'!P65+'20'!P67+'21'!P65+'22'!P66+'23'!P65+'24'!P65+'25'!P65+'26'!P65</f>
        <v>3255</v>
      </c>
      <c r="R65" s="395"/>
      <c r="S65" s="171" t="s">
        <v>56</v>
      </c>
      <c r="T65" s="172"/>
      <c r="U65" s="173" t="s">
        <v>151</v>
      </c>
      <c r="V65" s="174"/>
      <c r="W65" s="181">
        <f>+'25'!W65+'26'!V65</f>
        <v>14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'1'!Q66+'2'!P66+'3'!P66+'4'!P66+'5'!P66+'6'!P66+'7'!P66+'8'!P66+'9'!P66+'10'!P66+'11'!P66+'12'!P66+'13'!P66+'14'!P66+'15'!P66+'16'!P66+'17'!P66+'18'!P66+'19'!P66+'20'!P68+'21'!P66+'22'!P67+'23'!P66+'24'!P66+'25'!P66+'26'!P66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+'25'!W66+'26'!V66</f>
        <v>7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>'1'!Q67+'2'!P67+'3'!P67+'4'!P67+'5'!P67+'6'!P67+'7'!P67+'8'!P67+'9'!P67+'10'!P67+'11'!P67+'12'!P67+'13'!P67+'14'!P67+'15'!P67+'16'!P67+'17'!P67+'18'!P67+'19'!P67+'20'!P69+'21'!P67+'22'!P68+'23'!P67+'24'!P67+'25'!P67+'26'!P67</f>
        <v>2804</v>
      </c>
      <c r="R67" s="399"/>
      <c r="S67" s="377" t="s">
        <v>60</v>
      </c>
      <c r="T67" s="175"/>
      <c r="U67" s="176" t="s">
        <v>151</v>
      </c>
      <c r="V67" s="177"/>
      <c r="W67" s="182">
        <f>+'25'!W67+'26'!V67</f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>'1'!Q68+'2'!P68+'3'!P68+'4'!P68+'5'!P68+'6'!P68+'7'!P68+'8'!P68+'9'!P68+'10'!P68+'11'!P68+'12'!P68+'13'!P68+'14'!P68+'15'!P68+'16'!P68+'17'!P68+'18'!P68+'19'!P68+'20'!P70+'21'!P68+'22'!P69+'23'!P68+'24'!P68+'25'!P68+'26'!P68</f>
        <v>451</v>
      </c>
      <c r="R68" s="409"/>
      <c r="S68" s="377" t="s">
        <v>62</v>
      </c>
      <c r="T68" s="175"/>
      <c r="U68" s="176" t="s">
        <v>151</v>
      </c>
      <c r="V68" s="177"/>
      <c r="W68" s="182">
        <f>+'25'!W68+'26'!V68</f>
        <v>3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0</v>
      </c>
      <c r="Q69" s="100">
        <f>'1'!Q69+'2'!P69+'3'!P69+'4'!P69+'5'!P69+'6'!P69+'7'!P69+'8'!P69+'9'!P69+'10'!P69+'11'!P69+'12'!P69+'13'!P69+'14'!P69+'15'!P69+'16'!P69+'17'!P69+'18'!P69+'19'!P69+'20'!P71+'21'!P69+'22'!P70+'23'!P69+'24'!P69+'25'!P69+'26'!P69</f>
        <v>1375</v>
      </c>
      <c r="R69" s="395"/>
      <c r="S69" s="376" t="s">
        <v>64</v>
      </c>
      <c r="T69" s="178"/>
      <c r="U69" s="179" t="s">
        <v>151</v>
      </c>
      <c r="V69" s="180"/>
      <c r="W69" s="183">
        <f>+'25'!W69+'26'!V69</f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>'1'!Q70+'2'!P70+'3'!P70+'4'!P70+'5'!P70+'6'!P70+'7'!P70+'8'!P70+'9'!P70+'10'!P70+'11'!P70+'12'!P70+'13'!P70+'14'!P70+'15'!P70+'16'!P70+'17'!P70+'18'!P70+'19'!P70+'20'!P72+'21'!P70+'22'!P71+'23'!P70+'24'!P70+'25'!P70+'26'!P70</f>
        <v>861</v>
      </c>
      <c r="R70" s="399">
        <f>T55*30</f>
        <v>630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>'1'!Q71+'2'!P71+'3'!P71+'4'!P71+'5'!P71+'6'!P71+'7'!P71+'8'!P71+'9'!P71+'10'!P71+'11'!P71+'12'!P71+'13'!P71+'14'!P71+'15'!P71+'16'!P71+'17'!P71+'18'!P71+'19'!P71+'20'!P73+'21'!P71+'22'!P72+'23'!P71+'24'!P71+'25'!P71+'26'!P71</f>
        <v>406</v>
      </c>
      <c r="R71" s="399">
        <f>T55*25</f>
        <v>525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'1'!Q72+'2'!P72+'3'!P72+'4'!P72+'5'!P72+'6'!P72+'7'!P72+'8'!P72+'9'!P72+'10'!P72+'11'!P72+'12'!P72+'13'!P72+'14'!P72+'15'!P72+'16'!P72+'17'!P72+'18'!P72+'19'!P72+'20'!P74+'21'!P72+'22'!P73+'23'!P72+'24'!P72+'25'!P72+'26'!P72</f>
        <v>37</v>
      </c>
      <c r="R72" s="399">
        <f>T55*10</f>
        <v>210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'1'!Q73+'2'!P73+'3'!P73+'4'!P73+'5'!P73+'6'!P73+'7'!P73+'8'!P73+'9'!P73+'10'!P73+'11'!P73+'12'!P73+'13'!P73+'14'!P73+'15'!P73+'16'!P73+'17'!P73+'18'!P73+'19'!P73+'20'!P75+'21'!P73+'22'!P74+'23'!P73+'24'!P73+'25'!P73+'26'!P73</f>
        <v>71</v>
      </c>
      <c r="R73" s="399"/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'1'!Q74+'2'!P74+'3'!P74+'4'!P74+'5'!P74+'6'!P74+'7'!P74+'8'!P74+'9'!P74+'10'!P74+'11'!P74+'12'!P74+'13'!P74+'14'!P74+'15'!P74+'16'!P74+'17'!P74+'18'!P74+'19'!P74+'20'!P76+'21'!P74+'22'!P75+'23'!P74+'24'!P74+'25'!P74+'26'!P74</f>
        <v>0</v>
      </c>
      <c r="R74" s="409"/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'1'!Q75+'2'!P75+'3'!P75+'4'!P75+'5'!P75+'6'!P75+'7'!P75+'8'!P75+'9'!P75+'10'!P75+'11'!P75+'12'!P75+'13'!P75+'14'!P75+'15'!P75+'16'!P75+'17'!P75+'18'!P75+'19'!P75+'20'!P77+'21'!P75+'22'!P76+'23'!P75+'24'!P75+'25'!P75+'26'!P75</f>
        <v>30240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>'1'!Q76+'2'!P76+'3'!P76+'4'!P76+'5'!P76+'6'!P76+'7'!P76+'8'!P76+'9'!P76+'10'!P76+'11'!P76+'12'!P76+'13'!P76+'14'!P76+'15'!P76+'16'!P76+'17'!P76+'18'!P76+'19'!P76+'20'!P78+'21'!P76+'22'!P77+'23'!P76+'24'!P76+'25'!P76+'26'!P76</f>
        <v>4630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94">
        <f>'1'!Q77+'2'!P77+'3'!P77+'4'!P77+'5'!P77+'6'!P77+'7'!P77+'8'!P77+'9'!P77+'10'!P77+'11'!P77+'12'!P77+'13'!P77+'14'!P77+'15'!P77+'16'!P77+'17'!P77+'18'!P77+'19'!P77+'20'!P79+'21'!P77+'22'!P78+'23'!P77+'24'!P77+'25'!P77+'26'!P77</f>
        <v>4679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'1'!Q78+'2'!P78+'3'!P78+'4'!P78+'5'!P78+'6'!P78+'7'!P78+'8'!P78+'9'!P78+'10'!P78+'11'!P78+'12'!P78+'13'!P78+'14'!P78+'15'!P78+'16'!P78+'17'!P78+'18'!P78+'19'!P78+'20'!P80+'21'!P78+'22'!P79+'23'!P78+'24'!P78+'25'!P78+'26'!P78</f>
        <v>49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1440</v>
      </c>
      <c r="Q79" s="94">
        <f>'1'!Q79+'2'!P79+'3'!P79+'4'!P79+'5'!P79+'6'!P79+'7'!P79+'8'!P79+'9'!P79+'10'!P79+'11'!P79+'12'!P79+'13'!P79+'14'!P79+'15'!P79+'16'!P79+'17'!P79+'18'!P79+'19'!P79+'20'!P81+'21'!P79+'22'!P80+'23'!P79+'24'!P79+'25'!P79+'26'!P79</f>
        <v>25561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1</v>
      </c>
      <c r="Q80" s="149">
        <f>Q79/Q75</f>
        <v>0.84527116402116398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1</v>
      </c>
      <c r="Q81" s="152">
        <f>Q79/Q60</f>
        <v>0.68271901709401706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0</v>
      </c>
      <c r="Q82" s="150">
        <f>(C26/1000)/(Q79/60)</f>
        <v>50.305757208246945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0</v>
      </c>
      <c r="Q83" s="113">
        <f>(C26/1000)/(Q75/60)</f>
        <v>42.522005952380951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0</v>
      </c>
      <c r="Q84" s="100">
        <f>'1'!Q84+'2'!P84+'3'!P84+'4'!P84+'5'!P84+'6'!P84+'7'!P84+'8'!P84+'9'!P84+'10'!P84+'11'!P84+'12'!P84+'13'!P84+'14'!P84+'15'!P84+'16'!P84+'17'!P84+'18'!P84+'19'!P84+'20'!P86+'21'!P84+'22'!P85+'23'!P84+'24'!P84+'25'!P84+'26'!P84</f>
        <v>690137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 t="e">
        <f>P84/(K17/1000)</f>
        <v>#DIV/0!</v>
      </c>
      <c r="Q85" s="124">
        <f>Q84/(K27/1000)</f>
        <v>32.702903863118983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0</v>
      </c>
      <c r="Q86" s="100">
        <f>'1'!Q86+'2'!P86+'3'!P86+'4'!P86+'5'!P86+'6'!P86+'7'!P86+'8'!P86+'9'!P86+'10'!P86+'11'!P86+'12'!P86+'13'!P86+'14'!P86+'15'!P86+'16'!P86+'17'!P86+'18'!P86+'19'!P86+'20'!P88+'21'!P86+'22'!P87+'23'!P86+'24'!P86+'25'!P86+'26'!P86</f>
        <v>3974.93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>
        <f>(Q86*1000)/(K26/1000)</f>
        <v>189.03239910687631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0</v>
      </c>
      <c r="Q88" s="100">
        <f>'1'!Q88+'2'!P88+'3'!P88+'4'!P88+'5'!P88+'6'!P88+'7'!P88+'8'!P88+'9'!P88+'10'!P88+'11'!P88+'12'!P88+'13'!P88+'14'!P88+'15'!P88+'16'!P88+'17'!P88+'18'!P88+'19'!P88+'20'!P90+'21'!P88+'22'!P89+'23'!P88+'24'!P88+'25'!P88+'26'!P88</f>
        <v>2270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124">
        <f>Q88/(K26/1000)</f>
        <v>0.10795247865311068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4">
    <mergeCell ref="A2:Q2"/>
    <mergeCell ref="A3:Q3"/>
    <mergeCell ref="A4:F4"/>
    <mergeCell ref="G4:N4"/>
    <mergeCell ref="A5:C5"/>
    <mergeCell ref="D5:F5"/>
    <mergeCell ref="G5:L5"/>
    <mergeCell ref="M5:N5"/>
    <mergeCell ref="A21:A26"/>
    <mergeCell ref="A27:J27"/>
    <mergeCell ref="A51:Q51"/>
    <mergeCell ref="C53:C54"/>
    <mergeCell ref="D53:I54"/>
    <mergeCell ref="J53:J54"/>
    <mergeCell ref="L53:N54"/>
    <mergeCell ref="O53:O54"/>
    <mergeCell ref="P53:P54"/>
    <mergeCell ref="Q53:Q54"/>
    <mergeCell ref="A17:J17"/>
    <mergeCell ref="A19:F19"/>
    <mergeCell ref="G19:N19"/>
    <mergeCell ref="A20:C20"/>
    <mergeCell ref="D20:F20"/>
    <mergeCell ref="G20:L20"/>
    <mergeCell ref="M20:N20"/>
    <mergeCell ref="D58:I58"/>
    <mergeCell ref="D55:I55"/>
    <mergeCell ref="D56:I56"/>
    <mergeCell ref="D59:I59"/>
    <mergeCell ref="L64:N64"/>
    <mergeCell ref="D57:I57"/>
    <mergeCell ref="L62:N62"/>
    <mergeCell ref="D60:I60"/>
    <mergeCell ref="L60:N60"/>
    <mergeCell ref="D61:I61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L72:N72"/>
    <mergeCell ref="D68:I68"/>
    <mergeCell ref="L70:N70"/>
    <mergeCell ref="D69:I69"/>
    <mergeCell ref="L68:N68"/>
    <mergeCell ref="L69:N69"/>
    <mergeCell ref="L86:N87"/>
    <mergeCell ref="L88:N89"/>
    <mergeCell ref="N91:O91"/>
    <mergeCell ref="P91:Q91"/>
    <mergeCell ref="D72:I72"/>
    <mergeCell ref="L77:N77"/>
    <mergeCell ref="D73:I73"/>
    <mergeCell ref="L78:N78"/>
    <mergeCell ref="D74:I74"/>
    <mergeCell ref="L79:N79"/>
    <mergeCell ref="L76:N76"/>
    <mergeCell ref="L82:N82"/>
    <mergeCell ref="D78:I78"/>
    <mergeCell ref="L83:N83"/>
    <mergeCell ref="D79:I79"/>
    <mergeCell ref="L84:N85"/>
    <mergeCell ref="L80:N80"/>
    <mergeCell ref="D76:I76"/>
    <mergeCell ref="L81:N81"/>
    <mergeCell ref="D77:I77"/>
    <mergeCell ref="L55:N55"/>
    <mergeCell ref="L56:N56"/>
    <mergeCell ref="L57:N57"/>
    <mergeCell ref="L58:N58"/>
    <mergeCell ref="L59:N59"/>
    <mergeCell ref="L74:N74"/>
    <mergeCell ref="D70:I70"/>
    <mergeCell ref="L75:N75"/>
    <mergeCell ref="D71:I71"/>
    <mergeCell ref="L73:N73"/>
    <mergeCell ref="D75:I75"/>
    <mergeCell ref="L71:N71"/>
  </mergeCells>
  <pageMargins left="0.7" right="0.7" top="0.25" bottom="0.25" header="0.3" footer="0.3"/>
  <pageSetup paperSize="9" scale="78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B40" workbookViewId="0">
      <selection activeCell="R59" sqref="R59"/>
    </sheetView>
  </sheetViews>
  <sheetFormatPr defaultRowHeight="16.5" x14ac:dyDescent="0.3"/>
  <cols>
    <col min="1" max="1" width="8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'26'!A3:Q3+1</f>
        <v>46049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/>
      <c r="B7" s="15"/>
      <c r="C7" s="15"/>
      <c r="D7" s="16"/>
      <c r="E7" s="17"/>
      <c r="F7" s="18"/>
      <c r="G7" s="19" t="s">
        <v>1</v>
      </c>
      <c r="H7" s="20"/>
      <c r="I7" s="21"/>
      <c r="J7" s="22"/>
      <c r="K7" s="17"/>
      <c r="L7" s="23" t="e">
        <f t="shared" ref="L7:L16" si="0">K7/C7</f>
        <v>#DIV/0!</v>
      </c>
      <c r="M7" s="17"/>
      <c r="N7" s="22"/>
      <c r="O7" s="134"/>
      <c r="P7" s="134"/>
      <c r="Q7" s="134"/>
    </row>
    <row r="8" spans="1:17" x14ac:dyDescent="0.3">
      <c r="A8" s="24"/>
      <c r="B8" s="25"/>
      <c r="C8" s="25"/>
      <c r="D8" s="26"/>
      <c r="E8" s="27"/>
      <c r="F8" s="28"/>
      <c r="G8" s="29" t="s">
        <v>1</v>
      </c>
      <c r="H8" s="30"/>
      <c r="I8" s="31"/>
      <c r="J8" s="32"/>
      <c r="K8" s="33"/>
      <c r="L8" s="34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si="0"/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'26'!B22+'27'!B16</f>
        <v>8552</v>
      </c>
      <c r="C22" s="57">
        <f>'26'!C22+'27'!C16</f>
        <v>18074564</v>
      </c>
      <c r="D22" s="57">
        <f>'26'!D22+'27'!D16</f>
        <v>15</v>
      </c>
      <c r="E22" s="57">
        <f>'26'!E22+'27'!E16</f>
        <v>31699</v>
      </c>
      <c r="F22" s="423">
        <f>E22/C22</f>
        <v>1.7537905755292355E-3</v>
      </c>
      <c r="G22" s="58" t="s">
        <v>1</v>
      </c>
      <c r="H22" s="59"/>
      <c r="I22" s="59"/>
      <c r="J22" s="57">
        <f>'26'!J22+'27'!J16</f>
        <v>8509</v>
      </c>
      <c r="K22" s="57">
        <f>'26'!K22+'27'!K16</f>
        <v>17753607</v>
      </c>
      <c r="L22" s="60">
        <f>K22/C22</f>
        <v>0.98224261453830919</v>
      </c>
      <c r="M22" s="57">
        <f>'26'!M22+'27'!M16</f>
        <v>28</v>
      </c>
      <c r="N22" s="57">
        <f>'26'!N22+'27'!N16</f>
        <v>57472</v>
      </c>
      <c r="O22" s="135"/>
      <c r="P22" s="135"/>
      <c r="Q22" s="135"/>
    </row>
    <row r="23" spans="1:17" x14ac:dyDescent="0.3">
      <c r="A23" s="521"/>
      <c r="B23" s="61">
        <f>'26'!B23</f>
        <v>1600</v>
      </c>
      <c r="C23" s="61">
        <f>'26'!C23</f>
        <v>3356527</v>
      </c>
      <c r="D23" s="61">
        <f>'26'!D23</f>
        <v>9</v>
      </c>
      <c r="E23" s="61">
        <f>'26'!E23</f>
        <v>18918</v>
      </c>
      <c r="F23" s="424">
        <f>E23/C23</f>
        <v>5.6361828759309849E-3</v>
      </c>
      <c r="G23" s="381" t="s">
        <v>195</v>
      </c>
      <c r="H23" s="59"/>
      <c r="I23" s="59"/>
      <c r="J23" s="61">
        <f>'26'!J23</f>
        <v>1582</v>
      </c>
      <c r="K23" s="61">
        <f>'26'!K23</f>
        <v>3274164</v>
      </c>
      <c r="L23" s="382">
        <f t="shared" ref="L23:L24" si="1">K23/C23</f>
        <v>0.97546183897820571</v>
      </c>
      <c r="M23" s="61">
        <f>'26'!M23</f>
        <v>9</v>
      </c>
      <c r="N23" s="61">
        <f>'26'!N23</f>
        <v>17990</v>
      </c>
      <c r="O23" s="135"/>
      <c r="P23" s="135"/>
      <c r="Q23" s="135"/>
    </row>
    <row r="24" spans="1:17" x14ac:dyDescent="0.3">
      <c r="A24" s="521"/>
      <c r="B24" s="61">
        <f>'26'!B24</f>
        <v>0</v>
      </c>
      <c r="C24" s="61">
        <f>'26'!C24</f>
        <v>0</v>
      </c>
      <c r="D24" s="61">
        <f>'26'!D24</f>
        <v>0</v>
      </c>
      <c r="E24" s="61">
        <f>'26'!E24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'26'!J24</f>
        <v>0</v>
      </c>
      <c r="K24" s="61">
        <f>'26'!K24</f>
        <v>0</v>
      </c>
      <c r="L24" s="382" t="e">
        <f t="shared" si="1"/>
        <v>#DIV/0!</v>
      </c>
      <c r="M24" s="61">
        <f>'26'!M24</f>
        <v>0</v>
      </c>
      <c r="N24" s="61">
        <f>'26'!N24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10152</v>
      </c>
      <c r="C26" s="68">
        <f>SUM(C21:C25)</f>
        <v>21431091</v>
      </c>
      <c r="D26" s="49">
        <f>SUM(D21:D25)</f>
        <v>24</v>
      </c>
      <c r="E26" s="69">
        <f>SUM(E22:E25)</f>
        <v>50617</v>
      </c>
      <c r="F26" s="51">
        <f>E26/C26</f>
        <v>2.3618489604658949E-3</v>
      </c>
      <c r="G26" s="51"/>
      <c r="H26" s="70"/>
      <c r="I26" s="70"/>
      <c r="J26" s="71">
        <f>SUM(J22:J25)</f>
        <v>10091</v>
      </c>
      <c r="K26" s="68">
        <f>SUM(K22:K25)</f>
        <v>21027771</v>
      </c>
      <c r="L26" s="51">
        <f>K26/C26</f>
        <v>0.98118061278354896</v>
      </c>
      <c r="M26" s="71">
        <f>SUM(M22:M25)</f>
        <v>37</v>
      </c>
      <c r="N26" s="54">
        <f>SUM(N22:N25)</f>
        <v>75462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21103233</v>
      </c>
      <c r="L27" s="51">
        <f>K27/C26</f>
        <v>0.98470175876720412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'26'!A30</f>
        <v>BIC</v>
      </c>
      <c r="B30" s="307" t="str">
        <f>'26'!B30</f>
        <v>P.6</v>
      </c>
      <c r="C30" s="307" t="str">
        <f>'26'!C30</f>
        <v>BjTPG280</v>
      </c>
      <c r="D30" s="308">
        <f>'26'!D30</f>
        <v>239</v>
      </c>
      <c r="E30" s="308">
        <f>'26'!E30</f>
        <v>497038</v>
      </c>
      <c r="F30" s="79"/>
      <c r="G30" s="307" t="str">
        <f>'26'!G30</f>
        <v>WR</v>
      </c>
      <c r="H30" s="309">
        <f>'26'!H30</f>
        <v>18</v>
      </c>
      <c r="I30" s="309">
        <f>'26'!I30</f>
        <v>8</v>
      </c>
      <c r="J30" s="170">
        <f>'26'!J30</f>
        <v>68</v>
      </c>
      <c r="K30" s="310">
        <f>'26'!K30</f>
        <v>140152</v>
      </c>
      <c r="L30" s="79"/>
      <c r="M30" s="307" t="str">
        <f>'26'!M30</f>
        <v>WR</v>
      </c>
      <c r="N30" s="309">
        <f>'26'!N30</f>
        <v>0</v>
      </c>
      <c r="O30" s="309">
        <f>'26'!O30</f>
        <v>0</v>
      </c>
      <c r="P30" s="170">
        <f>'26'!P30</f>
        <v>0</v>
      </c>
      <c r="Q30" s="310">
        <f>'26'!Q30</f>
        <v>0</v>
      </c>
    </row>
    <row r="31" spans="1:17" x14ac:dyDescent="0.3">
      <c r="A31" s="307" t="str">
        <f>'26'!A31</f>
        <v>WR</v>
      </c>
      <c r="B31" s="307">
        <f>'26'!B31</f>
        <v>6.5</v>
      </c>
      <c r="C31" s="307">
        <f>'26'!C31</f>
        <v>8</v>
      </c>
      <c r="D31" s="308">
        <f>'26'!D31</f>
        <v>180</v>
      </c>
      <c r="E31" s="308">
        <f>'26'!E31</f>
        <v>377095</v>
      </c>
      <c r="F31" s="135"/>
      <c r="G31" s="307" t="str">
        <f>'26'!G31</f>
        <v>WR</v>
      </c>
      <c r="H31" s="309">
        <f>'26'!H31</f>
        <v>7.5</v>
      </c>
      <c r="I31" s="309">
        <f>'26'!I31</f>
        <v>8</v>
      </c>
      <c r="J31" s="170">
        <f>'26'!J31</f>
        <v>96</v>
      </c>
      <c r="K31" s="310">
        <f>'26'!K31</f>
        <v>200884</v>
      </c>
      <c r="L31" s="135"/>
      <c r="M31" s="307" t="str">
        <f>'26'!M31</f>
        <v>WR</v>
      </c>
      <c r="N31" s="309">
        <f>'26'!N31</f>
        <v>0</v>
      </c>
      <c r="O31" s="309">
        <f>'26'!O31</f>
        <v>0</v>
      </c>
      <c r="P31" s="170">
        <f>'26'!P31</f>
        <v>0</v>
      </c>
      <c r="Q31" s="310">
        <f>'26'!Q31</f>
        <v>0</v>
      </c>
    </row>
    <row r="32" spans="1:17" x14ac:dyDescent="0.3">
      <c r="A32" s="307" t="str">
        <f>'26'!A32</f>
        <v>WR</v>
      </c>
      <c r="B32" s="307">
        <f>'26'!B32</f>
        <v>6.5</v>
      </c>
      <c r="C32" s="307">
        <f>'26'!C32</f>
        <v>10</v>
      </c>
      <c r="D32" s="308">
        <f>'26'!D32</f>
        <v>48</v>
      </c>
      <c r="E32" s="308">
        <f>'26'!E32</f>
        <v>99149</v>
      </c>
      <c r="F32" s="135"/>
      <c r="G32" s="307" t="str">
        <f>'26'!G32</f>
        <v>WR</v>
      </c>
      <c r="H32" s="309">
        <f>'26'!H32</f>
        <v>7.5</v>
      </c>
      <c r="I32" s="309">
        <f>'26'!I32</f>
        <v>15</v>
      </c>
      <c r="J32" s="170">
        <f>'26'!J32</f>
        <v>543</v>
      </c>
      <c r="K32" s="310">
        <f>'26'!K32</f>
        <v>1124422</v>
      </c>
      <c r="L32" s="135"/>
      <c r="M32" s="307" t="str">
        <f>'26'!M32</f>
        <v>WR</v>
      </c>
      <c r="N32" s="309">
        <f>'26'!N32</f>
        <v>0</v>
      </c>
      <c r="O32" s="309">
        <f>'26'!O32</f>
        <v>0</v>
      </c>
      <c r="P32" s="170">
        <f>'26'!P32</f>
        <v>0</v>
      </c>
      <c r="Q32" s="310">
        <f>'26'!Q32</f>
        <v>0</v>
      </c>
    </row>
    <row r="33" spans="1:17" x14ac:dyDescent="0.3">
      <c r="A33" s="307" t="str">
        <f>'26'!A33</f>
        <v>WR</v>
      </c>
      <c r="B33" s="307">
        <f>'26'!B33</f>
        <v>6.5</v>
      </c>
      <c r="C33" s="307">
        <f>'26'!C33</f>
        <v>15</v>
      </c>
      <c r="D33" s="308">
        <f>'26'!D33</f>
        <v>6</v>
      </c>
      <c r="E33" s="308">
        <f>'26'!E33</f>
        <v>12304</v>
      </c>
      <c r="F33" s="135"/>
      <c r="G33" s="307" t="str">
        <f>'26'!G33</f>
        <v>WR</v>
      </c>
      <c r="H33" s="309">
        <f>'26'!H33</f>
        <v>5.5</v>
      </c>
      <c r="I33" s="309">
        <f>'26'!I33</f>
        <v>22</v>
      </c>
      <c r="J33" s="170">
        <f>'26'!J33</f>
        <v>436</v>
      </c>
      <c r="K33" s="310">
        <f>'26'!K33</f>
        <v>893285</v>
      </c>
      <c r="L33" s="135"/>
      <c r="M33" s="307" t="str">
        <f>'26'!M33</f>
        <v>WR</v>
      </c>
      <c r="N33" s="309">
        <f>'26'!N33</f>
        <v>0</v>
      </c>
      <c r="O33" s="309">
        <f>'26'!O33</f>
        <v>0</v>
      </c>
      <c r="P33" s="170">
        <f>'26'!P33</f>
        <v>0</v>
      </c>
      <c r="Q33" s="310">
        <f>'26'!Q33</f>
        <v>0</v>
      </c>
    </row>
    <row r="34" spans="1:17" x14ac:dyDescent="0.3">
      <c r="A34" s="307" t="str">
        <f>'26'!A34</f>
        <v>WR</v>
      </c>
      <c r="B34" s="307">
        <f>'26'!B34</f>
        <v>5.5</v>
      </c>
      <c r="C34" s="307">
        <f>'26'!C34</f>
        <v>6</v>
      </c>
      <c r="D34" s="308">
        <f>'26'!D34</f>
        <v>995</v>
      </c>
      <c r="E34" s="308">
        <f>'26'!E34</f>
        <v>2086453</v>
      </c>
      <c r="F34" s="135"/>
      <c r="G34" s="307" t="str">
        <f>'26'!G34</f>
        <v>WR</v>
      </c>
      <c r="H34" s="309">
        <f>'26'!H34</f>
        <v>5.5</v>
      </c>
      <c r="I34" s="309">
        <f>'26'!I34</f>
        <v>1045</v>
      </c>
      <c r="J34" s="170">
        <f>'26'!J34</f>
        <v>50</v>
      </c>
      <c r="K34" s="310">
        <f>'26'!K34</f>
        <v>104556</v>
      </c>
      <c r="L34" s="135"/>
      <c r="M34" s="307" t="str">
        <f>'26'!M34</f>
        <v>WR</v>
      </c>
      <c r="N34" s="309">
        <f>'26'!N34</f>
        <v>0</v>
      </c>
      <c r="O34" s="309">
        <f>'26'!O34</f>
        <v>0</v>
      </c>
      <c r="P34" s="170">
        <f>'26'!P34</f>
        <v>0</v>
      </c>
      <c r="Q34" s="310">
        <f>'26'!Q34</f>
        <v>0</v>
      </c>
    </row>
    <row r="35" spans="1:17" x14ac:dyDescent="0.3">
      <c r="A35" s="307" t="str">
        <f>'26'!A35</f>
        <v>WR</v>
      </c>
      <c r="B35" s="307">
        <f>'26'!B35</f>
        <v>5.5</v>
      </c>
      <c r="C35" s="307" t="str">
        <f>'26'!C35</f>
        <v>8.A</v>
      </c>
      <c r="D35" s="308">
        <f>'26'!D35</f>
        <v>75</v>
      </c>
      <c r="E35" s="308">
        <f>'26'!E35</f>
        <v>157414</v>
      </c>
      <c r="F35" s="135"/>
      <c r="G35" s="307" t="str">
        <f>'26'!G35</f>
        <v>WR</v>
      </c>
      <c r="H35" s="309">
        <f>'26'!H35</f>
        <v>9.5</v>
      </c>
      <c r="I35" s="309">
        <f>'26'!I35</f>
        <v>15</v>
      </c>
      <c r="J35" s="170">
        <f>'26'!J35</f>
        <v>322</v>
      </c>
      <c r="K35" s="310">
        <f>'26'!K35</f>
        <v>664963</v>
      </c>
      <c r="L35" s="135"/>
      <c r="M35" s="307" t="str">
        <f>'26'!M35</f>
        <v>WR</v>
      </c>
      <c r="N35" s="309">
        <f>'26'!N35</f>
        <v>0</v>
      </c>
      <c r="O35" s="309">
        <f>'26'!O35</f>
        <v>0</v>
      </c>
      <c r="P35" s="170">
        <f>'26'!P35</f>
        <v>0</v>
      </c>
      <c r="Q35" s="310">
        <f>'26'!Q35</f>
        <v>0</v>
      </c>
    </row>
    <row r="36" spans="1:17" x14ac:dyDescent="0.3">
      <c r="A36" s="307" t="str">
        <f>'26'!A36</f>
        <v>WR</v>
      </c>
      <c r="B36" s="307">
        <f>'26'!B36</f>
        <v>5.5</v>
      </c>
      <c r="C36" s="307" t="str">
        <f>'26'!C36</f>
        <v>22.A</v>
      </c>
      <c r="D36" s="308">
        <f>'26'!D36</f>
        <v>813</v>
      </c>
      <c r="E36" s="308">
        <f>'26'!E36</f>
        <v>1694379</v>
      </c>
      <c r="F36" s="135"/>
      <c r="G36" s="307" t="str">
        <f>'26'!G36</f>
        <v>WR</v>
      </c>
      <c r="H36" s="309">
        <f>'26'!H36</f>
        <v>12</v>
      </c>
      <c r="I36" s="309">
        <f>'26'!I36</f>
        <v>8</v>
      </c>
      <c r="J36" s="170">
        <f>'26'!J36</f>
        <v>143</v>
      </c>
      <c r="K36" s="310">
        <f>'26'!K36</f>
        <v>298814</v>
      </c>
      <c r="L36" s="135"/>
      <c r="M36" s="307" t="str">
        <f>'26'!M36</f>
        <v>WR</v>
      </c>
      <c r="N36" s="309">
        <f>'26'!N36</f>
        <v>0</v>
      </c>
      <c r="O36" s="309">
        <f>'26'!O36</f>
        <v>0</v>
      </c>
      <c r="P36" s="170">
        <f>'26'!P36</f>
        <v>0</v>
      </c>
      <c r="Q36" s="310">
        <f>'26'!Q36</f>
        <v>0</v>
      </c>
    </row>
    <row r="37" spans="1:17" x14ac:dyDescent="0.3">
      <c r="A37" s="307" t="str">
        <f>'26'!A37</f>
        <v>WR</v>
      </c>
      <c r="B37" s="307">
        <f>'26'!B37</f>
        <v>5.5</v>
      </c>
      <c r="C37" s="307" t="str">
        <f>'26'!C37</f>
        <v>Y.11</v>
      </c>
      <c r="D37" s="308">
        <f>'26'!D37</f>
        <v>1052</v>
      </c>
      <c r="E37" s="308">
        <f>'26'!E37</f>
        <v>2198500</v>
      </c>
      <c r="F37" s="135"/>
      <c r="G37" s="307" t="str">
        <f>'26'!G37</f>
        <v>WR</v>
      </c>
      <c r="H37" s="309">
        <f>'26'!H37</f>
        <v>9</v>
      </c>
      <c r="I37" s="309">
        <f>'26'!I37</f>
        <v>8</v>
      </c>
      <c r="J37" s="170">
        <f>'26'!J37</f>
        <v>191</v>
      </c>
      <c r="K37" s="310">
        <f>'26'!K37</f>
        <v>398927</v>
      </c>
      <c r="L37" s="135"/>
      <c r="M37" s="307" t="str">
        <f>'26'!M37</f>
        <v>WR</v>
      </c>
      <c r="N37" s="309">
        <f>'26'!N37</f>
        <v>0</v>
      </c>
      <c r="O37" s="309">
        <f>'26'!O37</f>
        <v>0</v>
      </c>
      <c r="P37" s="170">
        <f>'26'!P37</f>
        <v>0</v>
      </c>
      <c r="Q37" s="310">
        <f>'26'!Q37</f>
        <v>0</v>
      </c>
    </row>
    <row r="38" spans="1:17" x14ac:dyDescent="0.3">
      <c r="A38" s="307" t="str">
        <f>'26'!A38</f>
        <v>WR</v>
      </c>
      <c r="B38" s="307">
        <f>'26'!B38</f>
        <v>5.5</v>
      </c>
      <c r="C38" s="307" t="str">
        <f>'26'!C38</f>
        <v>67.A</v>
      </c>
      <c r="D38" s="308">
        <f>'26'!D38</f>
        <v>312</v>
      </c>
      <c r="E38" s="308">
        <f>'26'!E38</f>
        <v>660228</v>
      </c>
      <c r="F38" s="135"/>
      <c r="G38" s="307" t="str">
        <f>'26'!G38</f>
        <v>WR</v>
      </c>
      <c r="H38" s="309">
        <f>'26'!H38</f>
        <v>9</v>
      </c>
      <c r="I38" s="309">
        <f>'26'!I38</f>
        <v>10</v>
      </c>
      <c r="J38" s="170">
        <f>'26'!J38</f>
        <v>48</v>
      </c>
      <c r="K38" s="310">
        <f>'26'!K38</f>
        <v>99117</v>
      </c>
      <c r="L38" s="135"/>
      <c r="M38" s="307" t="str">
        <f>'26'!M38</f>
        <v>WR</v>
      </c>
      <c r="N38" s="309">
        <f>'26'!N38</f>
        <v>0</v>
      </c>
      <c r="O38" s="309">
        <f>'26'!O38</f>
        <v>0</v>
      </c>
      <c r="P38" s="170">
        <f>'26'!P38</f>
        <v>0</v>
      </c>
      <c r="Q38" s="310">
        <f>'26'!Q38</f>
        <v>0</v>
      </c>
    </row>
    <row r="39" spans="1:17" x14ac:dyDescent="0.3">
      <c r="A39" s="307" t="str">
        <f>'26'!A39</f>
        <v>BIC</v>
      </c>
      <c r="B39" s="307" t="str">
        <f>'26'!B39</f>
        <v>P.8</v>
      </c>
      <c r="C39" s="307" t="str">
        <f>'26'!C39</f>
        <v>BjTPG280</v>
      </c>
      <c r="D39" s="308">
        <f>'26'!D39</f>
        <v>240</v>
      </c>
      <c r="E39" s="308">
        <f>'26'!E39</f>
        <v>499780</v>
      </c>
      <c r="F39" s="135"/>
      <c r="G39" s="307" t="str">
        <f>'26'!G39</f>
        <v>WR</v>
      </c>
      <c r="H39" s="309">
        <f>'26'!H39</f>
        <v>5.5</v>
      </c>
      <c r="I39" s="309">
        <f>'26'!I39</f>
        <v>15</v>
      </c>
      <c r="J39" s="170">
        <f>'26'!J39</f>
        <v>116</v>
      </c>
      <c r="K39" s="310">
        <f>'26'!K39</f>
        <v>239659</v>
      </c>
      <c r="L39" s="135"/>
      <c r="M39" s="307" t="str">
        <f>'26'!M39</f>
        <v>WR</v>
      </c>
      <c r="N39" s="309">
        <f>'26'!N39</f>
        <v>0</v>
      </c>
      <c r="O39" s="309">
        <f>'26'!O39</f>
        <v>0</v>
      </c>
      <c r="P39" s="170">
        <f>'26'!P39</f>
        <v>0</v>
      </c>
      <c r="Q39" s="310">
        <f>'26'!Q39</f>
        <v>0</v>
      </c>
    </row>
    <row r="40" spans="1:17" x14ac:dyDescent="0.3">
      <c r="A40" s="307" t="str">
        <f>'26'!A40</f>
        <v>BIC</v>
      </c>
      <c r="B40" s="307" t="str">
        <f>'26'!B40</f>
        <v>S.8</v>
      </c>
      <c r="C40" s="307" t="str">
        <f>'26'!C40</f>
        <v>BjTSG420</v>
      </c>
      <c r="D40" s="308">
        <f>'26'!D40</f>
        <v>476</v>
      </c>
      <c r="E40" s="308">
        <f>'26'!E40</f>
        <v>981350</v>
      </c>
      <c r="F40" s="135"/>
      <c r="G40" s="307" t="str">
        <f>'26'!G40</f>
        <v>WR</v>
      </c>
      <c r="H40" s="309">
        <f>'26'!H40</f>
        <v>5.5</v>
      </c>
      <c r="I40" s="309" t="str">
        <f>'26'!I40</f>
        <v>72.A</v>
      </c>
      <c r="J40" s="170">
        <f>'26'!J40</f>
        <v>48</v>
      </c>
      <c r="K40" s="310">
        <f>'26'!K40</f>
        <v>101358</v>
      </c>
      <c r="L40" s="135"/>
      <c r="M40" s="307" t="str">
        <f>'26'!M40</f>
        <v>WR</v>
      </c>
      <c r="N40" s="309">
        <f>'26'!N40</f>
        <v>0</v>
      </c>
      <c r="O40" s="309">
        <f>'26'!O40</f>
        <v>0</v>
      </c>
      <c r="P40" s="170">
        <f>'26'!P40</f>
        <v>0</v>
      </c>
      <c r="Q40" s="310">
        <f>'26'!Q40</f>
        <v>0</v>
      </c>
    </row>
    <row r="41" spans="1:17" x14ac:dyDescent="0.3">
      <c r="A41" s="307" t="str">
        <f>'26'!A41</f>
        <v>BIC</v>
      </c>
      <c r="B41" s="307" t="str">
        <f>'26'!B41</f>
        <v>S.10</v>
      </c>
      <c r="C41" s="307" t="str">
        <f>'26'!C41</f>
        <v>BjTSG420</v>
      </c>
      <c r="D41" s="308">
        <f>'26'!D41</f>
        <v>292</v>
      </c>
      <c r="E41" s="308">
        <f>'26'!E41</f>
        <v>602112</v>
      </c>
      <c r="F41" s="135"/>
      <c r="G41" s="307" t="str">
        <f>'26'!G41</f>
        <v>WR</v>
      </c>
      <c r="H41" s="309">
        <f>'26'!H41</f>
        <v>12</v>
      </c>
      <c r="I41" s="309">
        <f>'26'!I41</f>
        <v>15</v>
      </c>
      <c r="J41" s="170">
        <f>'26'!J41</f>
        <v>54</v>
      </c>
      <c r="K41" s="310">
        <f>'26'!K41</f>
        <v>111148</v>
      </c>
      <c r="L41" s="135"/>
      <c r="M41" s="307" t="str">
        <f>'26'!M41</f>
        <v>WR</v>
      </c>
      <c r="N41" s="309">
        <f>'26'!N41</f>
        <v>0</v>
      </c>
      <c r="O41" s="309">
        <f>'26'!O41</f>
        <v>0</v>
      </c>
      <c r="P41" s="170">
        <f>'26'!P41</f>
        <v>0</v>
      </c>
      <c r="Q41" s="310">
        <f>'26'!Q41</f>
        <v>0</v>
      </c>
    </row>
    <row r="42" spans="1:17" x14ac:dyDescent="0.3">
      <c r="A42" s="307" t="str">
        <f>'26'!A42</f>
        <v>WR</v>
      </c>
      <c r="B42" s="307">
        <f>'26'!B42</f>
        <v>5.5</v>
      </c>
      <c r="C42" s="307">
        <f>'26'!C42</f>
        <v>8</v>
      </c>
      <c r="D42" s="308">
        <f>'26'!D42</f>
        <v>480</v>
      </c>
      <c r="E42" s="308">
        <f>'26'!E42</f>
        <v>1006478</v>
      </c>
      <c r="F42" s="135"/>
      <c r="G42" s="307" t="str">
        <f>'26'!G42</f>
        <v>WR</v>
      </c>
      <c r="H42" s="309">
        <f>'26'!H42</f>
        <v>8.5</v>
      </c>
      <c r="I42" s="309">
        <f>'26'!I42</f>
        <v>8</v>
      </c>
      <c r="J42" s="170">
        <f>'26'!J42</f>
        <v>168</v>
      </c>
      <c r="K42" s="310">
        <f>'26'!K42</f>
        <v>351899</v>
      </c>
      <c r="L42" s="135"/>
      <c r="M42" s="307" t="str">
        <f>'26'!M42</f>
        <v>WR</v>
      </c>
      <c r="N42" s="309">
        <f>'26'!N42</f>
        <v>0</v>
      </c>
      <c r="O42" s="309">
        <f>'26'!O42</f>
        <v>0</v>
      </c>
      <c r="P42" s="170">
        <f>'26'!P42</f>
        <v>0</v>
      </c>
      <c r="Q42" s="310">
        <f>'26'!Q42</f>
        <v>0</v>
      </c>
    </row>
    <row r="43" spans="1:17" x14ac:dyDescent="0.3">
      <c r="A43" s="307" t="str">
        <f>'26'!A43</f>
        <v>WR</v>
      </c>
      <c r="B43" s="307">
        <f>'26'!B43</f>
        <v>5.5</v>
      </c>
      <c r="C43" s="307" t="str">
        <f>'26'!C43</f>
        <v>67.B</v>
      </c>
      <c r="D43" s="308">
        <f>'26'!D43</f>
        <v>288</v>
      </c>
      <c r="E43" s="308">
        <f>'26'!E43</f>
        <v>609307</v>
      </c>
      <c r="F43" s="135"/>
      <c r="G43" s="307" t="str">
        <f>'26'!G43</f>
        <v>WR</v>
      </c>
      <c r="H43" s="309">
        <f>'26'!H43</f>
        <v>7</v>
      </c>
      <c r="I43" s="309">
        <f>'26'!I43</f>
        <v>6</v>
      </c>
      <c r="J43" s="170">
        <f>'26'!J43</f>
        <v>48</v>
      </c>
      <c r="K43" s="310">
        <f>'26'!K43</f>
        <v>100641</v>
      </c>
      <c r="L43" s="135"/>
      <c r="M43" s="307" t="str">
        <f>'26'!M43</f>
        <v>WR</v>
      </c>
      <c r="N43" s="309">
        <f>'26'!N43</f>
        <v>0</v>
      </c>
      <c r="O43" s="309">
        <f>'26'!O43</f>
        <v>0</v>
      </c>
      <c r="P43" s="170">
        <f>'26'!P43</f>
        <v>0</v>
      </c>
      <c r="Q43" s="310">
        <f>'26'!Q43</f>
        <v>0</v>
      </c>
    </row>
    <row r="44" spans="1:17" x14ac:dyDescent="0.3">
      <c r="A44" s="307" t="str">
        <f>'26'!A44</f>
        <v>BIC</v>
      </c>
      <c r="B44" s="307" t="str">
        <f>'26'!B44</f>
        <v>P.10</v>
      </c>
      <c r="C44" s="307" t="str">
        <f>'26'!C44</f>
        <v>BjTPG280</v>
      </c>
      <c r="D44" s="308">
        <f>'26'!D44</f>
        <v>287</v>
      </c>
      <c r="E44" s="308">
        <f>'26'!E44</f>
        <v>595480</v>
      </c>
      <c r="F44" s="135"/>
      <c r="G44" s="307" t="str">
        <f>'26'!G44</f>
        <v>WR</v>
      </c>
      <c r="H44" s="309">
        <f>'26'!H44</f>
        <v>7</v>
      </c>
      <c r="I44" s="309">
        <f>'26'!I44</f>
        <v>8</v>
      </c>
      <c r="J44" s="170">
        <f>'26'!J44</f>
        <v>143</v>
      </c>
      <c r="K44" s="310">
        <f>'26'!K44</f>
        <v>299375</v>
      </c>
      <c r="L44" s="135"/>
      <c r="M44" s="307" t="str">
        <f>'26'!M44</f>
        <v>WR</v>
      </c>
      <c r="N44" s="309">
        <f>'26'!N44</f>
        <v>0</v>
      </c>
      <c r="O44" s="309">
        <f>'26'!O44</f>
        <v>0</v>
      </c>
      <c r="P44" s="170">
        <f>'26'!P44</f>
        <v>0</v>
      </c>
      <c r="Q44" s="310">
        <f>'26'!Q44</f>
        <v>0</v>
      </c>
    </row>
    <row r="45" spans="1:17" x14ac:dyDescent="0.3">
      <c r="A45" s="307" t="str">
        <f>'26'!A45</f>
        <v>BIC</v>
      </c>
      <c r="B45" s="307" t="str">
        <f>'26'!B45</f>
        <v>S.6</v>
      </c>
      <c r="C45" s="307" t="str">
        <f>'26'!C45</f>
        <v>BjTSG420</v>
      </c>
      <c r="D45" s="308">
        <f>'26'!D45</f>
        <v>48</v>
      </c>
      <c r="E45" s="308">
        <f>'26'!E45</f>
        <v>98404</v>
      </c>
      <c r="F45" s="135"/>
      <c r="G45" s="307" t="str">
        <f>'26'!G45</f>
        <v>WR</v>
      </c>
      <c r="H45" s="309">
        <f>'26'!H45</f>
        <v>7</v>
      </c>
      <c r="I45" s="309">
        <f>'26'!I45</f>
        <v>10</v>
      </c>
      <c r="J45" s="170">
        <f>'26'!J45</f>
        <v>48</v>
      </c>
      <c r="K45" s="310">
        <f>'26'!K45</f>
        <v>98999</v>
      </c>
      <c r="L45" s="135"/>
      <c r="M45" s="307" t="str">
        <f>'26'!M45</f>
        <v>WR</v>
      </c>
      <c r="N45" s="309">
        <f>'26'!N45</f>
        <v>0</v>
      </c>
      <c r="O45" s="309">
        <f>'26'!O45</f>
        <v>0</v>
      </c>
      <c r="P45" s="170">
        <f>'26'!P45</f>
        <v>0</v>
      </c>
      <c r="Q45" s="310">
        <f>'26'!Q45</f>
        <v>0</v>
      </c>
    </row>
    <row r="46" spans="1:17" x14ac:dyDescent="0.3">
      <c r="A46" s="307" t="str">
        <f>'26'!A46</f>
        <v>WR</v>
      </c>
      <c r="B46" s="307">
        <f>'26'!B46</f>
        <v>17</v>
      </c>
      <c r="C46" s="307">
        <f>'26'!C46</f>
        <v>8</v>
      </c>
      <c r="D46" s="308">
        <f>'26'!D46</f>
        <v>91</v>
      </c>
      <c r="E46" s="308">
        <f>'26'!E46</f>
        <v>188048</v>
      </c>
      <c r="F46" s="135"/>
      <c r="G46" s="307" t="str">
        <f>'26'!G46</f>
        <v>WR</v>
      </c>
      <c r="H46" s="309">
        <f>'26'!H46</f>
        <v>5.5</v>
      </c>
      <c r="I46" s="309" t="str">
        <f>'26'!I46</f>
        <v>72.A</v>
      </c>
      <c r="J46" s="170">
        <f>'26'!J46</f>
        <v>96</v>
      </c>
      <c r="K46" s="310">
        <f>'26'!K46</f>
        <v>203214</v>
      </c>
      <c r="L46" s="135"/>
      <c r="M46" s="307" t="str">
        <f>'26'!M46</f>
        <v>WR</v>
      </c>
      <c r="N46" s="309">
        <f>'26'!N46</f>
        <v>0</v>
      </c>
      <c r="O46" s="309">
        <f>'26'!O46</f>
        <v>0</v>
      </c>
      <c r="P46" s="170">
        <f>'26'!P46</f>
        <v>0</v>
      </c>
      <c r="Q46" s="310">
        <f>'26'!Q46</f>
        <v>0</v>
      </c>
    </row>
    <row r="47" spans="1:17" x14ac:dyDescent="0.3">
      <c r="A47" s="307" t="str">
        <f>'26'!A47</f>
        <v>WR</v>
      </c>
      <c r="B47" s="307">
        <f>'26'!B47</f>
        <v>8.5</v>
      </c>
      <c r="C47" s="307">
        <f>'26'!C47</f>
        <v>15</v>
      </c>
      <c r="D47" s="308">
        <f>'26'!D47</f>
        <v>576</v>
      </c>
      <c r="E47" s="308">
        <f>'26'!E47</f>
        <v>1194727</v>
      </c>
      <c r="F47" s="135"/>
      <c r="G47" s="307" t="str">
        <f>'26'!G47</f>
        <v>WR</v>
      </c>
      <c r="H47" s="309">
        <f>'26'!H47</f>
        <v>5.5</v>
      </c>
      <c r="I47" s="309" t="str">
        <f>'26'!I47</f>
        <v>72.B</v>
      </c>
      <c r="J47" s="170">
        <f>'26'!J47</f>
        <v>144</v>
      </c>
      <c r="K47" s="310">
        <f>'26'!K47</f>
        <v>304424</v>
      </c>
      <c r="L47" s="135"/>
      <c r="M47" s="307" t="str">
        <f>'26'!M47</f>
        <v>WR</v>
      </c>
      <c r="N47" s="309">
        <f>'26'!N47</f>
        <v>0</v>
      </c>
      <c r="O47" s="309">
        <f>'26'!O47</f>
        <v>0</v>
      </c>
      <c r="P47" s="170">
        <f>'26'!P47</f>
        <v>0</v>
      </c>
      <c r="Q47" s="310">
        <f>'26'!Q47</f>
        <v>0</v>
      </c>
    </row>
    <row r="48" spans="1:17" x14ac:dyDescent="0.3">
      <c r="A48" s="307" t="str">
        <f>'26'!A48</f>
        <v>WR</v>
      </c>
      <c r="B48" s="307">
        <f>'26'!B48</f>
        <v>6.5</v>
      </c>
      <c r="C48" s="307">
        <f>'26'!C48</f>
        <v>8</v>
      </c>
      <c r="D48" s="308">
        <f>'26'!D48</f>
        <v>264</v>
      </c>
      <c r="E48" s="308">
        <f>'26'!E48</f>
        <v>552714</v>
      </c>
      <c r="F48" s="135"/>
      <c r="G48" s="307" t="str">
        <f>'26'!G48</f>
        <v>WR</v>
      </c>
      <c r="H48" s="309">
        <f>'26'!H48</f>
        <v>10</v>
      </c>
      <c r="I48" s="309">
        <f>'26'!I48</f>
        <v>8</v>
      </c>
      <c r="J48" s="170">
        <f>'26'!J48</f>
        <v>167</v>
      </c>
      <c r="K48" s="310">
        <f>'26'!K48</f>
        <v>349862</v>
      </c>
      <c r="L48" s="135"/>
      <c r="M48" s="307" t="str">
        <f>'26'!M48</f>
        <v>WR</v>
      </c>
      <c r="N48" s="309">
        <f>'26'!N48</f>
        <v>0</v>
      </c>
      <c r="O48" s="309">
        <f>'26'!O48</f>
        <v>0</v>
      </c>
      <c r="P48" s="170">
        <f>'26'!P48</f>
        <v>0</v>
      </c>
      <c r="Q48" s="310">
        <f>'26'!Q48</f>
        <v>0</v>
      </c>
    </row>
    <row r="49" spans="1:23" x14ac:dyDescent="0.3">
      <c r="A49" s="307" t="str">
        <f>'26'!A49</f>
        <v>WR</v>
      </c>
      <c r="B49" s="307">
        <f>'26'!B49</f>
        <v>6.5</v>
      </c>
      <c r="C49" s="307">
        <f>'26'!C49</f>
        <v>15</v>
      </c>
      <c r="D49" s="308">
        <f>'26'!D49</f>
        <v>281</v>
      </c>
      <c r="E49" s="308">
        <f>'26'!E49</f>
        <v>582161</v>
      </c>
      <c r="F49" s="3"/>
      <c r="G49" s="307" t="str">
        <f>'26'!G49</f>
        <v>WR</v>
      </c>
      <c r="H49" s="309">
        <f>'26'!H49</f>
        <v>8</v>
      </c>
      <c r="I49" s="309">
        <f>'26'!I49</f>
        <v>8</v>
      </c>
      <c r="J49" s="170">
        <f>'26'!J49</f>
        <v>119</v>
      </c>
      <c r="K49" s="310">
        <f>'26'!K49</f>
        <v>248951</v>
      </c>
      <c r="L49" s="3"/>
      <c r="M49" s="307" t="str">
        <f>'26'!M49</f>
        <v>WR</v>
      </c>
      <c r="N49" s="309">
        <f>'26'!N49</f>
        <v>0</v>
      </c>
      <c r="O49" s="309">
        <f>'26'!O49</f>
        <v>0</v>
      </c>
      <c r="P49" s="170">
        <f>'26'!P49</f>
        <v>0</v>
      </c>
      <c r="Q49" s="310">
        <f>'26'!Q49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46049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/>
      <c r="E55" s="506"/>
      <c r="F55" s="506"/>
      <c r="G55" s="506"/>
      <c r="H55" s="506"/>
      <c r="I55" s="506"/>
      <c r="J55" s="93"/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21431091</v>
      </c>
      <c r="R55" s="395"/>
      <c r="S55" s="388">
        <f>DAY(A52)</f>
        <v>27</v>
      </c>
      <c r="T55" s="383">
        <f>S55-U55</f>
        <v>22</v>
      </c>
      <c r="U55" s="383">
        <f>'26'!U55</f>
        <v>5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21103233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>
        <f>L27</f>
        <v>0.98470175876720412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50617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>
        <f>F26</f>
        <v>2.3618489604658949E-3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'1'!Q60+'2'!P60+'3'!P60+'4'!P60+'5'!P60+'6'!P60+'7'!P60+'8'!P60+'9'!P60+'10'!P60+'11'!P60+'12'!P60+'13'!P60+'14'!P60+'15'!P60+'16'!P60+'17'!P60+'18'!P60+'19'!P60+'20'!P62+'21'!P60+'22'!P61+'23'!P60+'24'!P60+'25'!P60+'26'!P60+'27'!P60</f>
        <v>38880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'1'!Q61+'2'!P61+'3'!P61+'4'!P61+'5'!P61+'6'!P61+'7'!P61+'8'!P61+'9'!P61+'10'!P61+'11'!P61+'12'!P61+'13'!P61+'14'!P61+'15'!P61+'16'!P61+'17'!P61+'18'!P61+'19'!P61+'20'!P63+'21'!P61+'22'!P62+'23'!P61+'24'!P61+'25'!P61+'26'!P61+'27'!P61</f>
        <v>7200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'1'!Q62+'2'!P62+'3'!P62+'4'!P62+'5'!P62+'6'!P62+'7'!P62+'8'!P62+'9'!P62+'10'!P62+'11'!P62+'12'!P62+'13'!P62+'14'!P62+'15'!P62+'16'!P62+'17'!P62+'18'!P62+'19'!P62+'20'!P64+'21'!P62+'22'!P63+'23'!P62+'24'!P62+'25'!P62+'26'!P62+'27'!P62</f>
        <v>7200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'1'!Q63+'2'!P63+'3'!P63+'4'!P63+'5'!P63+'6'!P63+'7'!P63+'8'!P63+'9'!P63+'10'!P63+'11'!P63+'12'!P63+'13'!P63+'14'!P63+'15'!P63+'16'!P63+'17'!P63+'18'!P63+'19'!P63+'20'!P65+'21'!P63+'22'!P64+'23'!P63+'24'!P63+'25'!P63+'26'!P63+'27'!P63</f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'1'!Q64+'2'!P64+'3'!P64+'4'!P64+'5'!P64+'6'!P64+'7'!P64+'8'!P64+'9'!P64+'10'!P64+'11'!P64+'12'!P64+'13'!P64+'14'!P64+'15'!P64+'16'!P64+'17'!P64+'18'!P64+'19'!P64+'20'!P66+'21'!P64+'22'!P65+'23'!P64+'24'!P64+'25'!P64+'26'!P64+'27'!P64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00">
        <f>'1'!Q65+'2'!P65+'3'!P65+'4'!P65+'5'!P65+'6'!P65+'7'!P65+'8'!P65+'9'!P65+'10'!P65+'11'!P65+'12'!P65+'13'!P65+'14'!P65+'15'!P65+'16'!P65+'17'!P65+'18'!P65+'19'!P65+'20'!P67+'21'!P65+'22'!P66+'23'!P65+'24'!P65+'25'!P65+'26'!P65+'27'!P65</f>
        <v>3255</v>
      </c>
      <c r="R65" s="395"/>
      <c r="S65" s="171" t="s">
        <v>56</v>
      </c>
      <c r="T65" s="172"/>
      <c r="U65" s="173" t="s">
        <v>151</v>
      </c>
      <c r="V65" s="174"/>
      <c r="W65" s="181">
        <f>+'26'!W65+'27'!V65</f>
        <v>14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'1'!Q66+'2'!P66+'3'!P66+'4'!P66+'5'!P66+'6'!P66+'7'!P66+'8'!P66+'9'!P66+'10'!P66+'11'!P66+'12'!P66+'13'!P66+'14'!P66+'15'!P66+'16'!P66+'17'!P66+'18'!P66+'19'!P66+'20'!P68+'21'!P66+'22'!P67+'23'!P66+'24'!P66+'25'!P66+'26'!P66+'27'!P66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+'26'!W66+'27'!V66</f>
        <v>7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>'1'!Q67+'2'!P67+'3'!P67+'4'!P67+'5'!P67+'6'!P67+'7'!P67+'8'!P67+'9'!P67+'10'!P67+'11'!P67+'12'!P67+'13'!P67+'14'!P67+'15'!P67+'16'!P67+'17'!P67+'18'!P67+'19'!P67+'20'!P69+'21'!P67+'22'!P68+'23'!P67+'24'!P67+'25'!P67+'26'!P67+'27'!P67</f>
        <v>2804</v>
      </c>
      <c r="R67" s="399"/>
      <c r="S67" s="377" t="s">
        <v>60</v>
      </c>
      <c r="T67" s="175"/>
      <c r="U67" s="176" t="s">
        <v>151</v>
      </c>
      <c r="V67" s="177"/>
      <c r="W67" s="182">
        <f>+'26'!W67+'27'!V67</f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>'1'!Q68+'2'!P68+'3'!P68+'4'!P68+'5'!P68+'6'!P68+'7'!P68+'8'!P68+'9'!P68+'10'!P68+'11'!P68+'12'!P68+'13'!P68+'14'!P68+'15'!P68+'16'!P68+'17'!P68+'18'!P68+'19'!P68+'20'!P70+'21'!P68+'22'!P69+'23'!P68+'24'!P68+'25'!P68+'26'!P68+'27'!P68</f>
        <v>451</v>
      </c>
      <c r="R68" s="409"/>
      <c r="S68" s="377" t="s">
        <v>62</v>
      </c>
      <c r="T68" s="175"/>
      <c r="U68" s="176" t="s">
        <v>151</v>
      </c>
      <c r="V68" s="177"/>
      <c r="W68" s="182">
        <f>+'26'!W68+'27'!V68</f>
        <v>3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0</v>
      </c>
      <c r="Q69" s="100">
        <f>'1'!Q69+'2'!P69+'3'!P69+'4'!P69+'5'!P69+'6'!P69+'7'!P69+'8'!P69+'9'!P69+'10'!P69+'11'!P69+'12'!P69+'13'!P69+'14'!P69+'15'!P69+'16'!P69+'17'!P69+'18'!P69+'19'!P69+'20'!P71+'21'!P69+'22'!P70+'23'!P69+'24'!P69+'25'!P69+'26'!P69+'27'!P69</f>
        <v>1375</v>
      </c>
      <c r="R69" s="395"/>
      <c r="S69" s="376" t="s">
        <v>64</v>
      </c>
      <c r="T69" s="178"/>
      <c r="U69" s="179" t="s">
        <v>151</v>
      </c>
      <c r="V69" s="180"/>
      <c r="W69" s="183">
        <f>+'26'!W69+'27'!V69</f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>'1'!Q70+'2'!P70+'3'!P70+'4'!P70+'5'!P70+'6'!P70+'7'!P70+'8'!P70+'9'!P70+'10'!P70+'11'!P70+'12'!P70+'13'!P70+'14'!P70+'15'!P70+'16'!P70+'17'!P70+'18'!P70+'19'!P70+'20'!P72+'21'!P70+'22'!P71+'23'!P70+'24'!P70+'25'!P70+'26'!P70+'27'!P70</f>
        <v>861</v>
      </c>
      <c r="R70" s="399">
        <f>T55*30</f>
        <v>660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>'1'!Q71+'2'!P71+'3'!P71+'4'!P71+'5'!P71+'6'!P71+'7'!P71+'8'!P71+'9'!P71+'10'!P71+'11'!P71+'12'!P71+'13'!P71+'14'!P71+'15'!P71+'16'!P71+'17'!P71+'18'!P71+'19'!P71+'20'!P73+'21'!P71+'22'!P72+'23'!P71+'24'!P71+'25'!P71+'26'!P71+'27'!P71</f>
        <v>406</v>
      </c>
      <c r="R71" s="399">
        <f>T55*25</f>
        <v>550</v>
      </c>
      <c r="S71" s="574" t="s">
        <v>187</v>
      </c>
      <c r="T71" s="574"/>
      <c r="U71" s="170" t="s">
        <v>32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'1'!Q72+'2'!P72+'3'!P72+'4'!P72+'5'!P72+'6'!P72+'7'!P72+'8'!P72+'9'!P72+'10'!P72+'11'!P72+'12'!P72+'13'!P72+'14'!P72+'15'!P72+'16'!P72+'17'!P72+'18'!P72+'19'!P72+'20'!P74+'21'!P72+'22'!P73+'23'!P72+'24'!P72+'25'!P72+'26'!P72+'27'!P72</f>
        <v>37</v>
      </c>
      <c r="R72" s="399">
        <f>T55*10</f>
        <v>220</v>
      </c>
      <c r="S72" s="575" t="s">
        <v>188</v>
      </c>
      <c r="T72" s="575"/>
      <c r="U72" s="299">
        <v>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'1'!Q73+'2'!P73+'3'!P73+'4'!P73+'5'!P73+'6'!P73+'7'!P73+'8'!P73+'9'!P73+'10'!P73+'11'!P73+'12'!P73+'13'!P73+'14'!P73+'15'!P73+'16'!P73+'17'!P73+'18'!P73+'19'!P73+'20'!P75+'21'!P73+'22'!P74+'23'!P73+'24'!P73+'25'!P73+'26'!P73+'27'!P73</f>
        <v>71</v>
      </c>
      <c r="R73" s="399"/>
      <c r="S73" s="576" t="s">
        <v>189</v>
      </c>
      <c r="T73" s="576"/>
      <c r="U73" s="300">
        <v>0</v>
      </c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'1'!Q74+'2'!P74+'3'!P74+'4'!P74+'5'!P74+'6'!P74+'7'!P74+'8'!P74+'9'!P74+'10'!P74+'11'!P74+'12'!P74+'13'!P74+'14'!P74+'15'!P74+'16'!P74+'17'!P74+'18'!P74+'19'!P74+'20'!P76+'21'!P74+'22'!P75+'23'!P74+'24'!P74+'25'!P74+'26'!P74+'27'!P74</f>
        <v>0</v>
      </c>
      <c r="R74" s="409"/>
      <c r="S74" s="577" t="s">
        <v>190</v>
      </c>
      <c r="T74" s="577"/>
      <c r="U74" s="301">
        <v>0</v>
      </c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'1'!Q75+'2'!P75+'3'!P75+'4'!P75+'5'!P75+'6'!P75+'7'!P75+'8'!P75+'9'!P75+'10'!P75+'11'!P75+'12'!P75+'13'!P75+'14'!P75+'15'!P75+'16'!P75+'17'!P75+'18'!P75+'19'!P75+'20'!P77+'21'!P75+'22'!P76+'23'!P75+'24'!P75+'25'!P75+'26'!P75+'27'!P75</f>
        <v>31680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>'1'!Q76+'2'!P76+'3'!P76+'4'!P76+'5'!P76+'6'!P76+'7'!P76+'8'!P76+'9'!P76+'10'!P76+'11'!P76+'12'!P76+'13'!P76+'14'!P76+'15'!P76+'16'!P76+'17'!P76+'18'!P76+'19'!P76+'20'!P78+'21'!P76+'22'!P77+'23'!P76+'24'!P76+'25'!P76+'26'!P76+'27'!P76</f>
        <v>4630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94">
        <f>'1'!Q77+'2'!P77+'3'!P77+'4'!P77+'5'!P77+'6'!P77+'7'!P77+'8'!P77+'9'!P77+'10'!P77+'11'!P77+'12'!P77+'13'!P77+'14'!P77+'15'!P77+'16'!P77+'17'!P77+'18'!P77+'19'!P77+'20'!P79+'21'!P77+'22'!P78+'23'!P77+'24'!P77+'25'!P77+'26'!P77+'27'!P77</f>
        <v>4679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'1'!Q78+'2'!P78+'3'!P78+'4'!P78+'5'!P78+'6'!P78+'7'!P78+'8'!P78+'9'!P78+'10'!P78+'11'!P78+'12'!P78+'13'!P78+'14'!P78+'15'!P78+'16'!P78+'17'!P78+'18'!P78+'19'!P78+'20'!P80+'21'!P78+'22'!P79+'23'!P78+'24'!P78+'25'!P78+'26'!P78+'27'!P78</f>
        <v>49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1440</v>
      </c>
      <c r="Q79" s="94">
        <f>'1'!Q79+'2'!P79+'3'!P79+'4'!P79+'5'!P79+'6'!P79+'7'!P79+'8'!P79+'9'!P79+'10'!P79+'11'!P79+'12'!P79+'13'!P79+'14'!P79+'15'!P79+'16'!P79+'17'!P79+'18'!P79+'19'!P79+'20'!P81+'21'!P79+'22'!P80+'23'!P79+'24'!P79+'25'!P79+'26'!P79+'27'!P79</f>
        <v>27001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1</v>
      </c>
      <c r="Q80" s="103">
        <f>Q79/Q75</f>
        <v>0.85230429292929288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1</v>
      </c>
      <c r="Q81" s="165">
        <f>Q79/Q60</f>
        <v>0.69447016460905353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0</v>
      </c>
      <c r="Q82" s="150">
        <f>(C26/1000)/(Q79/60)</f>
        <v>47.622882856190515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0</v>
      </c>
      <c r="Q83" s="113">
        <f>(C26/1000)/(Q75/60)</f>
        <v>40.589187500000001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0</v>
      </c>
      <c r="Q84" s="100">
        <f>'1'!Q84+'2'!P84+'3'!P84+'4'!P84+'5'!P84+'6'!P84+'7'!P84+'8'!P84+'9'!P84+'10'!P84+'11'!P84+'12'!P84+'13'!P84+'14'!P84+'15'!P84+'16'!P84+'17'!P84+'18'!P84+'19'!P84+'20'!P86+'21'!P84+'22'!P85+'23'!P84+'24'!P84+'25'!P84+'26'!P84+'27'!P84</f>
        <v>690137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 t="e">
        <f>P84/(K17/1000)</f>
        <v>#DIV/0!</v>
      </c>
      <c r="Q85" s="124">
        <f>Q84/(K27/1000)</f>
        <v>32.702903863118983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0</v>
      </c>
      <c r="Q86" s="100">
        <f>'1'!Q86+'2'!P86+'3'!P86+'4'!P86+'5'!P86+'6'!P86+'7'!P86+'8'!P86+'9'!P86+'10'!P86+'11'!P86+'12'!P86+'13'!P86+'14'!P86+'15'!P86+'16'!P86+'17'!P86+'18'!P86+'19'!P86+'20'!P88+'21'!P86+'22'!P87+'23'!P86+'24'!P86+'25'!P86+'26'!P86+'27'!P86</f>
        <v>3974.93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>
        <f>(Q86*1000)/(K26/1000)</f>
        <v>189.03239910687631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0</v>
      </c>
      <c r="Q88" s="100">
        <f>'1'!Q88+'2'!P88+'3'!P88+'4'!P88+'5'!P88+'6'!P88+'7'!P88+'8'!P88+'9'!P88+'10'!P88+'11'!P88+'12'!P88+'13'!P88+'14'!P88+'15'!P88+'16'!P88+'17'!P88+'18'!P88+'19'!P88+'20'!P90+'21'!P88+'22'!P89+'23'!P88+'24'!P88+'25'!P88+'26'!P88+'27'!P88</f>
        <v>2270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124">
        <f>Q88/(K26/1000)</f>
        <v>0.10795247865311068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8">
    <mergeCell ref="A2:Q2"/>
    <mergeCell ref="A3:Q3"/>
    <mergeCell ref="A4:F4"/>
    <mergeCell ref="G4:N4"/>
    <mergeCell ref="A5:C5"/>
    <mergeCell ref="D5:F5"/>
    <mergeCell ref="G5:L5"/>
    <mergeCell ref="M5:N5"/>
    <mergeCell ref="J53:J54"/>
    <mergeCell ref="L53:N54"/>
    <mergeCell ref="O53:O54"/>
    <mergeCell ref="P53:P54"/>
    <mergeCell ref="Q53:Q54"/>
    <mergeCell ref="L55:N55"/>
    <mergeCell ref="L56:N56"/>
    <mergeCell ref="D55:I55"/>
    <mergeCell ref="D56:I56"/>
    <mergeCell ref="A17:J17"/>
    <mergeCell ref="A19:F19"/>
    <mergeCell ref="G19:N19"/>
    <mergeCell ref="A20:C20"/>
    <mergeCell ref="D20:F20"/>
    <mergeCell ref="G20:L20"/>
    <mergeCell ref="M20:N20"/>
    <mergeCell ref="A21:A26"/>
    <mergeCell ref="A27:J27"/>
    <mergeCell ref="A51:Q51"/>
    <mergeCell ref="C53:C54"/>
    <mergeCell ref="D53:I54"/>
    <mergeCell ref="D59:I59"/>
    <mergeCell ref="L64:N64"/>
    <mergeCell ref="D57:I57"/>
    <mergeCell ref="L62:N62"/>
    <mergeCell ref="D60:I60"/>
    <mergeCell ref="L57:N57"/>
    <mergeCell ref="L58:N58"/>
    <mergeCell ref="L59:N59"/>
    <mergeCell ref="L60:N60"/>
    <mergeCell ref="D61:I61"/>
    <mergeCell ref="D58:I58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D68:I68"/>
    <mergeCell ref="L70:N70"/>
    <mergeCell ref="D69:I69"/>
    <mergeCell ref="L68:N68"/>
    <mergeCell ref="D70:I70"/>
    <mergeCell ref="L69:N69"/>
    <mergeCell ref="L84:N85"/>
    <mergeCell ref="L86:N87"/>
    <mergeCell ref="L88:N89"/>
    <mergeCell ref="N91:O91"/>
    <mergeCell ref="P91:Q91"/>
    <mergeCell ref="L81:N81"/>
    <mergeCell ref="D77:I77"/>
    <mergeCell ref="L82:N82"/>
    <mergeCell ref="D78:I78"/>
    <mergeCell ref="L83:N83"/>
    <mergeCell ref="D79:I79"/>
    <mergeCell ref="L80:N80"/>
    <mergeCell ref="L77:N77"/>
    <mergeCell ref="L78:N78"/>
    <mergeCell ref="L79:N79"/>
    <mergeCell ref="D76:I76"/>
    <mergeCell ref="L76:N76"/>
    <mergeCell ref="S71:T71"/>
    <mergeCell ref="S72:T72"/>
    <mergeCell ref="S73:T73"/>
    <mergeCell ref="S74:T74"/>
    <mergeCell ref="D75:I75"/>
    <mergeCell ref="L74:N74"/>
    <mergeCell ref="L75:N75"/>
    <mergeCell ref="D71:I71"/>
    <mergeCell ref="L73:N73"/>
    <mergeCell ref="D72:I72"/>
    <mergeCell ref="D73:I73"/>
    <mergeCell ref="D74:I74"/>
    <mergeCell ref="L71:N71"/>
    <mergeCell ref="L72:N72"/>
  </mergeCells>
  <pageMargins left="0.7" right="0.7" top="0.25" bottom="0.25" header="0.3" footer="0.3"/>
  <pageSetup paperSize="9" scale="78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B43" workbookViewId="0">
      <selection activeCell="R59" sqref="R59"/>
    </sheetView>
  </sheetViews>
  <sheetFormatPr defaultRowHeight="16.5" x14ac:dyDescent="0.3"/>
  <cols>
    <col min="1" max="1" width="9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'27'!A3:Q3+1</f>
        <v>46050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/>
      <c r="B7" s="15"/>
      <c r="C7" s="15"/>
      <c r="D7" s="16"/>
      <c r="E7" s="17"/>
      <c r="F7" s="18"/>
      <c r="G7" s="19" t="s">
        <v>1</v>
      </c>
      <c r="H7" s="20"/>
      <c r="I7" s="21"/>
      <c r="J7" s="22"/>
      <c r="K7" s="17"/>
      <c r="L7" s="23" t="e">
        <f t="shared" ref="L7:L16" si="0">K7/C7</f>
        <v>#DIV/0!</v>
      </c>
      <c r="M7" s="17"/>
      <c r="N7" s="22"/>
      <c r="O7" s="134"/>
      <c r="P7" s="134"/>
      <c r="Q7" s="134"/>
    </row>
    <row r="8" spans="1:17" x14ac:dyDescent="0.3">
      <c r="A8" s="24"/>
      <c r="B8" s="25"/>
      <c r="C8" s="25"/>
      <c r="D8" s="26"/>
      <c r="E8" s="27"/>
      <c r="F8" s="28"/>
      <c r="G8" s="29" t="s">
        <v>1</v>
      </c>
      <c r="H8" s="30"/>
      <c r="I8" s="31"/>
      <c r="J8" s="32"/>
      <c r="K8" s="33"/>
      <c r="L8" s="34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si="0"/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'27'!B22+'28'!B16</f>
        <v>8552</v>
      </c>
      <c r="C22" s="57">
        <f>'27'!C22+'28'!C16</f>
        <v>18074564</v>
      </c>
      <c r="D22" s="57">
        <f>'27'!D22+'28'!D16</f>
        <v>15</v>
      </c>
      <c r="E22" s="57">
        <f>'27'!E22+'28'!E16</f>
        <v>31699</v>
      </c>
      <c r="F22" s="423">
        <f>E22/C22</f>
        <v>1.7537905755292355E-3</v>
      </c>
      <c r="G22" s="58" t="s">
        <v>1</v>
      </c>
      <c r="H22" s="59"/>
      <c r="I22" s="59"/>
      <c r="J22" s="57">
        <f>'27'!J22+'28'!J16</f>
        <v>8509</v>
      </c>
      <c r="K22" s="57">
        <f>'27'!K22+'28'!K16</f>
        <v>17753607</v>
      </c>
      <c r="L22" s="60">
        <f>K22/C22</f>
        <v>0.98224261453830919</v>
      </c>
      <c r="M22" s="57">
        <f>'27'!M22+'28'!M16</f>
        <v>28</v>
      </c>
      <c r="N22" s="57">
        <f>'27'!N22+'28'!N16</f>
        <v>57472</v>
      </c>
      <c r="O22" s="135"/>
      <c r="P22" s="135"/>
      <c r="Q22" s="135"/>
    </row>
    <row r="23" spans="1:17" x14ac:dyDescent="0.3">
      <c r="A23" s="521"/>
      <c r="B23" s="61">
        <f>'27'!B23</f>
        <v>1600</v>
      </c>
      <c r="C23" s="61">
        <f>'27'!C23</f>
        <v>3356527</v>
      </c>
      <c r="D23" s="61">
        <f>'27'!D23</f>
        <v>9</v>
      </c>
      <c r="E23" s="61">
        <f>'27'!E23</f>
        <v>18918</v>
      </c>
      <c r="F23" s="424">
        <f>E23/C23</f>
        <v>5.6361828759309849E-3</v>
      </c>
      <c r="G23" s="381" t="s">
        <v>195</v>
      </c>
      <c r="H23" s="59"/>
      <c r="I23" s="59"/>
      <c r="J23" s="61">
        <f>'27'!J23</f>
        <v>1582</v>
      </c>
      <c r="K23" s="61">
        <f>'27'!K23</f>
        <v>3274164</v>
      </c>
      <c r="L23" s="382">
        <f t="shared" ref="L23:L24" si="1">K23/C23</f>
        <v>0.97546183897820571</v>
      </c>
      <c r="M23" s="61">
        <f>'27'!M23</f>
        <v>9</v>
      </c>
      <c r="N23" s="61">
        <f>'27'!N23</f>
        <v>17990</v>
      </c>
      <c r="O23" s="135"/>
      <c r="P23" s="135"/>
      <c r="Q23" s="135"/>
    </row>
    <row r="24" spans="1:17" x14ac:dyDescent="0.3">
      <c r="A24" s="521"/>
      <c r="B24" s="61">
        <f>'27'!B24</f>
        <v>0</v>
      </c>
      <c r="C24" s="61">
        <f>'27'!C24</f>
        <v>0</v>
      </c>
      <c r="D24" s="61">
        <f>'27'!D24</f>
        <v>0</v>
      </c>
      <c r="E24" s="61">
        <f>'27'!E24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'27'!J24</f>
        <v>0</v>
      </c>
      <c r="K24" s="61">
        <f>'27'!K24</f>
        <v>0</v>
      </c>
      <c r="L24" s="382" t="e">
        <f t="shared" si="1"/>
        <v>#DIV/0!</v>
      </c>
      <c r="M24" s="61">
        <f>'27'!M24</f>
        <v>0</v>
      </c>
      <c r="N24" s="61">
        <f>'27'!N24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10152</v>
      </c>
      <c r="C26" s="68">
        <f>SUM(C21:C25)</f>
        <v>21431091</v>
      </c>
      <c r="D26" s="49">
        <f>SUM(D21:D25)</f>
        <v>24</v>
      </c>
      <c r="E26" s="69">
        <f>SUM(E22:E25)</f>
        <v>50617</v>
      </c>
      <c r="F26" s="51">
        <f>E26/C26</f>
        <v>2.3618489604658949E-3</v>
      </c>
      <c r="G26" s="51"/>
      <c r="H26" s="70"/>
      <c r="I26" s="70"/>
      <c r="J26" s="71">
        <f>SUM(J22:J25)</f>
        <v>10091</v>
      </c>
      <c r="K26" s="68">
        <f>SUM(K22:K25)</f>
        <v>21027771</v>
      </c>
      <c r="L26" s="51">
        <f>K26/C26</f>
        <v>0.98118061278354896</v>
      </c>
      <c r="M26" s="71">
        <f>SUM(M22:M25)</f>
        <v>37</v>
      </c>
      <c r="N26" s="54">
        <f>SUM(N22:N25)</f>
        <v>75462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21103233</v>
      </c>
      <c r="L27" s="51">
        <f>K27/C26</f>
        <v>0.98470175876720412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'27'!A30</f>
        <v>BIC</v>
      </c>
      <c r="B30" s="307" t="str">
        <f>'27'!B30</f>
        <v>P.6</v>
      </c>
      <c r="C30" s="307" t="str">
        <f>'27'!C30</f>
        <v>BjTPG280</v>
      </c>
      <c r="D30" s="308">
        <f>'27'!D30</f>
        <v>239</v>
      </c>
      <c r="E30" s="308">
        <f>'27'!E30</f>
        <v>497038</v>
      </c>
      <c r="F30" s="79"/>
      <c r="G30" s="307" t="str">
        <f>'27'!G30</f>
        <v>WR</v>
      </c>
      <c r="H30" s="309">
        <f>'27'!H30</f>
        <v>18</v>
      </c>
      <c r="I30" s="309">
        <f>'27'!I30</f>
        <v>8</v>
      </c>
      <c r="J30" s="170">
        <f>'27'!J30</f>
        <v>68</v>
      </c>
      <c r="K30" s="310">
        <f>'27'!K30</f>
        <v>140152</v>
      </c>
      <c r="L30" s="79"/>
      <c r="M30" s="307" t="str">
        <f>'27'!M30</f>
        <v>WR</v>
      </c>
      <c r="N30" s="309">
        <f>'27'!N30</f>
        <v>0</v>
      </c>
      <c r="O30" s="309">
        <f>'27'!O30</f>
        <v>0</v>
      </c>
      <c r="P30" s="170">
        <f>'27'!P30</f>
        <v>0</v>
      </c>
      <c r="Q30" s="310">
        <f>'27'!Q30</f>
        <v>0</v>
      </c>
    </row>
    <row r="31" spans="1:17" x14ac:dyDescent="0.3">
      <c r="A31" s="307" t="str">
        <f>'27'!A31</f>
        <v>WR</v>
      </c>
      <c r="B31" s="307">
        <f>'27'!B31</f>
        <v>6.5</v>
      </c>
      <c r="C31" s="307">
        <f>'27'!C31</f>
        <v>8</v>
      </c>
      <c r="D31" s="308">
        <f>'27'!D31</f>
        <v>180</v>
      </c>
      <c r="E31" s="308">
        <f>'27'!E31</f>
        <v>377095</v>
      </c>
      <c r="F31" s="135"/>
      <c r="G31" s="307" t="str">
        <f>'27'!G31</f>
        <v>WR</v>
      </c>
      <c r="H31" s="309">
        <f>'27'!H31</f>
        <v>7.5</v>
      </c>
      <c r="I31" s="309">
        <f>'27'!I31</f>
        <v>8</v>
      </c>
      <c r="J31" s="170">
        <f>'27'!J31</f>
        <v>96</v>
      </c>
      <c r="K31" s="310">
        <f>'27'!K31</f>
        <v>200884</v>
      </c>
      <c r="L31" s="135"/>
      <c r="M31" s="307" t="str">
        <f>'27'!M31</f>
        <v>WR</v>
      </c>
      <c r="N31" s="309">
        <f>'27'!N31</f>
        <v>0</v>
      </c>
      <c r="O31" s="309">
        <f>'27'!O31</f>
        <v>0</v>
      </c>
      <c r="P31" s="170">
        <f>'27'!P31</f>
        <v>0</v>
      </c>
      <c r="Q31" s="310">
        <f>'27'!Q31</f>
        <v>0</v>
      </c>
    </row>
    <row r="32" spans="1:17" x14ac:dyDescent="0.3">
      <c r="A32" s="307" t="str">
        <f>'27'!A32</f>
        <v>WR</v>
      </c>
      <c r="B32" s="307">
        <f>'27'!B32</f>
        <v>6.5</v>
      </c>
      <c r="C32" s="307">
        <f>'27'!C32</f>
        <v>10</v>
      </c>
      <c r="D32" s="308">
        <f>'27'!D32</f>
        <v>48</v>
      </c>
      <c r="E32" s="308">
        <f>'27'!E32</f>
        <v>99149</v>
      </c>
      <c r="F32" s="135"/>
      <c r="G32" s="307" t="str">
        <f>'27'!G32</f>
        <v>WR</v>
      </c>
      <c r="H32" s="309">
        <f>'27'!H32</f>
        <v>7.5</v>
      </c>
      <c r="I32" s="309">
        <f>'27'!I32</f>
        <v>15</v>
      </c>
      <c r="J32" s="170">
        <f>'27'!J32</f>
        <v>543</v>
      </c>
      <c r="K32" s="310">
        <f>'27'!K32</f>
        <v>1124422</v>
      </c>
      <c r="L32" s="135"/>
      <c r="M32" s="307" t="str">
        <f>'27'!M32</f>
        <v>WR</v>
      </c>
      <c r="N32" s="309">
        <f>'27'!N32</f>
        <v>0</v>
      </c>
      <c r="O32" s="309">
        <f>'27'!O32</f>
        <v>0</v>
      </c>
      <c r="P32" s="170">
        <f>'27'!P32</f>
        <v>0</v>
      </c>
      <c r="Q32" s="310">
        <f>'27'!Q32</f>
        <v>0</v>
      </c>
    </row>
    <row r="33" spans="1:17" x14ac:dyDescent="0.3">
      <c r="A33" s="307" t="str">
        <f>'27'!A33</f>
        <v>WR</v>
      </c>
      <c r="B33" s="307">
        <f>'27'!B33</f>
        <v>6.5</v>
      </c>
      <c r="C33" s="307">
        <f>'27'!C33</f>
        <v>15</v>
      </c>
      <c r="D33" s="308">
        <f>'27'!D33</f>
        <v>6</v>
      </c>
      <c r="E33" s="308">
        <f>'27'!E33</f>
        <v>12304</v>
      </c>
      <c r="F33" s="135"/>
      <c r="G33" s="307" t="str">
        <f>'27'!G33</f>
        <v>WR</v>
      </c>
      <c r="H33" s="309">
        <f>'27'!H33</f>
        <v>5.5</v>
      </c>
      <c r="I33" s="309">
        <f>'27'!I33</f>
        <v>22</v>
      </c>
      <c r="J33" s="170">
        <f>'27'!J33</f>
        <v>436</v>
      </c>
      <c r="K33" s="310">
        <f>'27'!K33</f>
        <v>893285</v>
      </c>
      <c r="L33" s="135"/>
      <c r="M33" s="307" t="str">
        <f>'27'!M33</f>
        <v>WR</v>
      </c>
      <c r="N33" s="309">
        <f>'27'!N33</f>
        <v>0</v>
      </c>
      <c r="O33" s="309">
        <f>'27'!O33</f>
        <v>0</v>
      </c>
      <c r="P33" s="170">
        <f>'27'!P33</f>
        <v>0</v>
      </c>
      <c r="Q33" s="310">
        <f>'27'!Q33</f>
        <v>0</v>
      </c>
    </row>
    <row r="34" spans="1:17" x14ac:dyDescent="0.3">
      <c r="A34" s="307" t="str">
        <f>'27'!A34</f>
        <v>WR</v>
      </c>
      <c r="B34" s="307">
        <f>'27'!B34</f>
        <v>5.5</v>
      </c>
      <c r="C34" s="307">
        <f>'27'!C34</f>
        <v>6</v>
      </c>
      <c r="D34" s="308">
        <f>'27'!D34</f>
        <v>995</v>
      </c>
      <c r="E34" s="308">
        <f>'27'!E34</f>
        <v>2086453</v>
      </c>
      <c r="F34" s="135"/>
      <c r="G34" s="307" t="str">
        <f>'27'!G34</f>
        <v>WR</v>
      </c>
      <c r="H34" s="309">
        <f>'27'!H34</f>
        <v>5.5</v>
      </c>
      <c r="I34" s="309">
        <f>'27'!I34</f>
        <v>1045</v>
      </c>
      <c r="J34" s="170">
        <f>'27'!J34</f>
        <v>50</v>
      </c>
      <c r="K34" s="310">
        <f>'27'!K34</f>
        <v>104556</v>
      </c>
      <c r="L34" s="135"/>
      <c r="M34" s="307" t="str">
        <f>'27'!M34</f>
        <v>WR</v>
      </c>
      <c r="N34" s="309">
        <f>'27'!N34</f>
        <v>0</v>
      </c>
      <c r="O34" s="309">
        <f>'27'!O34</f>
        <v>0</v>
      </c>
      <c r="P34" s="170">
        <f>'27'!P34</f>
        <v>0</v>
      </c>
      <c r="Q34" s="310">
        <f>'27'!Q34</f>
        <v>0</v>
      </c>
    </row>
    <row r="35" spans="1:17" x14ac:dyDescent="0.3">
      <c r="A35" s="307" t="str">
        <f>'27'!A35</f>
        <v>WR</v>
      </c>
      <c r="B35" s="307">
        <f>'27'!B35</f>
        <v>5.5</v>
      </c>
      <c r="C35" s="307" t="str">
        <f>'27'!C35</f>
        <v>8.A</v>
      </c>
      <c r="D35" s="308">
        <f>'27'!D35</f>
        <v>75</v>
      </c>
      <c r="E35" s="308">
        <f>'27'!E35</f>
        <v>157414</v>
      </c>
      <c r="F35" s="135"/>
      <c r="G35" s="307" t="str">
        <f>'27'!G35</f>
        <v>WR</v>
      </c>
      <c r="H35" s="309">
        <f>'27'!H35</f>
        <v>9.5</v>
      </c>
      <c r="I35" s="309">
        <f>'27'!I35</f>
        <v>15</v>
      </c>
      <c r="J35" s="170">
        <f>'27'!J35</f>
        <v>322</v>
      </c>
      <c r="K35" s="310">
        <f>'27'!K35</f>
        <v>664963</v>
      </c>
      <c r="L35" s="135"/>
      <c r="M35" s="307" t="str">
        <f>'27'!M35</f>
        <v>WR</v>
      </c>
      <c r="N35" s="309">
        <f>'27'!N35</f>
        <v>0</v>
      </c>
      <c r="O35" s="309">
        <f>'27'!O35</f>
        <v>0</v>
      </c>
      <c r="P35" s="170">
        <f>'27'!P35</f>
        <v>0</v>
      </c>
      <c r="Q35" s="310">
        <f>'27'!Q35</f>
        <v>0</v>
      </c>
    </row>
    <row r="36" spans="1:17" x14ac:dyDescent="0.3">
      <c r="A36" s="307" t="str">
        <f>'27'!A36</f>
        <v>WR</v>
      </c>
      <c r="B36" s="307">
        <f>'27'!B36</f>
        <v>5.5</v>
      </c>
      <c r="C36" s="307" t="str">
        <f>'27'!C36</f>
        <v>22.A</v>
      </c>
      <c r="D36" s="308">
        <f>'27'!D36</f>
        <v>813</v>
      </c>
      <c r="E36" s="308">
        <f>'27'!E36</f>
        <v>1694379</v>
      </c>
      <c r="F36" s="135"/>
      <c r="G36" s="307" t="str">
        <f>'27'!G36</f>
        <v>WR</v>
      </c>
      <c r="H36" s="309">
        <f>'27'!H36</f>
        <v>12</v>
      </c>
      <c r="I36" s="309">
        <f>'27'!I36</f>
        <v>8</v>
      </c>
      <c r="J36" s="170">
        <f>'27'!J36</f>
        <v>143</v>
      </c>
      <c r="K36" s="310">
        <f>'27'!K36</f>
        <v>298814</v>
      </c>
      <c r="L36" s="135"/>
      <c r="M36" s="307" t="str">
        <f>'27'!M36</f>
        <v>WR</v>
      </c>
      <c r="N36" s="309">
        <f>'27'!N36</f>
        <v>0</v>
      </c>
      <c r="O36" s="309">
        <f>'27'!O36</f>
        <v>0</v>
      </c>
      <c r="P36" s="170">
        <f>'27'!P36</f>
        <v>0</v>
      </c>
      <c r="Q36" s="310">
        <f>'27'!Q36</f>
        <v>0</v>
      </c>
    </row>
    <row r="37" spans="1:17" x14ac:dyDescent="0.3">
      <c r="A37" s="307" t="str">
        <f>'27'!A37</f>
        <v>WR</v>
      </c>
      <c r="B37" s="307">
        <f>'27'!B37</f>
        <v>5.5</v>
      </c>
      <c r="C37" s="307" t="str">
        <f>'27'!C37</f>
        <v>Y.11</v>
      </c>
      <c r="D37" s="308">
        <f>'27'!D37</f>
        <v>1052</v>
      </c>
      <c r="E37" s="308">
        <f>'27'!E37</f>
        <v>2198500</v>
      </c>
      <c r="F37" s="135"/>
      <c r="G37" s="307" t="str">
        <f>'27'!G37</f>
        <v>WR</v>
      </c>
      <c r="H37" s="309">
        <f>'27'!H37</f>
        <v>9</v>
      </c>
      <c r="I37" s="309">
        <f>'27'!I37</f>
        <v>8</v>
      </c>
      <c r="J37" s="170">
        <f>'27'!J37</f>
        <v>191</v>
      </c>
      <c r="K37" s="310">
        <f>'27'!K37</f>
        <v>398927</v>
      </c>
      <c r="L37" s="135"/>
      <c r="M37" s="307" t="str">
        <f>'27'!M37</f>
        <v>WR</v>
      </c>
      <c r="N37" s="309">
        <f>'27'!N37</f>
        <v>0</v>
      </c>
      <c r="O37" s="309">
        <f>'27'!O37</f>
        <v>0</v>
      </c>
      <c r="P37" s="170">
        <f>'27'!P37</f>
        <v>0</v>
      </c>
      <c r="Q37" s="310">
        <f>'27'!Q37</f>
        <v>0</v>
      </c>
    </row>
    <row r="38" spans="1:17" x14ac:dyDescent="0.3">
      <c r="A38" s="307" t="str">
        <f>'27'!A38</f>
        <v>WR</v>
      </c>
      <c r="B38" s="307">
        <f>'27'!B38</f>
        <v>5.5</v>
      </c>
      <c r="C38" s="307" t="str">
        <f>'27'!C38</f>
        <v>67.A</v>
      </c>
      <c r="D38" s="308">
        <f>'27'!D38</f>
        <v>312</v>
      </c>
      <c r="E38" s="308">
        <f>'27'!E38</f>
        <v>660228</v>
      </c>
      <c r="F38" s="135"/>
      <c r="G38" s="307" t="str">
        <f>'27'!G38</f>
        <v>WR</v>
      </c>
      <c r="H38" s="309">
        <f>'27'!H38</f>
        <v>9</v>
      </c>
      <c r="I38" s="309">
        <f>'27'!I38</f>
        <v>10</v>
      </c>
      <c r="J38" s="170">
        <f>'27'!J38</f>
        <v>48</v>
      </c>
      <c r="K38" s="310">
        <f>'27'!K38</f>
        <v>99117</v>
      </c>
      <c r="L38" s="135"/>
      <c r="M38" s="307" t="str">
        <f>'27'!M38</f>
        <v>WR</v>
      </c>
      <c r="N38" s="309">
        <f>'27'!N38</f>
        <v>0</v>
      </c>
      <c r="O38" s="309">
        <f>'27'!O38</f>
        <v>0</v>
      </c>
      <c r="P38" s="170">
        <f>'27'!P38</f>
        <v>0</v>
      </c>
      <c r="Q38" s="310">
        <f>'27'!Q38</f>
        <v>0</v>
      </c>
    </row>
    <row r="39" spans="1:17" x14ac:dyDescent="0.3">
      <c r="A39" s="307" t="str">
        <f>'27'!A39</f>
        <v>BIC</v>
      </c>
      <c r="B39" s="307" t="str">
        <f>'27'!B39</f>
        <v>P.8</v>
      </c>
      <c r="C39" s="307" t="str">
        <f>'27'!C39</f>
        <v>BjTPG280</v>
      </c>
      <c r="D39" s="308">
        <f>'27'!D39</f>
        <v>240</v>
      </c>
      <c r="E39" s="308">
        <f>'27'!E39</f>
        <v>499780</v>
      </c>
      <c r="F39" s="135"/>
      <c r="G39" s="307" t="str">
        <f>'27'!G39</f>
        <v>WR</v>
      </c>
      <c r="H39" s="309">
        <f>'27'!H39</f>
        <v>5.5</v>
      </c>
      <c r="I39" s="309">
        <f>'27'!I39</f>
        <v>15</v>
      </c>
      <c r="J39" s="170">
        <f>'27'!J39</f>
        <v>116</v>
      </c>
      <c r="K39" s="310">
        <f>'27'!K39</f>
        <v>239659</v>
      </c>
      <c r="L39" s="135"/>
      <c r="M39" s="307" t="str">
        <f>'27'!M39</f>
        <v>WR</v>
      </c>
      <c r="N39" s="309">
        <f>'27'!N39</f>
        <v>0</v>
      </c>
      <c r="O39" s="309">
        <f>'27'!O39</f>
        <v>0</v>
      </c>
      <c r="P39" s="170">
        <f>'27'!P39</f>
        <v>0</v>
      </c>
      <c r="Q39" s="310">
        <f>'27'!Q39</f>
        <v>0</v>
      </c>
    </row>
    <row r="40" spans="1:17" x14ac:dyDescent="0.3">
      <c r="A40" s="307" t="str">
        <f>'27'!A40</f>
        <v>BIC</v>
      </c>
      <c r="B40" s="307" t="str">
        <f>'27'!B40</f>
        <v>S.8</v>
      </c>
      <c r="C40" s="307" t="str">
        <f>'27'!C40</f>
        <v>BjTSG420</v>
      </c>
      <c r="D40" s="308">
        <f>'27'!D40</f>
        <v>476</v>
      </c>
      <c r="E40" s="308">
        <f>'27'!E40</f>
        <v>981350</v>
      </c>
      <c r="F40" s="135"/>
      <c r="G40" s="307" t="str">
        <f>'27'!G40</f>
        <v>WR</v>
      </c>
      <c r="H40" s="309">
        <f>'27'!H40</f>
        <v>5.5</v>
      </c>
      <c r="I40" s="309" t="str">
        <f>'27'!I40</f>
        <v>72.A</v>
      </c>
      <c r="J40" s="170">
        <f>'27'!J40</f>
        <v>48</v>
      </c>
      <c r="K40" s="310">
        <f>'27'!K40</f>
        <v>101358</v>
      </c>
      <c r="L40" s="135"/>
      <c r="M40" s="307" t="str">
        <f>'27'!M40</f>
        <v>WR</v>
      </c>
      <c r="N40" s="309">
        <f>'27'!N40</f>
        <v>0</v>
      </c>
      <c r="O40" s="309">
        <f>'27'!O40</f>
        <v>0</v>
      </c>
      <c r="P40" s="170">
        <f>'27'!P40</f>
        <v>0</v>
      </c>
      <c r="Q40" s="310">
        <f>'27'!Q40</f>
        <v>0</v>
      </c>
    </row>
    <row r="41" spans="1:17" x14ac:dyDescent="0.3">
      <c r="A41" s="307" t="str">
        <f>'27'!A41</f>
        <v>BIC</v>
      </c>
      <c r="B41" s="307" t="str">
        <f>'27'!B41</f>
        <v>S.10</v>
      </c>
      <c r="C41" s="307" t="str">
        <f>'27'!C41</f>
        <v>BjTSG420</v>
      </c>
      <c r="D41" s="308">
        <f>'27'!D41</f>
        <v>292</v>
      </c>
      <c r="E41" s="308">
        <f>'27'!E41</f>
        <v>602112</v>
      </c>
      <c r="F41" s="135"/>
      <c r="G41" s="307" t="str">
        <f>'27'!G41</f>
        <v>WR</v>
      </c>
      <c r="H41" s="309">
        <f>'27'!H41</f>
        <v>12</v>
      </c>
      <c r="I41" s="309">
        <f>'27'!I41</f>
        <v>15</v>
      </c>
      <c r="J41" s="170">
        <f>'27'!J41</f>
        <v>54</v>
      </c>
      <c r="K41" s="310">
        <f>'27'!K41</f>
        <v>111148</v>
      </c>
      <c r="L41" s="135"/>
      <c r="M41" s="307" t="str">
        <f>'27'!M41</f>
        <v>WR</v>
      </c>
      <c r="N41" s="309">
        <f>'27'!N41</f>
        <v>0</v>
      </c>
      <c r="O41" s="309">
        <f>'27'!O41</f>
        <v>0</v>
      </c>
      <c r="P41" s="170">
        <f>'27'!P41</f>
        <v>0</v>
      </c>
      <c r="Q41" s="310">
        <f>'27'!Q41</f>
        <v>0</v>
      </c>
    </row>
    <row r="42" spans="1:17" x14ac:dyDescent="0.3">
      <c r="A42" s="307" t="str">
        <f>'27'!A42</f>
        <v>WR</v>
      </c>
      <c r="B42" s="307">
        <f>'27'!B42</f>
        <v>5.5</v>
      </c>
      <c r="C42" s="307">
        <f>'27'!C42</f>
        <v>8</v>
      </c>
      <c r="D42" s="308">
        <f>'27'!D42</f>
        <v>480</v>
      </c>
      <c r="E42" s="308">
        <f>'27'!E42</f>
        <v>1006478</v>
      </c>
      <c r="F42" s="135"/>
      <c r="G42" s="307" t="str">
        <f>'27'!G42</f>
        <v>WR</v>
      </c>
      <c r="H42" s="309">
        <f>'27'!H42</f>
        <v>8.5</v>
      </c>
      <c r="I42" s="309">
        <f>'27'!I42</f>
        <v>8</v>
      </c>
      <c r="J42" s="170">
        <f>'27'!J42</f>
        <v>168</v>
      </c>
      <c r="K42" s="310">
        <f>'27'!K42</f>
        <v>351899</v>
      </c>
      <c r="L42" s="135"/>
      <c r="M42" s="307" t="str">
        <f>'27'!M42</f>
        <v>WR</v>
      </c>
      <c r="N42" s="309">
        <f>'27'!N42</f>
        <v>0</v>
      </c>
      <c r="O42" s="309">
        <f>'27'!O42</f>
        <v>0</v>
      </c>
      <c r="P42" s="170">
        <f>'27'!P42</f>
        <v>0</v>
      </c>
      <c r="Q42" s="310">
        <f>'27'!Q42</f>
        <v>0</v>
      </c>
    </row>
    <row r="43" spans="1:17" x14ac:dyDescent="0.3">
      <c r="A43" s="307" t="str">
        <f>'27'!A43</f>
        <v>WR</v>
      </c>
      <c r="B43" s="307">
        <f>'27'!B43</f>
        <v>5.5</v>
      </c>
      <c r="C43" s="307" t="str">
        <f>'27'!C43</f>
        <v>67.B</v>
      </c>
      <c r="D43" s="308">
        <f>'27'!D43</f>
        <v>288</v>
      </c>
      <c r="E43" s="308">
        <f>'27'!E43</f>
        <v>609307</v>
      </c>
      <c r="F43" s="135"/>
      <c r="G43" s="307" t="str">
        <f>'27'!G43</f>
        <v>WR</v>
      </c>
      <c r="H43" s="309">
        <f>'27'!H43</f>
        <v>7</v>
      </c>
      <c r="I43" s="309">
        <f>'27'!I43</f>
        <v>6</v>
      </c>
      <c r="J43" s="170">
        <f>'27'!J43</f>
        <v>48</v>
      </c>
      <c r="K43" s="310">
        <f>'27'!K43</f>
        <v>100641</v>
      </c>
      <c r="L43" s="135"/>
      <c r="M43" s="307" t="str">
        <f>'27'!M43</f>
        <v>WR</v>
      </c>
      <c r="N43" s="309">
        <f>'27'!N43</f>
        <v>0</v>
      </c>
      <c r="O43" s="309">
        <f>'27'!O43</f>
        <v>0</v>
      </c>
      <c r="P43" s="170">
        <f>'27'!P43</f>
        <v>0</v>
      </c>
      <c r="Q43" s="310">
        <f>'27'!Q43</f>
        <v>0</v>
      </c>
    </row>
    <row r="44" spans="1:17" x14ac:dyDescent="0.3">
      <c r="A44" s="307" t="str">
        <f>'27'!A44</f>
        <v>BIC</v>
      </c>
      <c r="B44" s="307" t="str">
        <f>'27'!B44</f>
        <v>P.10</v>
      </c>
      <c r="C44" s="307" t="str">
        <f>'27'!C44</f>
        <v>BjTPG280</v>
      </c>
      <c r="D44" s="308">
        <f>'27'!D44</f>
        <v>287</v>
      </c>
      <c r="E44" s="308">
        <f>'27'!E44</f>
        <v>595480</v>
      </c>
      <c r="F44" s="135"/>
      <c r="G44" s="307" t="str">
        <f>'27'!G44</f>
        <v>WR</v>
      </c>
      <c r="H44" s="309">
        <f>'27'!H44</f>
        <v>7</v>
      </c>
      <c r="I44" s="309">
        <f>'27'!I44</f>
        <v>8</v>
      </c>
      <c r="J44" s="170">
        <f>'27'!J44</f>
        <v>143</v>
      </c>
      <c r="K44" s="310">
        <f>'27'!K44</f>
        <v>299375</v>
      </c>
      <c r="L44" s="135"/>
      <c r="M44" s="307" t="str">
        <f>'27'!M44</f>
        <v>WR</v>
      </c>
      <c r="N44" s="309">
        <f>'27'!N44</f>
        <v>0</v>
      </c>
      <c r="O44" s="309">
        <f>'27'!O44</f>
        <v>0</v>
      </c>
      <c r="P44" s="170">
        <f>'27'!P44</f>
        <v>0</v>
      </c>
      <c r="Q44" s="310">
        <f>'27'!Q44</f>
        <v>0</v>
      </c>
    </row>
    <row r="45" spans="1:17" x14ac:dyDescent="0.3">
      <c r="A45" s="307" t="str">
        <f>'27'!A45</f>
        <v>BIC</v>
      </c>
      <c r="B45" s="307" t="str">
        <f>'27'!B45</f>
        <v>S.6</v>
      </c>
      <c r="C45" s="307" t="str">
        <f>'27'!C45</f>
        <v>BjTSG420</v>
      </c>
      <c r="D45" s="308">
        <f>'27'!D45</f>
        <v>48</v>
      </c>
      <c r="E45" s="308">
        <f>'27'!E45</f>
        <v>98404</v>
      </c>
      <c r="F45" s="135"/>
      <c r="G45" s="307" t="str">
        <f>'27'!G45</f>
        <v>WR</v>
      </c>
      <c r="H45" s="309">
        <f>'27'!H45</f>
        <v>7</v>
      </c>
      <c r="I45" s="309">
        <f>'27'!I45</f>
        <v>10</v>
      </c>
      <c r="J45" s="170">
        <f>'27'!J45</f>
        <v>48</v>
      </c>
      <c r="K45" s="310">
        <f>'27'!K45</f>
        <v>98999</v>
      </c>
      <c r="L45" s="135"/>
      <c r="M45" s="307" t="str">
        <f>'27'!M45</f>
        <v>WR</v>
      </c>
      <c r="N45" s="309">
        <f>'27'!N45</f>
        <v>0</v>
      </c>
      <c r="O45" s="309">
        <f>'27'!O45</f>
        <v>0</v>
      </c>
      <c r="P45" s="170">
        <f>'27'!P45</f>
        <v>0</v>
      </c>
      <c r="Q45" s="310">
        <f>'27'!Q45</f>
        <v>0</v>
      </c>
    </row>
    <row r="46" spans="1:17" x14ac:dyDescent="0.3">
      <c r="A46" s="307" t="str">
        <f>'27'!A46</f>
        <v>WR</v>
      </c>
      <c r="B46" s="307">
        <f>'27'!B46</f>
        <v>17</v>
      </c>
      <c r="C46" s="307">
        <f>'27'!C46</f>
        <v>8</v>
      </c>
      <c r="D46" s="308">
        <f>'27'!D46</f>
        <v>91</v>
      </c>
      <c r="E46" s="308">
        <f>'27'!E46</f>
        <v>188048</v>
      </c>
      <c r="F46" s="135"/>
      <c r="G46" s="307" t="str">
        <f>'27'!G46</f>
        <v>WR</v>
      </c>
      <c r="H46" s="309">
        <f>'27'!H46</f>
        <v>5.5</v>
      </c>
      <c r="I46" s="309" t="str">
        <f>'27'!I46</f>
        <v>72.A</v>
      </c>
      <c r="J46" s="170">
        <f>'27'!J46</f>
        <v>96</v>
      </c>
      <c r="K46" s="310">
        <f>'27'!K46</f>
        <v>203214</v>
      </c>
      <c r="L46" s="135"/>
      <c r="M46" s="307" t="str">
        <f>'27'!M46</f>
        <v>WR</v>
      </c>
      <c r="N46" s="309">
        <f>'27'!N46</f>
        <v>0</v>
      </c>
      <c r="O46" s="309">
        <f>'27'!O46</f>
        <v>0</v>
      </c>
      <c r="P46" s="170">
        <f>'27'!P46</f>
        <v>0</v>
      </c>
      <c r="Q46" s="310">
        <f>'27'!Q46</f>
        <v>0</v>
      </c>
    </row>
    <row r="47" spans="1:17" x14ac:dyDescent="0.3">
      <c r="A47" s="307" t="str">
        <f>'27'!A47</f>
        <v>WR</v>
      </c>
      <c r="B47" s="307">
        <f>'27'!B47</f>
        <v>8.5</v>
      </c>
      <c r="C47" s="307">
        <f>'27'!C47</f>
        <v>15</v>
      </c>
      <c r="D47" s="308">
        <f>'27'!D47</f>
        <v>576</v>
      </c>
      <c r="E47" s="308">
        <f>'27'!E47</f>
        <v>1194727</v>
      </c>
      <c r="F47" s="135"/>
      <c r="G47" s="307" t="str">
        <f>'27'!G47</f>
        <v>WR</v>
      </c>
      <c r="H47" s="309">
        <f>'27'!H47</f>
        <v>5.5</v>
      </c>
      <c r="I47" s="309" t="str">
        <f>'27'!I47</f>
        <v>72.B</v>
      </c>
      <c r="J47" s="170">
        <f>'27'!J47</f>
        <v>144</v>
      </c>
      <c r="K47" s="310">
        <f>'27'!K47</f>
        <v>304424</v>
      </c>
      <c r="L47" s="135"/>
      <c r="M47" s="307" t="str">
        <f>'27'!M47</f>
        <v>WR</v>
      </c>
      <c r="N47" s="309">
        <f>'27'!N47</f>
        <v>0</v>
      </c>
      <c r="O47" s="309">
        <f>'27'!O47</f>
        <v>0</v>
      </c>
      <c r="P47" s="170">
        <f>'27'!P47</f>
        <v>0</v>
      </c>
      <c r="Q47" s="310">
        <f>'27'!Q47</f>
        <v>0</v>
      </c>
    </row>
    <row r="48" spans="1:17" x14ac:dyDescent="0.3">
      <c r="A48" s="307" t="str">
        <f>'27'!A48</f>
        <v>WR</v>
      </c>
      <c r="B48" s="307">
        <f>'27'!B48</f>
        <v>6.5</v>
      </c>
      <c r="C48" s="307">
        <f>'27'!C48</f>
        <v>8</v>
      </c>
      <c r="D48" s="308">
        <f>'27'!D48</f>
        <v>264</v>
      </c>
      <c r="E48" s="308">
        <f>'27'!E48</f>
        <v>552714</v>
      </c>
      <c r="F48" s="135"/>
      <c r="G48" s="307" t="str">
        <f>'27'!G48</f>
        <v>WR</v>
      </c>
      <c r="H48" s="309">
        <f>'27'!H48</f>
        <v>10</v>
      </c>
      <c r="I48" s="309">
        <f>'27'!I48</f>
        <v>8</v>
      </c>
      <c r="J48" s="170">
        <f>'27'!J48</f>
        <v>167</v>
      </c>
      <c r="K48" s="310">
        <f>'27'!K48</f>
        <v>349862</v>
      </c>
      <c r="L48" s="135"/>
      <c r="M48" s="307" t="str">
        <f>'27'!M48</f>
        <v>WR</v>
      </c>
      <c r="N48" s="309">
        <f>'27'!N48</f>
        <v>0</v>
      </c>
      <c r="O48" s="309">
        <f>'27'!O48</f>
        <v>0</v>
      </c>
      <c r="P48" s="170">
        <f>'27'!P48</f>
        <v>0</v>
      </c>
      <c r="Q48" s="310">
        <f>'27'!Q48</f>
        <v>0</v>
      </c>
    </row>
    <row r="49" spans="1:23" x14ac:dyDescent="0.3">
      <c r="A49" s="307" t="str">
        <f>'27'!A49</f>
        <v>WR</v>
      </c>
      <c r="B49" s="307">
        <f>'27'!B49</f>
        <v>6.5</v>
      </c>
      <c r="C49" s="307">
        <f>'27'!C49</f>
        <v>15</v>
      </c>
      <c r="D49" s="308">
        <f>'27'!D49</f>
        <v>281</v>
      </c>
      <c r="E49" s="308">
        <f>'27'!E49</f>
        <v>582161</v>
      </c>
      <c r="F49" s="3"/>
      <c r="G49" s="307" t="str">
        <f>'27'!G49</f>
        <v>WR</v>
      </c>
      <c r="H49" s="309">
        <f>'27'!H49</f>
        <v>8</v>
      </c>
      <c r="I49" s="309">
        <f>'27'!I49</f>
        <v>8</v>
      </c>
      <c r="J49" s="170">
        <f>'27'!J49</f>
        <v>119</v>
      </c>
      <c r="K49" s="310">
        <f>'27'!K49</f>
        <v>248951</v>
      </c>
      <c r="L49" s="3"/>
      <c r="M49" s="307" t="str">
        <f>'27'!M49</f>
        <v>WR</v>
      </c>
      <c r="N49" s="309">
        <f>'27'!N49</f>
        <v>0</v>
      </c>
      <c r="O49" s="309">
        <f>'27'!O49</f>
        <v>0</v>
      </c>
      <c r="P49" s="170">
        <f>'27'!P49</f>
        <v>0</v>
      </c>
      <c r="Q49" s="310">
        <f>'27'!Q49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46050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/>
      <c r="E55" s="506"/>
      <c r="F55" s="506"/>
      <c r="G55" s="506"/>
      <c r="H55" s="506"/>
      <c r="I55" s="506"/>
      <c r="J55" s="93"/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21431091</v>
      </c>
      <c r="R55" s="395"/>
      <c r="S55" s="388">
        <f>DAY(A52)</f>
        <v>28</v>
      </c>
      <c r="T55" s="383">
        <f>S55-U55</f>
        <v>23</v>
      </c>
      <c r="U55" s="383">
        <f>'27'!U55</f>
        <v>5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21103233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>
        <f>L27</f>
        <v>0.98470175876720412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50617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>
        <f>F26</f>
        <v>2.3618489604658949E-3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'1'!Q60+'2'!P60+'3'!P60+'4'!P60+'5'!P60+'6'!P60+'7'!P60+'8'!P60+'9'!P60+'10'!P60+'11'!P60+'12'!P60+'13'!P60+'14'!P60+'15'!P60+'16'!P60+'17'!P60+'18'!P60+'19'!P60+'20'!P62+'21'!P60+'22'!P61+'23'!P60+'24'!P60+'25'!P60+'26'!P60+'27'!P60+'28'!P60</f>
        <v>40320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'1'!Q61+'2'!P61+'3'!P61+'4'!P61+'5'!P61+'6'!P61+'7'!P61+'8'!P61+'9'!P61+'10'!P61+'11'!P61+'12'!P61+'13'!P61+'14'!P61+'15'!P61+'16'!P61+'17'!P61+'18'!P61+'19'!P61+'20'!P63+'21'!P61+'22'!P62+'23'!P61+'24'!P61+'25'!P61+'26'!P61+'27'!P61+'28'!P61</f>
        <v>7200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'1'!Q62+'2'!P62+'3'!P62+'4'!P62+'5'!P62+'6'!P62+'7'!P62+'8'!P62+'9'!P62+'10'!P62+'11'!P62+'12'!P62+'13'!P62+'14'!P62+'15'!P62+'16'!P62+'17'!P62+'18'!P62+'19'!P62+'20'!P64+'21'!P62+'22'!P63+'23'!P62+'24'!P62+'25'!P62+'26'!P62+'27'!P62+'28'!P62</f>
        <v>7200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'1'!Q63+'2'!P63+'3'!P63+'4'!P63+'5'!P63+'6'!P63+'7'!P63+'8'!P63+'9'!P63+'10'!P63+'11'!P63+'12'!P63+'13'!P63+'14'!P63+'15'!P63+'16'!P63+'17'!P63+'18'!P63+'19'!P63+'20'!P65+'21'!P63+'22'!P64+'23'!P63+'24'!P63+'25'!P63+'26'!P63+'27'!P63+'28'!P63</f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'1'!Q64+'2'!P64+'3'!P64+'4'!P64+'5'!P64+'6'!P64+'7'!P64+'8'!P64+'9'!P64+'10'!P64+'11'!P64+'12'!P64+'13'!P64+'14'!P64+'15'!P64+'16'!P64+'17'!P64+'18'!P64+'19'!P64+'20'!P66+'21'!P64+'22'!P65+'23'!P64+'24'!P64+'25'!P64+'26'!P64+'27'!P64+'28'!P64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00">
        <f>'1'!Q65+'2'!P65+'3'!P65+'4'!P65+'5'!P65+'6'!P65+'7'!P65+'8'!P65+'9'!P65+'10'!P65+'11'!P65+'12'!P65+'13'!P65+'14'!P65+'15'!P65+'16'!P65+'17'!P65+'18'!P65+'19'!P65+'20'!P67+'21'!P65+'22'!P66+'23'!P65+'24'!P65+'25'!P65+'26'!P65+'27'!P65+'28'!P65</f>
        <v>3255</v>
      </c>
      <c r="R65" s="395"/>
      <c r="S65" s="171" t="s">
        <v>56</v>
      </c>
      <c r="T65" s="172"/>
      <c r="U65" s="173" t="s">
        <v>151</v>
      </c>
      <c r="V65" s="174"/>
      <c r="W65" s="181">
        <f>+'27'!W65+'28'!V65</f>
        <v>14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'1'!Q66+'2'!P66+'3'!P66+'4'!P66+'5'!P66+'6'!P66+'7'!P66+'8'!P66+'9'!P66+'10'!P66+'11'!P66+'12'!P66+'13'!P66+'14'!P66+'15'!P66+'16'!P66+'17'!P66+'18'!P66+'19'!P66+'20'!P68+'21'!P66+'22'!P67+'23'!P66+'24'!P66+'25'!P66+'26'!P66+'27'!P66+'28'!P66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+'27'!W66+'28'!V66</f>
        <v>7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>'1'!Q67+'2'!P67+'3'!P67+'4'!P67+'5'!P67+'6'!P67+'7'!P67+'8'!P67+'9'!P67+'10'!P67+'11'!P67+'12'!P67+'13'!P67+'14'!P67+'15'!P67+'16'!P67+'17'!P67+'18'!P67+'19'!P67+'20'!P69+'21'!P67+'22'!P68+'23'!P67+'24'!P67+'25'!P67+'26'!P67+'27'!P67+'28'!P67</f>
        <v>2804</v>
      </c>
      <c r="R67" s="399"/>
      <c r="S67" s="377" t="s">
        <v>60</v>
      </c>
      <c r="T67" s="175"/>
      <c r="U67" s="176" t="s">
        <v>151</v>
      </c>
      <c r="V67" s="177"/>
      <c r="W67" s="182">
        <f>+'27'!W67+'28'!V67</f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>'1'!Q68+'2'!P68+'3'!P68+'4'!P68+'5'!P68+'6'!P68+'7'!P68+'8'!P68+'9'!P68+'10'!P68+'11'!P68+'12'!P68+'13'!P68+'14'!P68+'15'!P68+'16'!P68+'17'!P68+'18'!P68+'19'!P68+'20'!P70+'21'!P68+'22'!P69+'23'!P68+'24'!P68+'25'!P68+'26'!P68+'27'!P68+'28'!P68</f>
        <v>451</v>
      </c>
      <c r="R68" s="409"/>
      <c r="S68" s="377" t="s">
        <v>62</v>
      </c>
      <c r="T68" s="175"/>
      <c r="U68" s="176" t="s">
        <v>151</v>
      </c>
      <c r="V68" s="177"/>
      <c r="W68" s="182">
        <f>+'27'!W68+'28'!V68</f>
        <v>3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0</v>
      </c>
      <c r="Q69" s="100">
        <f>'1'!Q69+'2'!P69+'3'!P69+'4'!P69+'5'!P69+'6'!P69+'7'!P69+'8'!P69+'9'!P69+'10'!P69+'11'!P69+'12'!P69+'13'!P69+'14'!P69+'15'!P69+'16'!P69+'17'!P69+'18'!P69+'19'!P69+'20'!P71+'21'!P69+'22'!P70+'23'!P69+'24'!P69+'25'!P69+'26'!P69+'27'!P69+'28'!P69</f>
        <v>1375</v>
      </c>
      <c r="R69" s="395"/>
      <c r="S69" s="376" t="s">
        <v>64</v>
      </c>
      <c r="T69" s="178"/>
      <c r="U69" s="179" t="s">
        <v>151</v>
      </c>
      <c r="V69" s="180"/>
      <c r="W69" s="183">
        <f>+'27'!W69+'28'!V69</f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>'1'!Q70+'2'!P70+'3'!P70+'4'!P70+'5'!P70+'6'!P70+'7'!P70+'8'!P70+'9'!P70+'10'!P70+'11'!P70+'12'!P70+'13'!P70+'14'!P70+'15'!P70+'16'!P70+'17'!P70+'18'!P70+'19'!P70+'20'!P72+'21'!P70+'22'!P71+'23'!P70+'24'!P70+'25'!P70+'26'!P70+'27'!P70+'28'!P70</f>
        <v>861</v>
      </c>
      <c r="R70" s="399">
        <f>T55*30</f>
        <v>690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>'1'!Q71+'2'!P71+'3'!P71+'4'!P71+'5'!P71+'6'!P71+'7'!P71+'8'!P71+'9'!P71+'10'!P71+'11'!P71+'12'!P71+'13'!P71+'14'!P71+'15'!P71+'16'!P71+'17'!P71+'18'!P71+'19'!P71+'20'!P73+'21'!P71+'22'!P72+'23'!P71+'24'!P71+'25'!P71+'26'!P71+'27'!P71+'28'!P71</f>
        <v>406</v>
      </c>
      <c r="R71" s="399">
        <f>T55*25</f>
        <v>575</v>
      </c>
      <c r="S71" s="574" t="s">
        <v>187</v>
      </c>
      <c r="T71" s="574"/>
      <c r="U71" s="170" t="s">
        <v>32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'1'!Q72+'2'!P72+'3'!P72+'4'!P72+'5'!P72+'6'!P72+'7'!P72+'8'!P72+'9'!P72+'10'!P72+'11'!P72+'12'!P72+'13'!P72+'14'!P72+'15'!P72+'16'!P72+'17'!P72+'18'!P72+'19'!P72+'20'!P74+'21'!P72+'22'!P73+'23'!P72+'24'!P72+'25'!P72+'26'!P72+'27'!P72+'28'!P72</f>
        <v>37</v>
      </c>
      <c r="R72" s="399">
        <f>T55*10</f>
        <v>230</v>
      </c>
      <c r="S72" s="575" t="s">
        <v>188</v>
      </c>
      <c r="T72" s="575"/>
      <c r="U72" s="299">
        <v>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'1'!Q73+'2'!P73+'3'!P73+'4'!P73+'5'!P73+'6'!P73+'7'!P73+'8'!P73+'9'!P73+'10'!P73+'11'!P73+'12'!P73+'13'!P73+'14'!P73+'15'!P73+'16'!P73+'17'!P73+'18'!P73+'19'!P73+'20'!P75+'21'!P73+'22'!P74+'23'!P73+'24'!P73+'25'!P73+'26'!P73+'27'!P73+'28'!P73</f>
        <v>71</v>
      </c>
      <c r="R73" s="399"/>
      <c r="S73" s="576" t="s">
        <v>189</v>
      </c>
      <c r="T73" s="576"/>
      <c r="U73" s="300">
        <v>0</v>
      </c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'1'!Q74+'2'!P74+'3'!P74+'4'!P74+'5'!P74+'6'!P74+'7'!P74+'8'!P74+'9'!P74+'10'!P74+'11'!P74+'12'!P74+'13'!P74+'14'!P74+'15'!P74+'16'!P74+'17'!P74+'18'!P74+'19'!P74+'20'!P76+'21'!P74+'22'!P75+'23'!P74+'24'!P74+'25'!P74+'26'!P74+'27'!P74+'28'!P74</f>
        <v>0</v>
      </c>
      <c r="R74" s="409"/>
      <c r="S74" s="577" t="s">
        <v>190</v>
      </c>
      <c r="T74" s="577"/>
      <c r="U74" s="301">
        <v>0</v>
      </c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'1'!Q75+'2'!P75+'3'!P75+'4'!P75+'5'!P75+'6'!P75+'7'!P75+'8'!P75+'9'!P75+'10'!P75+'11'!P75+'12'!P75+'13'!P75+'14'!P75+'15'!P75+'16'!P75+'17'!P75+'18'!P75+'19'!P75+'20'!P77+'21'!P75+'22'!P76+'23'!P75+'24'!P75+'25'!P75+'26'!P75+'27'!P75+'28'!P75</f>
        <v>33120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>'1'!Q76+'2'!P76+'3'!P76+'4'!P76+'5'!P76+'6'!P76+'7'!P76+'8'!P76+'9'!P76+'10'!P76+'11'!P76+'12'!P76+'13'!P76+'14'!P76+'15'!P76+'16'!P76+'17'!P76+'18'!P76+'19'!P76+'20'!P78+'21'!P76+'22'!P77+'23'!P76+'24'!P76+'25'!P76+'26'!P76+'27'!P76+'28'!P76</f>
        <v>4630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94">
        <f>'1'!Q77+'2'!P77+'3'!P77+'4'!P77+'5'!P77+'6'!P77+'7'!P77+'8'!P77+'9'!P77+'10'!P77+'11'!P77+'12'!P77+'13'!P77+'14'!P77+'15'!P77+'16'!P77+'17'!P77+'18'!P77+'19'!P77+'20'!P79+'21'!P77+'22'!P78+'23'!P77+'24'!P77+'25'!P77+'26'!P77+'27'!P77+'28'!P77</f>
        <v>4679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'1'!Q78+'2'!P78+'3'!P78+'4'!P78+'5'!P78+'6'!P78+'7'!P78+'8'!P78+'9'!P78+'10'!P78+'11'!P78+'12'!P78+'13'!P78+'14'!P78+'15'!P78+'16'!P78+'17'!P78+'18'!P78+'19'!P78+'20'!P80+'21'!P78+'22'!P79+'23'!P78+'24'!P78+'25'!P78+'26'!P78+'27'!P78+'28'!P78</f>
        <v>49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1440</v>
      </c>
      <c r="Q79" s="94">
        <f>'1'!Q79+'2'!P79+'3'!P79+'4'!P79+'5'!P79+'6'!P79+'7'!P79+'8'!P79+'9'!P79+'10'!P79+'11'!P79+'12'!P79+'13'!P79+'14'!P79+'15'!P79+'16'!P79+'17'!P79+'18'!P79+'19'!P79+'20'!P81+'21'!P79+'22'!P80+'23'!P79+'24'!P79+'25'!P79+'26'!P79+'27'!P79+'28'!P79</f>
        <v>28441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1</v>
      </c>
      <c r="Q80" s="103">
        <f>Q79/Q75</f>
        <v>0.85872584541062802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1</v>
      </c>
      <c r="Q81" s="165">
        <f>Q79/Q60</f>
        <v>0.70538194444444446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0</v>
      </c>
      <c r="Q82" s="150">
        <f>(C26/1000)/(Q79/60)</f>
        <v>45.211682430294296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0</v>
      </c>
      <c r="Q83" s="113">
        <f>(C26/1000)/(Q75/60)</f>
        <v>38.824440217391306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0</v>
      </c>
      <c r="Q84" s="100">
        <f>'1'!Q84+'2'!P84+'3'!P84+'4'!P84+'5'!P84+'6'!P84+'7'!P84+'8'!P84+'9'!P84+'10'!P84+'11'!P84+'12'!P84+'13'!P84+'14'!P84+'15'!P84+'16'!P84+'17'!P84+'18'!P84+'19'!P84+'20'!P86+'21'!P84+'22'!P85+'23'!P84+'24'!P84+'25'!P84+'26'!P84+'27'!P84+'28'!P84</f>
        <v>690137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 t="e">
        <f>P84/(K17/1000)</f>
        <v>#DIV/0!</v>
      </c>
      <c r="Q85" s="124">
        <f>Q84/(K27/1000)</f>
        <v>32.702903863118983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0</v>
      </c>
      <c r="Q86" s="100">
        <f>'1'!Q86+'2'!P86+'3'!P86+'4'!P86+'5'!P86+'6'!P86+'7'!P86+'8'!P86+'9'!P86+'10'!P86+'11'!P86+'12'!P86+'13'!P86+'14'!P86+'15'!P86+'16'!P86+'17'!P86+'18'!P86+'19'!P86+'20'!P88+'21'!P86+'22'!P87+'23'!P86+'24'!P86+'25'!P86+'26'!P86+'27'!P86+'28'!P86</f>
        <v>3974.93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>
        <f>(Q86*1000)/(K26/1000)</f>
        <v>189.03239910687631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0</v>
      </c>
      <c r="Q88" s="100">
        <f>'1'!Q88+'2'!P88+'3'!P88+'4'!P88+'5'!P88+'6'!P88+'7'!P88+'8'!P88+'9'!P88+'10'!P88+'11'!P88+'12'!P88+'13'!P88+'14'!P88+'15'!P88+'16'!P88+'17'!P88+'18'!P88+'19'!P88+'20'!P90+'21'!P88+'22'!P89+'23'!P88+'24'!P88+'25'!P88+'26'!P88+'27'!P88+'28'!P88</f>
        <v>2270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124">
        <f>Q88/(K26/1000)</f>
        <v>0.10795247865311068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8">
    <mergeCell ref="A2:Q2"/>
    <mergeCell ref="A3:Q3"/>
    <mergeCell ref="A4:F4"/>
    <mergeCell ref="G4:N4"/>
    <mergeCell ref="A5:C5"/>
    <mergeCell ref="D5:F5"/>
    <mergeCell ref="G5:L5"/>
    <mergeCell ref="M5:N5"/>
    <mergeCell ref="J53:J54"/>
    <mergeCell ref="L53:N54"/>
    <mergeCell ref="O53:O54"/>
    <mergeCell ref="P53:P54"/>
    <mergeCell ref="Q53:Q54"/>
    <mergeCell ref="L55:N55"/>
    <mergeCell ref="L56:N56"/>
    <mergeCell ref="D55:I55"/>
    <mergeCell ref="D56:I56"/>
    <mergeCell ref="A17:J17"/>
    <mergeCell ref="A19:F19"/>
    <mergeCell ref="G19:N19"/>
    <mergeCell ref="A20:C20"/>
    <mergeCell ref="D20:F20"/>
    <mergeCell ref="G20:L20"/>
    <mergeCell ref="M20:N20"/>
    <mergeCell ref="A21:A26"/>
    <mergeCell ref="A27:J27"/>
    <mergeCell ref="A51:Q51"/>
    <mergeCell ref="C53:C54"/>
    <mergeCell ref="D53:I54"/>
    <mergeCell ref="D59:I59"/>
    <mergeCell ref="L64:N64"/>
    <mergeCell ref="D57:I57"/>
    <mergeCell ref="L62:N62"/>
    <mergeCell ref="D60:I60"/>
    <mergeCell ref="L57:N57"/>
    <mergeCell ref="L58:N58"/>
    <mergeCell ref="L59:N59"/>
    <mergeCell ref="L60:N60"/>
    <mergeCell ref="D61:I61"/>
    <mergeCell ref="D58:I58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D68:I68"/>
    <mergeCell ref="L70:N70"/>
    <mergeCell ref="D69:I69"/>
    <mergeCell ref="L68:N68"/>
    <mergeCell ref="D70:I70"/>
    <mergeCell ref="L69:N69"/>
    <mergeCell ref="L84:N85"/>
    <mergeCell ref="L86:N87"/>
    <mergeCell ref="L88:N89"/>
    <mergeCell ref="N91:O91"/>
    <mergeCell ref="P91:Q91"/>
    <mergeCell ref="L81:N81"/>
    <mergeCell ref="D77:I77"/>
    <mergeCell ref="L82:N82"/>
    <mergeCell ref="D78:I78"/>
    <mergeCell ref="L83:N83"/>
    <mergeCell ref="D79:I79"/>
    <mergeCell ref="L80:N80"/>
    <mergeCell ref="L77:N77"/>
    <mergeCell ref="L78:N78"/>
    <mergeCell ref="L79:N79"/>
    <mergeCell ref="D76:I76"/>
    <mergeCell ref="L76:N76"/>
    <mergeCell ref="S71:T71"/>
    <mergeCell ref="S72:T72"/>
    <mergeCell ref="S73:T73"/>
    <mergeCell ref="S74:T74"/>
    <mergeCell ref="D75:I75"/>
    <mergeCell ref="L74:N74"/>
    <mergeCell ref="L75:N75"/>
    <mergeCell ref="D71:I71"/>
    <mergeCell ref="L73:N73"/>
    <mergeCell ref="D72:I72"/>
    <mergeCell ref="D73:I73"/>
    <mergeCell ref="D74:I74"/>
    <mergeCell ref="L71:N71"/>
    <mergeCell ref="L72:N72"/>
  </mergeCells>
  <pageMargins left="0.7" right="0.7" top="0.25" bottom="0.25" header="0.3" footer="0.3"/>
  <pageSetup paperSize="9" scale="78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B46" workbookViewId="0">
      <selection activeCell="R59" sqref="R59"/>
    </sheetView>
  </sheetViews>
  <sheetFormatPr defaultRowHeight="16.5" x14ac:dyDescent="0.3"/>
  <cols>
    <col min="1" max="1" width="8.71093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'28'!A3:Q3+1</f>
        <v>46051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/>
      <c r="B7" s="15"/>
      <c r="C7" s="15"/>
      <c r="D7" s="16"/>
      <c r="E7" s="17"/>
      <c r="F7" s="18"/>
      <c r="G7" s="19" t="s">
        <v>1</v>
      </c>
      <c r="H7" s="20"/>
      <c r="I7" s="21"/>
      <c r="J7" s="22"/>
      <c r="K7" s="17"/>
      <c r="L7" s="23" t="e">
        <f t="shared" ref="L7:L16" si="0">K7/C7</f>
        <v>#DIV/0!</v>
      </c>
      <c r="M7" s="17"/>
      <c r="N7" s="22"/>
      <c r="O7" s="134"/>
      <c r="P7" s="134"/>
      <c r="Q7" s="134"/>
    </row>
    <row r="8" spans="1:17" x14ac:dyDescent="0.3">
      <c r="A8" s="24"/>
      <c r="B8" s="25"/>
      <c r="C8" s="25"/>
      <c r="D8" s="26"/>
      <c r="E8" s="27"/>
      <c r="F8" s="28"/>
      <c r="G8" s="29" t="s">
        <v>1</v>
      </c>
      <c r="H8" s="30"/>
      <c r="I8" s="31"/>
      <c r="J8" s="32"/>
      <c r="K8" s="33"/>
      <c r="L8" s="34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si="0"/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'28'!B22+'29'!B16</f>
        <v>8552</v>
      </c>
      <c r="C22" s="57">
        <f>'28'!C22+'29'!C16</f>
        <v>18074564</v>
      </c>
      <c r="D22" s="57">
        <f>'28'!D22+'29'!D16</f>
        <v>15</v>
      </c>
      <c r="E22" s="57">
        <f>'28'!E22+'29'!E16</f>
        <v>31699</v>
      </c>
      <c r="F22" s="423">
        <f>E22/C22</f>
        <v>1.7537905755292355E-3</v>
      </c>
      <c r="G22" s="58" t="s">
        <v>1</v>
      </c>
      <c r="H22" s="59"/>
      <c r="I22" s="59"/>
      <c r="J22" s="57">
        <f>'28'!J22+'29'!J16</f>
        <v>8509</v>
      </c>
      <c r="K22" s="57">
        <f>'28'!K22+'29'!K16</f>
        <v>17753607</v>
      </c>
      <c r="L22" s="60">
        <f>K22/C22</f>
        <v>0.98224261453830919</v>
      </c>
      <c r="M22" s="57">
        <f>'28'!M22+'29'!M16</f>
        <v>28</v>
      </c>
      <c r="N22" s="57">
        <f>'28'!N22+'29'!N16</f>
        <v>57472</v>
      </c>
      <c r="O22" s="135"/>
      <c r="P22" s="135"/>
      <c r="Q22" s="135"/>
    </row>
    <row r="23" spans="1:17" x14ac:dyDescent="0.3">
      <c r="A23" s="521"/>
      <c r="B23" s="61">
        <f>'28'!B23</f>
        <v>1600</v>
      </c>
      <c r="C23" s="61">
        <f>'28'!C23</f>
        <v>3356527</v>
      </c>
      <c r="D23" s="61">
        <f>'28'!D23</f>
        <v>9</v>
      </c>
      <c r="E23" s="61">
        <f>'28'!E23</f>
        <v>18918</v>
      </c>
      <c r="F23" s="424">
        <f>E23/C23</f>
        <v>5.6361828759309849E-3</v>
      </c>
      <c r="G23" s="381" t="s">
        <v>195</v>
      </c>
      <c r="H23" s="59"/>
      <c r="I23" s="59"/>
      <c r="J23" s="61">
        <f>'28'!J23</f>
        <v>1582</v>
      </c>
      <c r="K23" s="61">
        <f>'28'!K23</f>
        <v>3274164</v>
      </c>
      <c r="L23" s="382">
        <f t="shared" ref="L23:L24" si="1">K23/C23</f>
        <v>0.97546183897820571</v>
      </c>
      <c r="M23" s="61">
        <f>'28'!M23</f>
        <v>9</v>
      </c>
      <c r="N23" s="61">
        <f>'28'!N23</f>
        <v>17990</v>
      </c>
      <c r="O23" s="135"/>
      <c r="P23" s="135"/>
      <c r="Q23" s="135"/>
    </row>
    <row r="24" spans="1:17" x14ac:dyDescent="0.3">
      <c r="A24" s="521"/>
      <c r="B24" s="61">
        <f>'28'!B24</f>
        <v>0</v>
      </c>
      <c r="C24" s="61">
        <f>'28'!C24</f>
        <v>0</v>
      </c>
      <c r="D24" s="61">
        <f>'28'!D24</f>
        <v>0</v>
      </c>
      <c r="E24" s="61">
        <f>'28'!E24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'28'!J24</f>
        <v>0</v>
      </c>
      <c r="K24" s="61">
        <f>'28'!K24</f>
        <v>0</v>
      </c>
      <c r="L24" s="382" t="e">
        <f t="shared" si="1"/>
        <v>#DIV/0!</v>
      </c>
      <c r="M24" s="61">
        <f>'28'!M24</f>
        <v>0</v>
      </c>
      <c r="N24" s="61">
        <f>'28'!N24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10152</v>
      </c>
      <c r="C26" s="68">
        <f>SUM(C21:C25)</f>
        <v>21431091</v>
      </c>
      <c r="D26" s="49">
        <f>SUM(D21:D25)</f>
        <v>24</v>
      </c>
      <c r="E26" s="69">
        <f>SUM(E22:E25)</f>
        <v>50617</v>
      </c>
      <c r="F26" s="51">
        <f>E26/C26</f>
        <v>2.3618489604658949E-3</v>
      </c>
      <c r="G26" s="51"/>
      <c r="H26" s="70"/>
      <c r="I26" s="70"/>
      <c r="J26" s="71">
        <f>SUM(J22:J25)</f>
        <v>10091</v>
      </c>
      <c r="K26" s="68">
        <f>SUM(K22:K25)</f>
        <v>21027771</v>
      </c>
      <c r="L26" s="51">
        <f>K26/C26</f>
        <v>0.98118061278354896</v>
      </c>
      <c r="M26" s="71">
        <f>SUM(M22:M25)</f>
        <v>37</v>
      </c>
      <c r="N26" s="54">
        <f>SUM(N22:N25)</f>
        <v>75462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21103233</v>
      </c>
      <c r="L27" s="51">
        <f>K27/C26</f>
        <v>0.98470175876720412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'28'!A30</f>
        <v>BIC</v>
      </c>
      <c r="B30" s="307" t="str">
        <f>'28'!B30</f>
        <v>P.6</v>
      </c>
      <c r="C30" s="307" t="str">
        <f>'28'!C30</f>
        <v>BjTPG280</v>
      </c>
      <c r="D30" s="308">
        <f>'28'!D30</f>
        <v>239</v>
      </c>
      <c r="E30" s="308">
        <f>'28'!E30</f>
        <v>497038</v>
      </c>
      <c r="F30" s="79"/>
      <c r="G30" s="307" t="str">
        <f>'28'!G30</f>
        <v>WR</v>
      </c>
      <c r="H30" s="309">
        <f>'28'!H30</f>
        <v>18</v>
      </c>
      <c r="I30" s="309">
        <f>'28'!I30</f>
        <v>8</v>
      </c>
      <c r="J30" s="170">
        <f>'28'!J30</f>
        <v>68</v>
      </c>
      <c r="K30" s="310">
        <f>'28'!K30</f>
        <v>140152</v>
      </c>
      <c r="L30" s="79"/>
      <c r="M30" s="307" t="str">
        <f>'28'!M30</f>
        <v>WR</v>
      </c>
      <c r="N30" s="309">
        <f>'28'!N30</f>
        <v>0</v>
      </c>
      <c r="O30" s="309">
        <f>'28'!O30</f>
        <v>0</v>
      </c>
      <c r="P30" s="170">
        <f>'28'!P30</f>
        <v>0</v>
      </c>
      <c r="Q30" s="310">
        <f>'28'!Q30</f>
        <v>0</v>
      </c>
    </row>
    <row r="31" spans="1:17" x14ac:dyDescent="0.3">
      <c r="A31" s="307" t="str">
        <f>'28'!A31</f>
        <v>WR</v>
      </c>
      <c r="B31" s="307">
        <f>'28'!B31</f>
        <v>6.5</v>
      </c>
      <c r="C31" s="307">
        <f>'28'!C31</f>
        <v>8</v>
      </c>
      <c r="D31" s="308">
        <f>'28'!D31</f>
        <v>180</v>
      </c>
      <c r="E31" s="308">
        <f>'28'!E31</f>
        <v>377095</v>
      </c>
      <c r="F31" s="135"/>
      <c r="G31" s="307" t="str">
        <f>'28'!G31</f>
        <v>WR</v>
      </c>
      <c r="H31" s="309">
        <f>'28'!H31</f>
        <v>7.5</v>
      </c>
      <c r="I31" s="309">
        <f>'28'!I31</f>
        <v>8</v>
      </c>
      <c r="J31" s="170">
        <f>'28'!J31</f>
        <v>96</v>
      </c>
      <c r="K31" s="310">
        <f>'28'!K31</f>
        <v>200884</v>
      </c>
      <c r="L31" s="135"/>
      <c r="M31" s="307" t="str">
        <f>'28'!M31</f>
        <v>WR</v>
      </c>
      <c r="N31" s="309">
        <f>'28'!N31</f>
        <v>0</v>
      </c>
      <c r="O31" s="309">
        <f>'28'!O31</f>
        <v>0</v>
      </c>
      <c r="P31" s="170">
        <f>'28'!P31</f>
        <v>0</v>
      </c>
      <c r="Q31" s="310">
        <f>'28'!Q31</f>
        <v>0</v>
      </c>
    </row>
    <row r="32" spans="1:17" x14ac:dyDescent="0.3">
      <c r="A32" s="307" t="str">
        <f>'28'!A32</f>
        <v>WR</v>
      </c>
      <c r="B32" s="307">
        <f>'28'!B32</f>
        <v>6.5</v>
      </c>
      <c r="C32" s="307">
        <f>'28'!C32</f>
        <v>10</v>
      </c>
      <c r="D32" s="308">
        <f>'28'!D32</f>
        <v>48</v>
      </c>
      <c r="E32" s="308">
        <f>'28'!E32</f>
        <v>99149</v>
      </c>
      <c r="F32" s="135"/>
      <c r="G32" s="307" t="str">
        <f>'28'!G32</f>
        <v>WR</v>
      </c>
      <c r="H32" s="309">
        <f>'28'!H32</f>
        <v>7.5</v>
      </c>
      <c r="I32" s="309">
        <f>'28'!I32</f>
        <v>15</v>
      </c>
      <c r="J32" s="170">
        <f>'28'!J32</f>
        <v>543</v>
      </c>
      <c r="K32" s="310">
        <f>'28'!K32</f>
        <v>1124422</v>
      </c>
      <c r="L32" s="135"/>
      <c r="M32" s="307" t="str">
        <f>'28'!M32</f>
        <v>WR</v>
      </c>
      <c r="N32" s="309">
        <f>'28'!N32</f>
        <v>0</v>
      </c>
      <c r="O32" s="309">
        <f>'28'!O32</f>
        <v>0</v>
      </c>
      <c r="P32" s="170">
        <f>'28'!P32</f>
        <v>0</v>
      </c>
      <c r="Q32" s="310">
        <f>'28'!Q32</f>
        <v>0</v>
      </c>
    </row>
    <row r="33" spans="1:17" x14ac:dyDescent="0.3">
      <c r="A33" s="307" t="str">
        <f>'28'!A33</f>
        <v>WR</v>
      </c>
      <c r="B33" s="307">
        <f>'28'!B33</f>
        <v>6.5</v>
      </c>
      <c r="C33" s="307">
        <f>'28'!C33</f>
        <v>15</v>
      </c>
      <c r="D33" s="308">
        <f>'28'!D33</f>
        <v>6</v>
      </c>
      <c r="E33" s="308">
        <f>'28'!E33</f>
        <v>12304</v>
      </c>
      <c r="F33" s="135"/>
      <c r="G33" s="307" t="str">
        <f>'28'!G33</f>
        <v>WR</v>
      </c>
      <c r="H33" s="309">
        <f>'28'!H33</f>
        <v>5.5</v>
      </c>
      <c r="I33" s="309">
        <f>'28'!I33</f>
        <v>22</v>
      </c>
      <c r="J33" s="170">
        <f>'28'!J33</f>
        <v>436</v>
      </c>
      <c r="K33" s="310">
        <f>'28'!K33</f>
        <v>893285</v>
      </c>
      <c r="L33" s="135"/>
      <c r="M33" s="307" t="str">
        <f>'28'!M33</f>
        <v>WR</v>
      </c>
      <c r="N33" s="309">
        <f>'28'!N33</f>
        <v>0</v>
      </c>
      <c r="O33" s="309">
        <f>'28'!O33</f>
        <v>0</v>
      </c>
      <c r="P33" s="170">
        <f>'28'!P33</f>
        <v>0</v>
      </c>
      <c r="Q33" s="310">
        <f>'28'!Q33</f>
        <v>0</v>
      </c>
    </row>
    <row r="34" spans="1:17" x14ac:dyDescent="0.3">
      <c r="A34" s="307" t="str">
        <f>'28'!A34</f>
        <v>WR</v>
      </c>
      <c r="B34" s="307">
        <f>'28'!B34</f>
        <v>5.5</v>
      </c>
      <c r="C34" s="307">
        <f>'28'!C34</f>
        <v>6</v>
      </c>
      <c r="D34" s="308">
        <f>'28'!D34</f>
        <v>995</v>
      </c>
      <c r="E34" s="308">
        <f>'28'!E34</f>
        <v>2086453</v>
      </c>
      <c r="F34" s="135"/>
      <c r="G34" s="307" t="str">
        <f>'28'!G34</f>
        <v>WR</v>
      </c>
      <c r="H34" s="309">
        <f>'28'!H34</f>
        <v>5.5</v>
      </c>
      <c r="I34" s="309">
        <f>'28'!I34</f>
        <v>1045</v>
      </c>
      <c r="J34" s="170">
        <f>'28'!J34</f>
        <v>50</v>
      </c>
      <c r="K34" s="310">
        <f>'28'!K34</f>
        <v>104556</v>
      </c>
      <c r="L34" s="135"/>
      <c r="M34" s="307" t="str">
        <f>'28'!M34</f>
        <v>WR</v>
      </c>
      <c r="N34" s="309">
        <f>'28'!N34</f>
        <v>0</v>
      </c>
      <c r="O34" s="309">
        <f>'28'!O34</f>
        <v>0</v>
      </c>
      <c r="P34" s="170">
        <f>'28'!P34</f>
        <v>0</v>
      </c>
      <c r="Q34" s="310">
        <f>'28'!Q34</f>
        <v>0</v>
      </c>
    </row>
    <row r="35" spans="1:17" x14ac:dyDescent="0.3">
      <c r="A35" s="307" t="str">
        <f>'28'!A35</f>
        <v>WR</v>
      </c>
      <c r="B35" s="307">
        <f>'28'!B35</f>
        <v>5.5</v>
      </c>
      <c r="C35" s="307" t="str">
        <f>'28'!C35</f>
        <v>8.A</v>
      </c>
      <c r="D35" s="308">
        <f>'28'!D35</f>
        <v>75</v>
      </c>
      <c r="E35" s="308">
        <f>'28'!E35</f>
        <v>157414</v>
      </c>
      <c r="F35" s="135"/>
      <c r="G35" s="307" t="str">
        <f>'28'!G35</f>
        <v>WR</v>
      </c>
      <c r="H35" s="309">
        <f>'28'!H35</f>
        <v>9.5</v>
      </c>
      <c r="I35" s="309">
        <f>'28'!I35</f>
        <v>15</v>
      </c>
      <c r="J35" s="170">
        <f>'28'!J35</f>
        <v>322</v>
      </c>
      <c r="K35" s="310">
        <f>'28'!K35</f>
        <v>664963</v>
      </c>
      <c r="L35" s="135"/>
      <c r="M35" s="307" t="str">
        <f>'28'!M35</f>
        <v>WR</v>
      </c>
      <c r="N35" s="309">
        <f>'28'!N35</f>
        <v>0</v>
      </c>
      <c r="O35" s="309">
        <f>'28'!O35</f>
        <v>0</v>
      </c>
      <c r="P35" s="170">
        <f>'28'!P35</f>
        <v>0</v>
      </c>
      <c r="Q35" s="310">
        <f>'28'!Q35</f>
        <v>0</v>
      </c>
    </row>
    <row r="36" spans="1:17" x14ac:dyDescent="0.3">
      <c r="A36" s="307" t="str">
        <f>'28'!A36</f>
        <v>WR</v>
      </c>
      <c r="B36" s="307">
        <f>'28'!B36</f>
        <v>5.5</v>
      </c>
      <c r="C36" s="307" t="str">
        <f>'28'!C36</f>
        <v>22.A</v>
      </c>
      <c r="D36" s="308">
        <f>'28'!D36</f>
        <v>813</v>
      </c>
      <c r="E36" s="308">
        <f>'28'!E36</f>
        <v>1694379</v>
      </c>
      <c r="F36" s="135"/>
      <c r="G36" s="307" t="str">
        <f>'28'!G36</f>
        <v>WR</v>
      </c>
      <c r="H36" s="309">
        <f>'28'!H36</f>
        <v>12</v>
      </c>
      <c r="I36" s="309">
        <f>'28'!I36</f>
        <v>8</v>
      </c>
      <c r="J36" s="170">
        <f>'28'!J36</f>
        <v>143</v>
      </c>
      <c r="K36" s="310">
        <f>'28'!K36</f>
        <v>298814</v>
      </c>
      <c r="L36" s="135"/>
      <c r="M36" s="307" t="str">
        <f>'28'!M36</f>
        <v>WR</v>
      </c>
      <c r="N36" s="309">
        <f>'28'!N36</f>
        <v>0</v>
      </c>
      <c r="O36" s="309">
        <f>'28'!O36</f>
        <v>0</v>
      </c>
      <c r="P36" s="170">
        <f>'28'!P36</f>
        <v>0</v>
      </c>
      <c r="Q36" s="310">
        <f>'28'!Q36</f>
        <v>0</v>
      </c>
    </row>
    <row r="37" spans="1:17" x14ac:dyDescent="0.3">
      <c r="A37" s="307" t="str">
        <f>'28'!A37</f>
        <v>WR</v>
      </c>
      <c r="B37" s="307">
        <f>'28'!B37</f>
        <v>5.5</v>
      </c>
      <c r="C37" s="307" t="str">
        <f>'28'!C37</f>
        <v>Y.11</v>
      </c>
      <c r="D37" s="308">
        <f>'28'!D37</f>
        <v>1052</v>
      </c>
      <c r="E37" s="308">
        <f>'28'!E37</f>
        <v>2198500</v>
      </c>
      <c r="F37" s="135"/>
      <c r="G37" s="307" t="str">
        <f>'28'!G37</f>
        <v>WR</v>
      </c>
      <c r="H37" s="309">
        <f>'28'!H37</f>
        <v>9</v>
      </c>
      <c r="I37" s="309">
        <f>'28'!I37</f>
        <v>8</v>
      </c>
      <c r="J37" s="170">
        <f>'28'!J37</f>
        <v>191</v>
      </c>
      <c r="K37" s="310">
        <f>'28'!K37</f>
        <v>398927</v>
      </c>
      <c r="L37" s="135"/>
      <c r="M37" s="307" t="str">
        <f>'28'!M37</f>
        <v>WR</v>
      </c>
      <c r="N37" s="309">
        <f>'28'!N37</f>
        <v>0</v>
      </c>
      <c r="O37" s="309">
        <f>'28'!O37</f>
        <v>0</v>
      </c>
      <c r="P37" s="170">
        <f>'28'!P37</f>
        <v>0</v>
      </c>
      <c r="Q37" s="310">
        <f>'28'!Q37</f>
        <v>0</v>
      </c>
    </row>
    <row r="38" spans="1:17" x14ac:dyDescent="0.3">
      <c r="A38" s="307" t="str">
        <f>'28'!A38</f>
        <v>WR</v>
      </c>
      <c r="B38" s="307">
        <f>'28'!B38</f>
        <v>5.5</v>
      </c>
      <c r="C38" s="307" t="str">
        <f>'28'!C38</f>
        <v>67.A</v>
      </c>
      <c r="D38" s="308">
        <f>'28'!D38</f>
        <v>312</v>
      </c>
      <c r="E38" s="308">
        <f>'28'!E38</f>
        <v>660228</v>
      </c>
      <c r="F38" s="135"/>
      <c r="G38" s="307" t="str">
        <f>'28'!G38</f>
        <v>WR</v>
      </c>
      <c r="H38" s="309">
        <f>'28'!H38</f>
        <v>9</v>
      </c>
      <c r="I38" s="309">
        <f>'28'!I38</f>
        <v>10</v>
      </c>
      <c r="J38" s="170">
        <f>'28'!J38</f>
        <v>48</v>
      </c>
      <c r="K38" s="310">
        <f>'28'!K38</f>
        <v>99117</v>
      </c>
      <c r="L38" s="135"/>
      <c r="M38" s="307" t="str">
        <f>'28'!M38</f>
        <v>WR</v>
      </c>
      <c r="N38" s="309">
        <f>'28'!N38</f>
        <v>0</v>
      </c>
      <c r="O38" s="309">
        <f>'28'!O38</f>
        <v>0</v>
      </c>
      <c r="P38" s="170">
        <f>'28'!P38</f>
        <v>0</v>
      </c>
      <c r="Q38" s="310">
        <f>'28'!Q38</f>
        <v>0</v>
      </c>
    </row>
    <row r="39" spans="1:17" x14ac:dyDescent="0.3">
      <c r="A39" s="307" t="str">
        <f>'28'!A39</f>
        <v>BIC</v>
      </c>
      <c r="B39" s="307" t="str">
        <f>'28'!B39</f>
        <v>P.8</v>
      </c>
      <c r="C39" s="307" t="str">
        <f>'28'!C39</f>
        <v>BjTPG280</v>
      </c>
      <c r="D39" s="308">
        <f>'28'!D39</f>
        <v>240</v>
      </c>
      <c r="E39" s="308">
        <f>'28'!E39</f>
        <v>499780</v>
      </c>
      <c r="F39" s="135"/>
      <c r="G39" s="307" t="str">
        <f>'28'!G39</f>
        <v>WR</v>
      </c>
      <c r="H39" s="309">
        <f>'28'!H39</f>
        <v>5.5</v>
      </c>
      <c r="I39" s="309">
        <f>'28'!I39</f>
        <v>15</v>
      </c>
      <c r="J39" s="170">
        <f>'28'!J39</f>
        <v>116</v>
      </c>
      <c r="K39" s="310">
        <f>'28'!K39</f>
        <v>239659</v>
      </c>
      <c r="L39" s="135"/>
      <c r="M39" s="307" t="str">
        <f>'28'!M39</f>
        <v>WR</v>
      </c>
      <c r="N39" s="309">
        <f>'28'!N39</f>
        <v>0</v>
      </c>
      <c r="O39" s="309">
        <f>'28'!O39</f>
        <v>0</v>
      </c>
      <c r="P39" s="170">
        <f>'28'!P39</f>
        <v>0</v>
      </c>
      <c r="Q39" s="310">
        <f>'28'!Q39</f>
        <v>0</v>
      </c>
    </row>
    <row r="40" spans="1:17" x14ac:dyDescent="0.3">
      <c r="A40" s="307" t="str">
        <f>'28'!A40</f>
        <v>BIC</v>
      </c>
      <c r="B40" s="307" t="str">
        <f>'28'!B40</f>
        <v>S.8</v>
      </c>
      <c r="C40" s="307" t="str">
        <f>'28'!C40</f>
        <v>BjTSG420</v>
      </c>
      <c r="D40" s="308">
        <f>'28'!D40</f>
        <v>476</v>
      </c>
      <c r="E40" s="308">
        <f>'28'!E40</f>
        <v>981350</v>
      </c>
      <c r="F40" s="135"/>
      <c r="G40" s="307" t="str">
        <f>'28'!G40</f>
        <v>WR</v>
      </c>
      <c r="H40" s="309">
        <f>'28'!H40</f>
        <v>5.5</v>
      </c>
      <c r="I40" s="309" t="str">
        <f>'28'!I40</f>
        <v>72.A</v>
      </c>
      <c r="J40" s="170">
        <f>'28'!J40</f>
        <v>48</v>
      </c>
      <c r="K40" s="310">
        <f>'28'!K40</f>
        <v>101358</v>
      </c>
      <c r="L40" s="135"/>
      <c r="M40" s="307" t="str">
        <f>'28'!M40</f>
        <v>WR</v>
      </c>
      <c r="N40" s="309">
        <f>'28'!N40</f>
        <v>0</v>
      </c>
      <c r="O40" s="309">
        <f>'28'!O40</f>
        <v>0</v>
      </c>
      <c r="P40" s="170">
        <f>'28'!P40</f>
        <v>0</v>
      </c>
      <c r="Q40" s="310">
        <f>'28'!Q40</f>
        <v>0</v>
      </c>
    </row>
    <row r="41" spans="1:17" x14ac:dyDescent="0.3">
      <c r="A41" s="307" t="str">
        <f>'28'!A41</f>
        <v>BIC</v>
      </c>
      <c r="B41" s="307" t="str">
        <f>'28'!B41</f>
        <v>S.10</v>
      </c>
      <c r="C41" s="307" t="str">
        <f>'28'!C41</f>
        <v>BjTSG420</v>
      </c>
      <c r="D41" s="308">
        <f>'28'!D41</f>
        <v>292</v>
      </c>
      <c r="E41" s="308">
        <f>'28'!E41</f>
        <v>602112</v>
      </c>
      <c r="F41" s="135"/>
      <c r="G41" s="307" t="str">
        <f>'28'!G41</f>
        <v>WR</v>
      </c>
      <c r="H41" s="309">
        <f>'28'!H41</f>
        <v>12</v>
      </c>
      <c r="I41" s="309">
        <f>'28'!I41</f>
        <v>15</v>
      </c>
      <c r="J41" s="170">
        <f>'28'!J41</f>
        <v>54</v>
      </c>
      <c r="K41" s="310">
        <f>'28'!K41</f>
        <v>111148</v>
      </c>
      <c r="L41" s="135"/>
      <c r="M41" s="307" t="str">
        <f>'28'!M41</f>
        <v>WR</v>
      </c>
      <c r="N41" s="309">
        <f>'28'!N41</f>
        <v>0</v>
      </c>
      <c r="O41" s="309">
        <f>'28'!O41</f>
        <v>0</v>
      </c>
      <c r="P41" s="170">
        <f>'28'!P41</f>
        <v>0</v>
      </c>
      <c r="Q41" s="310">
        <f>'28'!Q41</f>
        <v>0</v>
      </c>
    </row>
    <row r="42" spans="1:17" x14ac:dyDescent="0.3">
      <c r="A42" s="307" t="str">
        <f>'28'!A42</f>
        <v>WR</v>
      </c>
      <c r="B42" s="307">
        <f>'28'!B42</f>
        <v>5.5</v>
      </c>
      <c r="C42" s="307">
        <f>'28'!C42</f>
        <v>8</v>
      </c>
      <c r="D42" s="308">
        <f>'28'!D42</f>
        <v>480</v>
      </c>
      <c r="E42" s="308">
        <f>'28'!E42</f>
        <v>1006478</v>
      </c>
      <c r="F42" s="135"/>
      <c r="G42" s="307" t="str">
        <f>'28'!G42</f>
        <v>WR</v>
      </c>
      <c r="H42" s="309">
        <f>'28'!H42</f>
        <v>8.5</v>
      </c>
      <c r="I42" s="309">
        <f>'28'!I42</f>
        <v>8</v>
      </c>
      <c r="J42" s="170">
        <f>'28'!J42</f>
        <v>168</v>
      </c>
      <c r="K42" s="310">
        <f>'28'!K42</f>
        <v>351899</v>
      </c>
      <c r="L42" s="135"/>
      <c r="M42" s="307" t="str">
        <f>'28'!M42</f>
        <v>WR</v>
      </c>
      <c r="N42" s="309">
        <f>'28'!N42</f>
        <v>0</v>
      </c>
      <c r="O42" s="309">
        <f>'28'!O42</f>
        <v>0</v>
      </c>
      <c r="P42" s="170">
        <f>'28'!P42</f>
        <v>0</v>
      </c>
      <c r="Q42" s="310">
        <f>'28'!Q42</f>
        <v>0</v>
      </c>
    </row>
    <row r="43" spans="1:17" x14ac:dyDescent="0.3">
      <c r="A43" s="307" t="str">
        <f>'28'!A43</f>
        <v>WR</v>
      </c>
      <c r="B43" s="307">
        <f>'28'!B43</f>
        <v>5.5</v>
      </c>
      <c r="C43" s="307" t="str">
        <f>'28'!C43</f>
        <v>67.B</v>
      </c>
      <c r="D43" s="308">
        <f>'28'!D43</f>
        <v>288</v>
      </c>
      <c r="E43" s="308">
        <f>'28'!E43</f>
        <v>609307</v>
      </c>
      <c r="F43" s="135"/>
      <c r="G43" s="307" t="str">
        <f>'28'!G43</f>
        <v>WR</v>
      </c>
      <c r="H43" s="309">
        <f>'28'!H43</f>
        <v>7</v>
      </c>
      <c r="I43" s="309">
        <f>'28'!I43</f>
        <v>6</v>
      </c>
      <c r="J43" s="170">
        <f>'28'!J43</f>
        <v>48</v>
      </c>
      <c r="K43" s="310">
        <f>'28'!K43</f>
        <v>100641</v>
      </c>
      <c r="L43" s="135"/>
      <c r="M43" s="307" t="str">
        <f>'28'!M43</f>
        <v>WR</v>
      </c>
      <c r="N43" s="309">
        <f>'28'!N43</f>
        <v>0</v>
      </c>
      <c r="O43" s="309">
        <f>'28'!O43</f>
        <v>0</v>
      </c>
      <c r="P43" s="170">
        <f>'28'!P43</f>
        <v>0</v>
      </c>
      <c r="Q43" s="310">
        <f>'28'!Q43</f>
        <v>0</v>
      </c>
    </row>
    <row r="44" spans="1:17" x14ac:dyDescent="0.3">
      <c r="A44" s="307" t="str">
        <f>'28'!A44</f>
        <v>BIC</v>
      </c>
      <c r="B44" s="307" t="str">
        <f>'28'!B44</f>
        <v>P.10</v>
      </c>
      <c r="C44" s="307" t="str">
        <f>'28'!C44</f>
        <v>BjTPG280</v>
      </c>
      <c r="D44" s="308">
        <f>'28'!D44</f>
        <v>287</v>
      </c>
      <c r="E44" s="308">
        <f>'28'!E44</f>
        <v>595480</v>
      </c>
      <c r="F44" s="135"/>
      <c r="G44" s="307" t="str">
        <f>'28'!G44</f>
        <v>WR</v>
      </c>
      <c r="H44" s="309">
        <f>'28'!H44</f>
        <v>7</v>
      </c>
      <c r="I44" s="309">
        <f>'28'!I44</f>
        <v>8</v>
      </c>
      <c r="J44" s="170">
        <f>'28'!J44</f>
        <v>143</v>
      </c>
      <c r="K44" s="310">
        <f>'28'!K44</f>
        <v>299375</v>
      </c>
      <c r="L44" s="135"/>
      <c r="M44" s="307" t="str">
        <f>'28'!M44</f>
        <v>WR</v>
      </c>
      <c r="N44" s="309">
        <f>'28'!N44</f>
        <v>0</v>
      </c>
      <c r="O44" s="309">
        <f>'28'!O44</f>
        <v>0</v>
      </c>
      <c r="P44" s="170">
        <f>'28'!P44</f>
        <v>0</v>
      </c>
      <c r="Q44" s="310">
        <f>'28'!Q44</f>
        <v>0</v>
      </c>
    </row>
    <row r="45" spans="1:17" x14ac:dyDescent="0.3">
      <c r="A45" s="307" t="str">
        <f>'28'!A45</f>
        <v>BIC</v>
      </c>
      <c r="B45" s="307" t="str">
        <f>'28'!B45</f>
        <v>S.6</v>
      </c>
      <c r="C45" s="307" t="str">
        <f>'28'!C45</f>
        <v>BjTSG420</v>
      </c>
      <c r="D45" s="308">
        <f>'28'!D45</f>
        <v>48</v>
      </c>
      <c r="E45" s="308">
        <f>'28'!E45</f>
        <v>98404</v>
      </c>
      <c r="F45" s="135"/>
      <c r="G45" s="307" t="str">
        <f>'28'!G45</f>
        <v>WR</v>
      </c>
      <c r="H45" s="309">
        <f>'28'!H45</f>
        <v>7</v>
      </c>
      <c r="I45" s="309">
        <f>'28'!I45</f>
        <v>10</v>
      </c>
      <c r="J45" s="170">
        <f>'28'!J45</f>
        <v>48</v>
      </c>
      <c r="K45" s="310">
        <f>'28'!K45</f>
        <v>98999</v>
      </c>
      <c r="L45" s="135"/>
      <c r="M45" s="307" t="str">
        <f>'28'!M45</f>
        <v>WR</v>
      </c>
      <c r="N45" s="309">
        <f>'28'!N45</f>
        <v>0</v>
      </c>
      <c r="O45" s="309">
        <f>'28'!O45</f>
        <v>0</v>
      </c>
      <c r="P45" s="170">
        <f>'28'!P45</f>
        <v>0</v>
      </c>
      <c r="Q45" s="310">
        <f>'28'!Q45</f>
        <v>0</v>
      </c>
    </row>
    <row r="46" spans="1:17" x14ac:dyDescent="0.3">
      <c r="A46" s="307" t="str">
        <f>'28'!A46</f>
        <v>WR</v>
      </c>
      <c r="B46" s="307">
        <f>'28'!B46</f>
        <v>17</v>
      </c>
      <c r="C46" s="307">
        <f>'28'!C46</f>
        <v>8</v>
      </c>
      <c r="D46" s="308">
        <f>'28'!D46</f>
        <v>91</v>
      </c>
      <c r="E46" s="308">
        <f>'28'!E46</f>
        <v>188048</v>
      </c>
      <c r="F46" s="135"/>
      <c r="G46" s="307" t="str">
        <f>'28'!G46</f>
        <v>WR</v>
      </c>
      <c r="H46" s="309">
        <f>'28'!H46</f>
        <v>5.5</v>
      </c>
      <c r="I46" s="309" t="str">
        <f>'28'!I46</f>
        <v>72.A</v>
      </c>
      <c r="J46" s="170">
        <f>'28'!J46</f>
        <v>96</v>
      </c>
      <c r="K46" s="310">
        <f>'28'!K46</f>
        <v>203214</v>
      </c>
      <c r="L46" s="135"/>
      <c r="M46" s="307" t="str">
        <f>'28'!M46</f>
        <v>WR</v>
      </c>
      <c r="N46" s="309">
        <f>'28'!N46</f>
        <v>0</v>
      </c>
      <c r="O46" s="309">
        <f>'28'!O46</f>
        <v>0</v>
      </c>
      <c r="P46" s="170">
        <f>'28'!P46</f>
        <v>0</v>
      </c>
      <c r="Q46" s="310">
        <f>'28'!Q46</f>
        <v>0</v>
      </c>
    </row>
    <row r="47" spans="1:17" x14ac:dyDescent="0.3">
      <c r="A47" s="307" t="str">
        <f>'28'!A47</f>
        <v>WR</v>
      </c>
      <c r="B47" s="307">
        <f>'28'!B47</f>
        <v>8.5</v>
      </c>
      <c r="C47" s="307">
        <f>'28'!C47</f>
        <v>15</v>
      </c>
      <c r="D47" s="308">
        <f>'28'!D47</f>
        <v>576</v>
      </c>
      <c r="E47" s="308">
        <f>'28'!E47</f>
        <v>1194727</v>
      </c>
      <c r="F47" s="135"/>
      <c r="G47" s="307" t="str">
        <f>'28'!G47</f>
        <v>WR</v>
      </c>
      <c r="H47" s="309">
        <f>'28'!H47</f>
        <v>5.5</v>
      </c>
      <c r="I47" s="309" t="str">
        <f>'28'!I47</f>
        <v>72.B</v>
      </c>
      <c r="J47" s="170">
        <f>'28'!J47</f>
        <v>144</v>
      </c>
      <c r="K47" s="310">
        <f>'28'!K47</f>
        <v>304424</v>
      </c>
      <c r="L47" s="135"/>
      <c r="M47" s="307" t="str">
        <f>'28'!M47</f>
        <v>WR</v>
      </c>
      <c r="N47" s="309">
        <f>'28'!N47</f>
        <v>0</v>
      </c>
      <c r="O47" s="309">
        <f>'28'!O47</f>
        <v>0</v>
      </c>
      <c r="P47" s="170">
        <f>'28'!P47</f>
        <v>0</v>
      </c>
      <c r="Q47" s="310">
        <f>'28'!Q47</f>
        <v>0</v>
      </c>
    </row>
    <row r="48" spans="1:17" x14ac:dyDescent="0.3">
      <c r="A48" s="307" t="str">
        <f>'28'!A48</f>
        <v>WR</v>
      </c>
      <c r="B48" s="307">
        <f>'28'!B48</f>
        <v>6.5</v>
      </c>
      <c r="C48" s="307">
        <f>'28'!C48</f>
        <v>8</v>
      </c>
      <c r="D48" s="308">
        <f>'28'!D48</f>
        <v>264</v>
      </c>
      <c r="E48" s="308">
        <f>'28'!E48</f>
        <v>552714</v>
      </c>
      <c r="F48" s="135"/>
      <c r="G48" s="307" t="str">
        <f>'28'!G48</f>
        <v>WR</v>
      </c>
      <c r="H48" s="309">
        <f>'28'!H48</f>
        <v>10</v>
      </c>
      <c r="I48" s="309">
        <f>'28'!I48</f>
        <v>8</v>
      </c>
      <c r="J48" s="170">
        <f>'28'!J48</f>
        <v>167</v>
      </c>
      <c r="K48" s="310">
        <f>'28'!K48</f>
        <v>349862</v>
      </c>
      <c r="L48" s="135"/>
      <c r="M48" s="307" t="str">
        <f>'28'!M48</f>
        <v>WR</v>
      </c>
      <c r="N48" s="309">
        <f>'28'!N48</f>
        <v>0</v>
      </c>
      <c r="O48" s="309">
        <f>'28'!O48</f>
        <v>0</v>
      </c>
      <c r="P48" s="170">
        <f>'28'!P48</f>
        <v>0</v>
      </c>
      <c r="Q48" s="310">
        <f>'28'!Q48</f>
        <v>0</v>
      </c>
    </row>
    <row r="49" spans="1:23" x14ac:dyDescent="0.3">
      <c r="A49" s="307" t="str">
        <f>'28'!A49</f>
        <v>WR</v>
      </c>
      <c r="B49" s="307">
        <f>'28'!B49</f>
        <v>6.5</v>
      </c>
      <c r="C49" s="307">
        <f>'28'!C49</f>
        <v>15</v>
      </c>
      <c r="D49" s="308">
        <f>'28'!D49</f>
        <v>281</v>
      </c>
      <c r="E49" s="308">
        <f>'28'!E49</f>
        <v>582161</v>
      </c>
      <c r="F49" s="3"/>
      <c r="G49" s="307" t="str">
        <f>'28'!G49</f>
        <v>WR</v>
      </c>
      <c r="H49" s="309">
        <f>'28'!H49</f>
        <v>8</v>
      </c>
      <c r="I49" s="309">
        <f>'28'!I49</f>
        <v>8</v>
      </c>
      <c r="J49" s="170">
        <f>'28'!J49</f>
        <v>119</v>
      </c>
      <c r="K49" s="310">
        <f>'28'!K49</f>
        <v>248951</v>
      </c>
      <c r="L49" s="3"/>
      <c r="M49" s="307" t="str">
        <f>'28'!M49</f>
        <v>WR</v>
      </c>
      <c r="N49" s="309">
        <f>'28'!N49</f>
        <v>0</v>
      </c>
      <c r="O49" s="309">
        <f>'28'!O49</f>
        <v>0</v>
      </c>
      <c r="P49" s="170">
        <f>'28'!P49</f>
        <v>0</v>
      </c>
      <c r="Q49" s="310">
        <f>'28'!Q49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46051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/>
      <c r="E55" s="506"/>
      <c r="F55" s="506"/>
      <c r="G55" s="506"/>
      <c r="H55" s="506"/>
      <c r="I55" s="506"/>
      <c r="J55" s="93"/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21431091</v>
      </c>
      <c r="R55" s="395"/>
      <c r="S55" s="388">
        <f>DAY(A52)</f>
        <v>29</v>
      </c>
      <c r="T55" s="383">
        <f>S55-U55</f>
        <v>24</v>
      </c>
      <c r="U55" s="383">
        <f>'28'!U55</f>
        <v>5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21103233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>
        <f>L27</f>
        <v>0.98470175876720412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50617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>
        <f>F26</f>
        <v>2.3618489604658949E-3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'1'!Q60+'2'!P60+'3'!P60+'4'!P60+'5'!P60+'6'!P60+'7'!P60+'8'!P60+'9'!P60+'10'!P60+'11'!P60+'12'!P60+'13'!P60+'14'!P60+'15'!P60+'16'!P60+'17'!P60+'18'!P60+'19'!P60+'20'!P62+'21'!P60+'22'!P61+'23'!P60+'24'!P60+'25'!P60+'26'!P60+'27'!P60+'28'!P60+'29'!P60</f>
        <v>41760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'1'!Q61+'2'!P61+'3'!P61+'4'!P61+'5'!P61+'6'!P61+'7'!P61+'8'!P61+'9'!P61+'10'!P61+'11'!P61+'12'!P61+'13'!P61+'14'!P61+'15'!P61+'16'!P61+'17'!P61+'18'!P61+'19'!P61+'20'!P63+'21'!P61+'22'!P62+'23'!P61+'24'!P61+'25'!P61+'26'!P61+'27'!P61+'28'!P61+'29'!P61</f>
        <v>7200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'1'!Q62+'2'!P62+'3'!P62+'4'!P62+'5'!P62+'6'!P62+'7'!P62+'8'!P62+'9'!P62+'10'!P62+'11'!P62+'12'!P62+'13'!P62+'14'!P62+'15'!P62+'16'!P62+'17'!P62+'18'!P62+'19'!P62+'20'!P64+'21'!P62+'22'!P63+'23'!P62+'24'!P62+'25'!P62+'26'!P62+'27'!P62+'28'!P62+'29'!P62</f>
        <v>7200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'1'!Q63+'2'!P63+'3'!P63+'4'!P63+'5'!P63+'6'!P63+'7'!P63+'8'!P63+'9'!P63+'10'!P63+'11'!P63+'12'!P63+'13'!P63+'14'!P63+'15'!P63+'16'!P63+'17'!P63+'18'!P63+'19'!P63+'20'!P65+'21'!P63+'22'!P64+'23'!P63+'24'!P63+'25'!P63+'26'!P63+'27'!P63+'28'!P63+'29'!P63</f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'1'!Q64+'2'!P64+'3'!P64+'4'!P64+'5'!P64+'6'!P64+'7'!P64+'8'!P64+'9'!P64+'10'!P64+'11'!P64+'12'!P64+'13'!P64+'14'!P64+'15'!P64+'16'!P64+'17'!P64+'18'!P64+'19'!P64+'20'!P66+'21'!P64+'22'!P65+'23'!P64+'24'!P64+'25'!P64+'26'!P64+'27'!P64+'28'!P64+'29'!P64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00">
        <f>'1'!Q65+'2'!P65+'3'!P65+'4'!P65+'5'!P65+'6'!P65+'7'!P65+'8'!P65+'9'!P65+'10'!P65+'11'!P65+'12'!P65+'13'!P65+'14'!P65+'15'!P65+'16'!P65+'17'!P65+'18'!P65+'19'!P65+'20'!P67+'21'!P65+'22'!P66+'23'!P65+'24'!P65+'25'!P65+'26'!P65+'27'!P65+'28'!P65+'29'!P65</f>
        <v>3255</v>
      </c>
      <c r="R65" s="395"/>
      <c r="S65" s="171" t="s">
        <v>56</v>
      </c>
      <c r="T65" s="172"/>
      <c r="U65" s="173" t="s">
        <v>151</v>
      </c>
      <c r="V65" s="174"/>
      <c r="W65" s="181">
        <f>+'28'!W65+'29'!V65</f>
        <v>14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'1'!Q66+'2'!P66+'3'!P66+'4'!P66+'5'!P66+'6'!P66+'7'!P66+'8'!P66+'9'!P66+'10'!P66+'11'!P66+'12'!P66+'13'!P66+'14'!P66+'15'!P66+'16'!P66+'17'!P66+'18'!P66+'19'!P66+'20'!P68+'21'!P66+'22'!P67+'23'!P66+'24'!P66+'25'!P66+'26'!P66+'27'!P66+'28'!P66+'29'!P66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+'28'!W66+'29'!V66</f>
        <v>7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>'1'!Q67+'2'!P67+'3'!P67+'4'!P67+'5'!P67+'6'!P67+'7'!P67+'8'!P67+'9'!P67+'10'!P67+'11'!P67+'12'!P67+'13'!P67+'14'!P67+'15'!P67+'16'!P67+'17'!P67+'18'!P67+'19'!P67+'20'!P69+'21'!P67+'22'!P68+'23'!P67+'24'!P67+'25'!P67+'26'!P67+'27'!P67+'28'!P67+'29'!P67</f>
        <v>2804</v>
      </c>
      <c r="R67" s="399"/>
      <c r="S67" s="377" t="s">
        <v>60</v>
      </c>
      <c r="T67" s="175"/>
      <c r="U67" s="176" t="s">
        <v>151</v>
      </c>
      <c r="V67" s="177"/>
      <c r="W67" s="182">
        <f>+'28'!W67+'29'!V67</f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>'1'!Q68+'2'!P68+'3'!P68+'4'!P68+'5'!P68+'6'!P68+'7'!P68+'8'!P68+'9'!P68+'10'!P68+'11'!P68+'12'!P68+'13'!P68+'14'!P68+'15'!P68+'16'!P68+'17'!P68+'18'!P68+'19'!P68+'20'!P70+'21'!P68+'22'!P69+'23'!P68+'24'!P68+'25'!P68+'26'!P68+'27'!P68+'28'!P68+'29'!P68</f>
        <v>451</v>
      </c>
      <c r="R68" s="409"/>
      <c r="S68" s="377" t="s">
        <v>62</v>
      </c>
      <c r="T68" s="175"/>
      <c r="U68" s="176" t="s">
        <v>151</v>
      </c>
      <c r="V68" s="177"/>
      <c r="W68" s="182">
        <f>+'28'!W68+'29'!V68</f>
        <v>3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0</v>
      </c>
      <c r="Q69" s="100">
        <f>'1'!Q69+'2'!P69+'3'!P69+'4'!P69+'5'!P69+'6'!P69+'7'!P69+'8'!P69+'9'!P69+'10'!P69+'11'!P69+'12'!P69+'13'!P69+'14'!P69+'15'!P69+'16'!P69+'17'!P69+'18'!P69+'19'!P69+'20'!P71+'21'!P69+'22'!P70+'23'!P69+'24'!P69+'25'!P69+'26'!P69+'27'!P69+'28'!P69+'29'!P69</f>
        <v>1375</v>
      </c>
      <c r="R69" s="395"/>
      <c r="S69" s="376" t="s">
        <v>64</v>
      </c>
      <c r="T69" s="178"/>
      <c r="U69" s="179" t="s">
        <v>151</v>
      </c>
      <c r="V69" s="180"/>
      <c r="W69" s="183">
        <f>+'28'!W69+'29'!V69</f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>'1'!Q70+'2'!P70+'3'!P70+'4'!P70+'5'!P70+'6'!P70+'7'!P70+'8'!P70+'9'!P70+'10'!P70+'11'!P70+'12'!P70+'13'!P70+'14'!P70+'15'!P70+'16'!P70+'17'!P70+'18'!P70+'19'!P70+'20'!P72+'21'!P70+'22'!P71+'23'!P70+'24'!P70+'25'!P70+'26'!P70+'27'!P70+'28'!P70+'29'!P70</f>
        <v>861</v>
      </c>
      <c r="R70" s="399">
        <f>T55*30</f>
        <v>720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>'1'!Q71+'2'!P71+'3'!P71+'4'!P71+'5'!P71+'6'!P71+'7'!P71+'8'!P71+'9'!P71+'10'!P71+'11'!P71+'12'!P71+'13'!P71+'14'!P71+'15'!P71+'16'!P71+'17'!P71+'18'!P71+'19'!P71+'20'!P73+'21'!P71+'22'!P72+'23'!P71+'24'!P71+'25'!P71+'26'!P71+'27'!P71+'28'!P71+'29'!P71</f>
        <v>406</v>
      </c>
      <c r="R71" s="399">
        <f>T55*25</f>
        <v>600</v>
      </c>
      <c r="S71" s="574" t="s">
        <v>187</v>
      </c>
      <c r="T71" s="574"/>
      <c r="U71" s="170" t="s">
        <v>32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'1'!Q72+'2'!P72+'3'!P72+'4'!P72+'5'!P72+'6'!P72+'7'!P72+'8'!P72+'9'!P72+'10'!P72+'11'!P72+'12'!P72+'13'!P72+'14'!P72+'15'!P72+'16'!P72+'17'!P72+'18'!P72+'19'!P72+'20'!P74+'21'!P72+'22'!P73+'23'!P72+'24'!P72+'25'!P72+'26'!P72+'27'!P72+'28'!P72+'29'!P72</f>
        <v>37</v>
      </c>
      <c r="R72" s="399">
        <f>T55*10</f>
        <v>240</v>
      </c>
      <c r="S72" s="575" t="s">
        <v>188</v>
      </c>
      <c r="T72" s="575"/>
      <c r="U72" s="299">
        <v>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'1'!Q73+'2'!P73+'3'!P73+'4'!P73+'5'!P73+'6'!P73+'7'!P73+'8'!P73+'9'!P73+'10'!P73+'11'!P73+'12'!P73+'13'!P73+'14'!P73+'15'!P73+'16'!P73+'17'!P73+'18'!P73+'19'!P73+'20'!P75+'21'!P73+'22'!P74+'23'!P73+'24'!P73+'25'!P73+'26'!P73+'27'!P73+'28'!P73+'29'!P73</f>
        <v>71</v>
      </c>
      <c r="R73" s="399"/>
      <c r="S73" s="576" t="s">
        <v>189</v>
      </c>
      <c r="T73" s="576"/>
      <c r="U73" s="300">
        <v>0</v>
      </c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'1'!Q74+'2'!P74+'3'!P74+'4'!P74+'5'!P74+'6'!P74+'7'!P74+'8'!P74+'9'!P74+'10'!P74+'11'!P74+'12'!P74+'13'!P74+'14'!P74+'15'!P74+'16'!P74+'17'!P74+'18'!P74+'19'!P74+'20'!P76+'21'!P74+'22'!P75+'23'!P74+'24'!P74+'25'!P74+'26'!P74+'27'!P74+'28'!P74+'29'!P74</f>
        <v>0</v>
      </c>
      <c r="R74" s="409"/>
      <c r="S74" s="577" t="s">
        <v>190</v>
      </c>
      <c r="T74" s="577"/>
      <c r="U74" s="301">
        <v>0</v>
      </c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'1'!Q75+'2'!P75+'3'!P75+'4'!P75+'5'!P75+'6'!P75+'7'!P75+'8'!P75+'9'!P75+'10'!P75+'11'!P75+'12'!P75+'13'!P75+'14'!P75+'15'!P75+'16'!P75+'17'!P75+'18'!P75+'19'!P75+'20'!P77+'21'!P75+'22'!P76+'23'!P75+'24'!P75+'25'!P75+'26'!P75+'27'!P75+'28'!P75+'29'!P75</f>
        <v>34560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>'1'!Q76+'2'!P76+'3'!P76+'4'!P76+'5'!P76+'6'!P76+'7'!P76+'8'!P76+'9'!P76+'10'!P76+'11'!P76+'12'!P76+'13'!P76+'14'!P76+'15'!P76+'16'!P76+'17'!P76+'18'!P76+'19'!P76+'20'!P78+'21'!P76+'22'!P77+'23'!P76+'24'!P76+'25'!P76+'26'!P76+'27'!P76+'28'!P76+'29'!P76</f>
        <v>4630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94">
        <f>'1'!Q77+'2'!P77+'3'!P77+'4'!P77+'5'!P77+'6'!P77+'7'!P77+'8'!P77+'9'!P77+'10'!P77+'11'!P77+'12'!P77+'13'!P77+'14'!P77+'15'!P77+'16'!P77+'17'!P77+'18'!P77+'19'!P77+'20'!P79+'21'!P77+'22'!P78+'23'!P77+'24'!P77+'25'!P77+'26'!P77+'27'!P77+'28'!P77+'29'!P77</f>
        <v>4679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'1'!Q78+'2'!P78+'3'!P78+'4'!P78+'5'!P78+'6'!P78+'7'!P78+'8'!P78+'9'!P78+'10'!P78+'11'!P78+'12'!P78+'13'!P78+'14'!P78+'15'!P78+'16'!P78+'17'!P78+'18'!P78+'19'!P78+'20'!P80+'21'!P78+'22'!P79+'23'!P78+'24'!P78+'25'!P78+'26'!P78+'27'!P78+'28'!P78+'29'!P78</f>
        <v>49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1440</v>
      </c>
      <c r="Q79" s="94">
        <f>'1'!Q79+'2'!P79+'3'!P79+'4'!P79+'5'!P79+'6'!P79+'7'!P79+'8'!P79+'9'!P79+'10'!P79+'11'!P79+'12'!P79+'13'!P79+'14'!P79+'15'!P79+'16'!P79+'17'!P79+'18'!P79+'19'!P79+'20'!P81+'21'!P79+'22'!P80+'23'!P79+'24'!P79+'25'!P79+'26'!P79+'27'!P79+'28'!P79+'29'!P79</f>
        <v>29881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1</v>
      </c>
      <c r="Q80" s="103">
        <f>Q79/Q75</f>
        <v>0.86461226851851847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1</v>
      </c>
      <c r="Q81" s="165">
        <f>Q79/Q60</f>
        <v>0.71554118773946362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0</v>
      </c>
      <c r="Q82" s="150">
        <f>(C26/1000)/(Q79/60)</f>
        <v>43.032879087045281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0</v>
      </c>
      <c r="Q83" s="113">
        <f>(C26/1000)/(Q75/60)</f>
        <v>37.206755208333334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0</v>
      </c>
      <c r="Q84" s="100">
        <f>'1'!Q84+'2'!P84+'3'!P84+'4'!P84+'5'!P84+'6'!P84+'7'!P84+'8'!P84+'9'!P84+'10'!P84+'11'!P84+'12'!P84+'13'!P84+'14'!P84+'15'!P84+'16'!P84+'17'!P84+'18'!P84+'19'!P84+'20'!P86+'21'!P84+'22'!P85+'23'!P84+'24'!P84+'25'!P84+'26'!P84+'27'!P84+'28'!P84+'29'!P84</f>
        <v>690137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 t="e">
        <f>P84/(K17/1000)</f>
        <v>#DIV/0!</v>
      </c>
      <c r="Q85" s="124">
        <f>Q84/(K27/1000)</f>
        <v>32.702903863118983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0</v>
      </c>
      <c r="Q86" s="100">
        <f>'1'!Q86+'2'!P86+'3'!P86+'4'!P86+'5'!P86+'6'!P86+'7'!P86+'8'!P86+'9'!P86+'10'!P86+'11'!P86+'12'!P86+'13'!P86+'14'!P86+'15'!P86+'16'!P86+'17'!P86+'18'!P86+'19'!P86+'20'!P88+'21'!P86+'22'!P87+'23'!P86+'24'!P86+'25'!P86+'26'!P86+'27'!P86+'28'!P86+'29'!P86</f>
        <v>3974.93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>
        <f>(Q86*1000)/(K26/1000)</f>
        <v>189.03239910687631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0</v>
      </c>
      <c r="Q88" s="100">
        <f>'1'!Q88+'2'!P88+'3'!P88+'4'!P88+'5'!P88+'6'!P88+'7'!P88+'8'!P88+'9'!P88+'10'!P88+'11'!P88+'12'!P88+'13'!P88+'14'!P88+'15'!P88+'16'!P88+'17'!P88+'18'!P88+'19'!P88+'20'!P90+'21'!P88+'22'!P89+'23'!P88+'24'!P88+'25'!P88+'26'!P88+'27'!P88+'28'!P88+'29'!P88</f>
        <v>2270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124">
        <f>Q88/(K26/1000)</f>
        <v>0.10795247865311068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8">
    <mergeCell ref="A2:Q2"/>
    <mergeCell ref="A3:Q3"/>
    <mergeCell ref="A4:F4"/>
    <mergeCell ref="G4:N4"/>
    <mergeCell ref="A5:C5"/>
    <mergeCell ref="D5:F5"/>
    <mergeCell ref="G5:L5"/>
    <mergeCell ref="M5:N5"/>
    <mergeCell ref="J53:J54"/>
    <mergeCell ref="L53:N54"/>
    <mergeCell ref="O53:O54"/>
    <mergeCell ref="P53:P54"/>
    <mergeCell ref="Q53:Q54"/>
    <mergeCell ref="L55:N55"/>
    <mergeCell ref="L56:N56"/>
    <mergeCell ref="D55:I55"/>
    <mergeCell ref="D56:I56"/>
    <mergeCell ref="A17:J17"/>
    <mergeCell ref="A19:F19"/>
    <mergeCell ref="G19:N19"/>
    <mergeCell ref="A20:C20"/>
    <mergeCell ref="D20:F20"/>
    <mergeCell ref="G20:L20"/>
    <mergeCell ref="M20:N20"/>
    <mergeCell ref="A21:A26"/>
    <mergeCell ref="A27:J27"/>
    <mergeCell ref="A51:Q51"/>
    <mergeCell ref="C53:C54"/>
    <mergeCell ref="D53:I54"/>
    <mergeCell ref="D59:I59"/>
    <mergeCell ref="L64:N64"/>
    <mergeCell ref="D57:I57"/>
    <mergeCell ref="L62:N62"/>
    <mergeCell ref="D60:I60"/>
    <mergeCell ref="L57:N57"/>
    <mergeCell ref="L58:N58"/>
    <mergeCell ref="L59:N59"/>
    <mergeCell ref="L60:N60"/>
    <mergeCell ref="D61:I61"/>
    <mergeCell ref="D58:I58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D68:I68"/>
    <mergeCell ref="L70:N70"/>
    <mergeCell ref="D69:I69"/>
    <mergeCell ref="L68:N68"/>
    <mergeCell ref="D70:I70"/>
    <mergeCell ref="L69:N69"/>
    <mergeCell ref="L84:N85"/>
    <mergeCell ref="L86:N87"/>
    <mergeCell ref="L88:N89"/>
    <mergeCell ref="N91:O91"/>
    <mergeCell ref="P91:Q91"/>
    <mergeCell ref="L81:N81"/>
    <mergeCell ref="D77:I77"/>
    <mergeCell ref="L82:N82"/>
    <mergeCell ref="D78:I78"/>
    <mergeCell ref="L83:N83"/>
    <mergeCell ref="D79:I79"/>
    <mergeCell ref="L80:N80"/>
    <mergeCell ref="L77:N77"/>
    <mergeCell ref="L78:N78"/>
    <mergeCell ref="L79:N79"/>
    <mergeCell ref="D76:I76"/>
    <mergeCell ref="L76:N76"/>
    <mergeCell ref="S71:T71"/>
    <mergeCell ref="S72:T72"/>
    <mergeCell ref="S73:T73"/>
    <mergeCell ref="S74:T74"/>
    <mergeCell ref="D75:I75"/>
    <mergeCell ref="L74:N74"/>
    <mergeCell ref="L75:N75"/>
    <mergeCell ref="D71:I71"/>
    <mergeCell ref="L73:N73"/>
    <mergeCell ref="D72:I72"/>
    <mergeCell ref="D73:I73"/>
    <mergeCell ref="D74:I74"/>
    <mergeCell ref="L71:N71"/>
    <mergeCell ref="L72:N72"/>
  </mergeCells>
  <pageMargins left="0.7" right="0.7" top="0.25" bottom="0.25" header="0.3" footer="0.3"/>
  <pageSetup paperSize="9" scale="78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B43" zoomScaleNormal="100" workbookViewId="0">
      <selection activeCell="R59" sqref="R59"/>
    </sheetView>
  </sheetViews>
  <sheetFormatPr defaultRowHeight="16.5" x14ac:dyDescent="0.3"/>
  <cols>
    <col min="1" max="1" width="8.570312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'29'!A3:Q3+1</f>
        <v>46052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/>
      <c r="B7" s="15"/>
      <c r="C7" s="15"/>
      <c r="D7" s="16"/>
      <c r="E7" s="17"/>
      <c r="F7" s="18"/>
      <c r="G7" s="19" t="s">
        <v>1</v>
      </c>
      <c r="H7" s="20"/>
      <c r="I7" s="21"/>
      <c r="J7" s="22"/>
      <c r="K7" s="17"/>
      <c r="L7" s="23" t="e">
        <f t="shared" ref="L7:L16" si="0">K7/C7</f>
        <v>#DIV/0!</v>
      </c>
      <c r="M7" s="17"/>
      <c r="N7" s="22"/>
      <c r="O7" s="134"/>
      <c r="P7" s="134"/>
      <c r="Q7" s="134"/>
    </row>
    <row r="8" spans="1:17" x14ac:dyDescent="0.3">
      <c r="A8" s="24"/>
      <c r="B8" s="25"/>
      <c r="C8" s="25"/>
      <c r="D8" s="26"/>
      <c r="E8" s="27"/>
      <c r="F8" s="28"/>
      <c r="G8" s="29" t="s">
        <v>1</v>
      </c>
      <c r="H8" s="30"/>
      <c r="I8" s="31"/>
      <c r="J8" s="32"/>
      <c r="K8" s="33"/>
      <c r="L8" s="34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si="0"/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'29'!B22+'30'!B16</f>
        <v>8552</v>
      </c>
      <c r="C22" s="57">
        <f>'29'!C22+'30'!C16</f>
        <v>18074564</v>
      </c>
      <c r="D22" s="57">
        <f>'29'!D22+'30'!D16</f>
        <v>15</v>
      </c>
      <c r="E22" s="57">
        <f>'29'!E22+'30'!E16</f>
        <v>31699</v>
      </c>
      <c r="F22" s="423">
        <f>E22/C22</f>
        <v>1.7537905755292355E-3</v>
      </c>
      <c r="G22" s="58" t="s">
        <v>1</v>
      </c>
      <c r="H22" s="59"/>
      <c r="I22" s="59"/>
      <c r="J22" s="57">
        <f>'29'!J22+'30'!J16</f>
        <v>8509</v>
      </c>
      <c r="K22" s="57">
        <f>'29'!K22+'30'!K16</f>
        <v>17753607</v>
      </c>
      <c r="L22" s="60">
        <f>K22/C22</f>
        <v>0.98224261453830919</v>
      </c>
      <c r="M22" s="57">
        <f>'29'!M22+'30'!M16</f>
        <v>28</v>
      </c>
      <c r="N22" s="57">
        <f>'29'!N22+'30'!N16</f>
        <v>57472</v>
      </c>
      <c r="O22" s="135"/>
      <c r="P22" s="135"/>
      <c r="Q22" s="135"/>
    </row>
    <row r="23" spans="1:17" x14ac:dyDescent="0.3">
      <c r="A23" s="521"/>
      <c r="B23" s="61">
        <f>'29'!B23</f>
        <v>1600</v>
      </c>
      <c r="C23" s="61">
        <f>'29'!C23</f>
        <v>3356527</v>
      </c>
      <c r="D23" s="61">
        <f>'29'!D23</f>
        <v>9</v>
      </c>
      <c r="E23" s="61">
        <f>'29'!E23</f>
        <v>18918</v>
      </c>
      <c r="F23" s="424">
        <f>E23/C23</f>
        <v>5.6361828759309849E-3</v>
      </c>
      <c r="G23" s="381" t="s">
        <v>195</v>
      </c>
      <c r="H23" s="59"/>
      <c r="I23" s="59"/>
      <c r="J23" s="61">
        <f>'29'!J23</f>
        <v>1582</v>
      </c>
      <c r="K23" s="61">
        <f>'29'!K23</f>
        <v>3274164</v>
      </c>
      <c r="L23" s="382">
        <f t="shared" ref="L23:L24" si="1">K23/C23</f>
        <v>0.97546183897820571</v>
      </c>
      <c r="M23" s="61">
        <f>'29'!M23</f>
        <v>9</v>
      </c>
      <c r="N23" s="61">
        <f>'29'!N23</f>
        <v>17990</v>
      </c>
      <c r="O23" s="135"/>
      <c r="P23" s="135"/>
      <c r="Q23" s="135"/>
    </row>
    <row r="24" spans="1:17" x14ac:dyDescent="0.3">
      <c r="A24" s="521"/>
      <c r="B24" s="61">
        <f>'29'!B24</f>
        <v>0</v>
      </c>
      <c r="C24" s="61">
        <f>'29'!C24</f>
        <v>0</v>
      </c>
      <c r="D24" s="61">
        <f>'29'!D24</f>
        <v>0</v>
      </c>
      <c r="E24" s="61">
        <f>'29'!E24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'29'!J24</f>
        <v>0</v>
      </c>
      <c r="K24" s="61">
        <f>'29'!K24</f>
        <v>0</v>
      </c>
      <c r="L24" s="382" t="e">
        <f t="shared" si="1"/>
        <v>#DIV/0!</v>
      </c>
      <c r="M24" s="61">
        <f>'29'!M24</f>
        <v>0</v>
      </c>
      <c r="N24" s="61">
        <f>'29'!N24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10152</v>
      </c>
      <c r="C26" s="68">
        <f>SUM(C21:C25)</f>
        <v>21431091</v>
      </c>
      <c r="D26" s="49">
        <f>SUM(D21:D25)</f>
        <v>24</v>
      </c>
      <c r="E26" s="69">
        <f>SUM(E22:E25)</f>
        <v>50617</v>
      </c>
      <c r="F26" s="51">
        <f>E26/C26</f>
        <v>2.3618489604658949E-3</v>
      </c>
      <c r="G26" s="51"/>
      <c r="H26" s="70"/>
      <c r="I26" s="70"/>
      <c r="J26" s="71">
        <f>SUM(J22:J25)</f>
        <v>10091</v>
      </c>
      <c r="K26" s="68">
        <f>SUM(K22:K25)</f>
        <v>21027771</v>
      </c>
      <c r="L26" s="51">
        <f>K26/C26</f>
        <v>0.98118061278354896</v>
      </c>
      <c r="M26" s="71">
        <f>SUM(M22:M25)</f>
        <v>37</v>
      </c>
      <c r="N26" s="54">
        <f>SUM(N22:N25)</f>
        <v>75462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21103233</v>
      </c>
      <c r="L27" s="51">
        <f>K27/C26</f>
        <v>0.98470175876720412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'29'!A30</f>
        <v>BIC</v>
      </c>
      <c r="B30" s="307" t="str">
        <f>'29'!B30</f>
        <v>P.6</v>
      </c>
      <c r="C30" s="307" t="str">
        <f>'29'!C30</f>
        <v>BjTPG280</v>
      </c>
      <c r="D30" s="308">
        <f>'29'!D30</f>
        <v>239</v>
      </c>
      <c r="E30" s="308">
        <f>'29'!E30</f>
        <v>497038</v>
      </c>
      <c r="F30" s="79"/>
      <c r="G30" s="307" t="str">
        <f>'29'!G30</f>
        <v>WR</v>
      </c>
      <c r="H30" s="309">
        <f>'29'!H30</f>
        <v>18</v>
      </c>
      <c r="I30" s="309">
        <f>'29'!I30</f>
        <v>8</v>
      </c>
      <c r="J30" s="170">
        <f>'29'!J30</f>
        <v>68</v>
      </c>
      <c r="K30" s="310">
        <f>'29'!K30</f>
        <v>140152</v>
      </c>
      <c r="L30" s="79"/>
      <c r="M30" s="307" t="str">
        <f>'29'!M30</f>
        <v>WR</v>
      </c>
      <c r="N30" s="309">
        <f>'29'!N30</f>
        <v>0</v>
      </c>
      <c r="O30" s="309">
        <f>'29'!O30</f>
        <v>0</v>
      </c>
      <c r="P30" s="170">
        <f>'29'!P30</f>
        <v>0</v>
      </c>
      <c r="Q30" s="310">
        <f>'29'!Q30</f>
        <v>0</v>
      </c>
    </row>
    <row r="31" spans="1:17" x14ac:dyDescent="0.3">
      <c r="A31" s="307" t="str">
        <f>'29'!A31</f>
        <v>WR</v>
      </c>
      <c r="B31" s="307">
        <f>'29'!B31</f>
        <v>6.5</v>
      </c>
      <c r="C31" s="307">
        <f>'29'!C31</f>
        <v>8</v>
      </c>
      <c r="D31" s="308">
        <f>'29'!D31</f>
        <v>180</v>
      </c>
      <c r="E31" s="308">
        <f>'29'!E31</f>
        <v>377095</v>
      </c>
      <c r="F31" s="135"/>
      <c r="G31" s="307" t="str">
        <f>'29'!G31</f>
        <v>WR</v>
      </c>
      <c r="H31" s="309">
        <f>'29'!H31</f>
        <v>7.5</v>
      </c>
      <c r="I31" s="309">
        <f>'29'!I31</f>
        <v>8</v>
      </c>
      <c r="J31" s="170">
        <f>'29'!J31</f>
        <v>96</v>
      </c>
      <c r="K31" s="310">
        <f>'29'!K31</f>
        <v>200884</v>
      </c>
      <c r="L31" s="135"/>
      <c r="M31" s="307" t="str">
        <f>'29'!M31</f>
        <v>WR</v>
      </c>
      <c r="N31" s="309">
        <f>'29'!N31</f>
        <v>0</v>
      </c>
      <c r="O31" s="309">
        <f>'29'!O31</f>
        <v>0</v>
      </c>
      <c r="P31" s="170">
        <f>'29'!P31</f>
        <v>0</v>
      </c>
      <c r="Q31" s="310">
        <f>'29'!Q31</f>
        <v>0</v>
      </c>
    </row>
    <row r="32" spans="1:17" x14ac:dyDescent="0.3">
      <c r="A32" s="307" t="str">
        <f>'29'!A32</f>
        <v>WR</v>
      </c>
      <c r="B32" s="307">
        <f>'29'!B32</f>
        <v>6.5</v>
      </c>
      <c r="C32" s="307">
        <f>'29'!C32</f>
        <v>10</v>
      </c>
      <c r="D32" s="308">
        <f>'29'!D32</f>
        <v>48</v>
      </c>
      <c r="E32" s="308">
        <f>'29'!E32</f>
        <v>99149</v>
      </c>
      <c r="F32" s="135"/>
      <c r="G32" s="307" t="str">
        <f>'29'!G32</f>
        <v>WR</v>
      </c>
      <c r="H32" s="309">
        <f>'29'!H32</f>
        <v>7.5</v>
      </c>
      <c r="I32" s="309">
        <f>'29'!I32</f>
        <v>15</v>
      </c>
      <c r="J32" s="170">
        <f>'29'!J32</f>
        <v>543</v>
      </c>
      <c r="K32" s="310">
        <f>'29'!K32</f>
        <v>1124422</v>
      </c>
      <c r="L32" s="135"/>
      <c r="M32" s="307" t="str">
        <f>'29'!M32</f>
        <v>WR</v>
      </c>
      <c r="N32" s="309">
        <f>'29'!N32</f>
        <v>0</v>
      </c>
      <c r="O32" s="309">
        <f>'29'!O32</f>
        <v>0</v>
      </c>
      <c r="P32" s="170">
        <f>'29'!P32</f>
        <v>0</v>
      </c>
      <c r="Q32" s="310">
        <f>'29'!Q32</f>
        <v>0</v>
      </c>
    </row>
    <row r="33" spans="1:17" x14ac:dyDescent="0.3">
      <c r="A33" s="307" t="str">
        <f>'29'!A33</f>
        <v>WR</v>
      </c>
      <c r="B33" s="307">
        <f>'29'!B33</f>
        <v>6.5</v>
      </c>
      <c r="C33" s="307">
        <f>'29'!C33</f>
        <v>15</v>
      </c>
      <c r="D33" s="308">
        <f>'29'!D33</f>
        <v>6</v>
      </c>
      <c r="E33" s="308">
        <f>'29'!E33</f>
        <v>12304</v>
      </c>
      <c r="F33" s="135"/>
      <c r="G33" s="307" t="str">
        <f>'29'!G33</f>
        <v>WR</v>
      </c>
      <c r="H33" s="309">
        <f>'29'!H33</f>
        <v>5.5</v>
      </c>
      <c r="I33" s="309">
        <f>'29'!I33</f>
        <v>22</v>
      </c>
      <c r="J33" s="170">
        <f>'29'!J33</f>
        <v>436</v>
      </c>
      <c r="K33" s="310">
        <f>'29'!K33</f>
        <v>893285</v>
      </c>
      <c r="L33" s="135"/>
      <c r="M33" s="307" t="str">
        <f>'29'!M33</f>
        <v>WR</v>
      </c>
      <c r="N33" s="309">
        <f>'29'!N33</f>
        <v>0</v>
      </c>
      <c r="O33" s="309">
        <f>'29'!O33</f>
        <v>0</v>
      </c>
      <c r="P33" s="170">
        <f>'29'!P33</f>
        <v>0</v>
      </c>
      <c r="Q33" s="310">
        <f>'29'!Q33</f>
        <v>0</v>
      </c>
    </row>
    <row r="34" spans="1:17" x14ac:dyDescent="0.3">
      <c r="A34" s="307" t="str">
        <f>'29'!A34</f>
        <v>WR</v>
      </c>
      <c r="B34" s="307">
        <f>'29'!B34</f>
        <v>5.5</v>
      </c>
      <c r="C34" s="307">
        <f>'29'!C34</f>
        <v>6</v>
      </c>
      <c r="D34" s="308">
        <f>'29'!D34</f>
        <v>995</v>
      </c>
      <c r="E34" s="308">
        <f>'29'!E34</f>
        <v>2086453</v>
      </c>
      <c r="F34" s="135"/>
      <c r="G34" s="307" t="str">
        <f>'29'!G34</f>
        <v>WR</v>
      </c>
      <c r="H34" s="309">
        <f>'29'!H34</f>
        <v>5.5</v>
      </c>
      <c r="I34" s="309">
        <f>'29'!I34</f>
        <v>1045</v>
      </c>
      <c r="J34" s="170">
        <f>'29'!J34</f>
        <v>50</v>
      </c>
      <c r="K34" s="310">
        <f>'29'!K34</f>
        <v>104556</v>
      </c>
      <c r="L34" s="135"/>
      <c r="M34" s="307" t="str">
        <f>'29'!M34</f>
        <v>WR</v>
      </c>
      <c r="N34" s="309">
        <f>'29'!N34</f>
        <v>0</v>
      </c>
      <c r="O34" s="309">
        <f>'29'!O34</f>
        <v>0</v>
      </c>
      <c r="P34" s="170">
        <f>'29'!P34</f>
        <v>0</v>
      </c>
      <c r="Q34" s="310">
        <f>'29'!Q34</f>
        <v>0</v>
      </c>
    </row>
    <row r="35" spans="1:17" x14ac:dyDescent="0.3">
      <c r="A35" s="307" t="str">
        <f>'29'!A35</f>
        <v>WR</v>
      </c>
      <c r="B35" s="307">
        <f>'29'!B35</f>
        <v>5.5</v>
      </c>
      <c r="C35" s="307" t="str">
        <f>'29'!C35</f>
        <v>8.A</v>
      </c>
      <c r="D35" s="308">
        <f>'29'!D35</f>
        <v>75</v>
      </c>
      <c r="E35" s="308">
        <f>'29'!E35</f>
        <v>157414</v>
      </c>
      <c r="F35" s="135"/>
      <c r="G35" s="307" t="str">
        <f>'29'!G35</f>
        <v>WR</v>
      </c>
      <c r="H35" s="309">
        <f>'29'!H35</f>
        <v>9.5</v>
      </c>
      <c r="I35" s="309">
        <f>'29'!I35</f>
        <v>15</v>
      </c>
      <c r="J35" s="170">
        <f>'29'!J35</f>
        <v>322</v>
      </c>
      <c r="K35" s="310">
        <f>'29'!K35</f>
        <v>664963</v>
      </c>
      <c r="L35" s="135"/>
      <c r="M35" s="307" t="str">
        <f>'29'!M35</f>
        <v>WR</v>
      </c>
      <c r="N35" s="309">
        <f>'29'!N35</f>
        <v>0</v>
      </c>
      <c r="O35" s="309">
        <f>'29'!O35</f>
        <v>0</v>
      </c>
      <c r="P35" s="170">
        <f>'29'!P35</f>
        <v>0</v>
      </c>
      <c r="Q35" s="310">
        <f>'29'!Q35</f>
        <v>0</v>
      </c>
    </row>
    <row r="36" spans="1:17" x14ac:dyDescent="0.3">
      <c r="A36" s="307" t="str">
        <f>'29'!A36</f>
        <v>WR</v>
      </c>
      <c r="B36" s="307">
        <f>'29'!B36</f>
        <v>5.5</v>
      </c>
      <c r="C36" s="307" t="str">
        <f>'29'!C36</f>
        <v>22.A</v>
      </c>
      <c r="D36" s="308">
        <f>'29'!D36</f>
        <v>813</v>
      </c>
      <c r="E36" s="308">
        <f>'29'!E36</f>
        <v>1694379</v>
      </c>
      <c r="F36" s="135"/>
      <c r="G36" s="307" t="str">
        <f>'29'!G36</f>
        <v>WR</v>
      </c>
      <c r="H36" s="309">
        <f>'29'!H36</f>
        <v>12</v>
      </c>
      <c r="I36" s="309">
        <f>'29'!I36</f>
        <v>8</v>
      </c>
      <c r="J36" s="170">
        <f>'29'!J36</f>
        <v>143</v>
      </c>
      <c r="K36" s="310">
        <f>'29'!K36</f>
        <v>298814</v>
      </c>
      <c r="L36" s="135"/>
      <c r="M36" s="307" t="str">
        <f>'29'!M36</f>
        <v>WR</v>
      </c>
      <c r="N36" s="309">
        <f>'29'!N36</f>
        <v>0</v>
      </c>
      <c r="O36" s="309">
        <f>'29'!O36</f>
        <v>0</v>
      </c>
      <c r="P36" s="170">
        <f>'29'!P36</f>
        <v>0</v>
      </c>
      <c r="Q36" s="310">
        <f>'29'!Q36</f>
        <v>0</v>
      </c>
    </row>
    <row r="37" spans="1:17" x14ac:dyDescent="0.3">
      <c r="A37" s="307" t="str">
        <f>'29'!A37</f>
        <v>WR</v>
      </c>
      <c r="B37" s="307">
        <f>'29'!B37</f>
        <v>5.5</v>
      </c>
      <c r="C37" s="307" t="str">
        <f>'29'!C37</f>
        <v>Y.11</v>
      </c>
      <c r="D37" s="308">
        <f>'29'!D37</f>
        <v>1052</v>
      </c>
      <c r="E37" s="308">
        <f>'29'!E37</f>
        <v>2198500</v>
      </c>
      <c r="F37" s="135"/>
      <c r="G37" s="307" t="str">
        <f>'29'!G37</f>
        <v>WR</v>
      </c>
      <c r="H37" s="309">
        <f>'29'!H37</f>
        <v>9</v>
      </c>
      <c r="I37" s="309">
        <f>'29'!I37</f>
        <v>8</v>
      </c>
      <c r="J37" s="170">
        <f>'29'!J37</f>
        <v>191</v>
      </c>
      <c r="K37" s="310">
        <f>'29'!K37</f>
        <v>398927</v>
      </c>
      <c r="L37" s="135"/>
      <c r="M37" s="307" t="str">
        <f>'29'!M37</f>
        <v>WR</v>
      </c>
      <c r="N37" s="309">
        <f>'29'!N37</f>
        <v>0</v>
      </c>
      <c r="O37" s="309">
        <f>'29'!O37</f>
        <v>0</v>
      </c>
      <c r="P37" s="170">
        <f>'29'!P37</f>
        <v>0</v>
      </c>
      <c r="Q37" s="310">
        <f>'29'!Q37</f>
        <v>0</v>
      </c>
    </row>
    <row r="38" spans="1:17" x14ac:dyDescent="0.3">
      <c r="A38" s="307" t="str">
        <f>'29'!A38</f>
        <v>WR</v>
      </c>
      <c r="B38" s="307">
        <f>'29'!B38</f>
        <v>5.5</v>
      </c>
      <c r="C38" s="307" t="str">
        <f>'29'!C38</f>
        <v>67.A</v>
      </c>
      <c r="D38" s="308">
        <f>'29'!D38</f>
        <v>312</v>
      </c>
      <c r="E38" s="308">
        <f>'29'!E38</f>
        <v>660228</v>
      </c>
      <c r="F38" s="135"/>
      <c r="G38" s="307" t="str">
        <f>'29'!G38</f>
        <v>WR</v>
      </c>
      <c r="H38" s="309">
        <f>'29'!H38</f>
        <v>9</v>
      </c>
      <c r="I38" s="309">
        <f>'29'!I38</f>
        <v>10</v>
      </c>
      <c r="J38" s="170">
        <f>'29'!J38</f>
        <v>48</v>
      </c>
      <c r="K38" s="310">
        <f>'29'!K38</f>
        <v>99117</v>
      </c>
      <c r="L38" s="135"/>
      <c r="M38" s="307" t="str">
        <f>'29'!M38</f>
        <v>WR</v>
      </c>
      <c r="N38" s="309">
        <f>'29'!N38</f>
        <v>0</v>
      </c>
      <c r="O38" s="309">
        <f>'29'!O38</f>
        <v>0</v>
      </c>
      <c r="P38" s="170">
        <f>'29'!P38</f>
        <v>0</v>
      </c>
      <c r="Q38" s="310">
        <f>'29'!Q38</f>
        <v>0</v>
      </c>
    </row>
    <row r="39" spans="1:17" x14ac:dyDescent="0.3">
      <c r="A39" s="307" t="str">
        <f>'29'!A39</f>
        <v>BIC</v>
      </c>
      <c r="B39" s="307" t="str">
        <f>'29'!B39</f>
        <v>P.8</v>
      </c>
      <c r="C39" s="307" t="str">
        <f>'29'!C39</f>
        <v>BjTPG280</v>
      </c>
      <c r="D39" s="308">
        <f>'29'!D39</f>
        <v>240</v>
      </c>
      <c r="E39" s="308">
        <f>'29'!E39</f>
        <v>499780</v>
      </c>
      <c r="F39" s="135"/>
      <c r="G39" s="307" t="str">
        <f>'29'!G39</f>
        <v>WR</v>
      </c>
      <c r="H39" s="309">
        <f>'29'!H39</f>
        <v>5.5</v>
      </c>
      <c r="I39" s="309">
        <f>'29'!I39</f>
        <v>15</v>
      </c>
      <c r="J39" s="170">
        <f>'29'!J39</f>
        <v>116</v>
      </c>
      <c r="K39" s="310">
        <f>'29'!K39</f>
        <v>239659</v>
      </c>
      <c r="L39" s="135"/>
      <c r="M39" s="307" t="str">
        <f>'29'!M39</f>
        <v>WR</v>
      </c>
      <c r="N39" s="309">
        <f>'29'!N39</f>
        <v>0</v>
      </c>
      <c r="O39" s="309">
        <f>'29'!O39</f>
        <v>0</v>
      </c>
      <c r="P39" s="170">
        <f>'29'!P39</f>
        <v>0</v>
      </c>
      <c r="Q39" s="310">
        <f>'29'!Q39</f>
        <v>0</v>
      </c>
    </row>
    <row r="40" spans="1:17" x14ac:dyDescent="0.3">
      <c r="A40" s="307" t="str">
        <f>'29'!A40</f>
        <v>BIC</v>
      </c>
      <c r="B40" s="307" t="str">
        <f>'29'!B40</f>
        <v>S.8</v>
      </c>
      <c r="C40" s="307" t="str">
        <f>'29'!C40</f>
        <v>BjTSG420</v>
      </c>
      <c r="D40" s="308">
        <f>'29'!D40</f>
        <v>476</v>
      </c>
      <c r="E40" s="308">
        <f>'29'!E40</f>
        <v>981350</v>
      </c>
      <c r="F40" s="135"/>
      <c r="G40" s="307" t="str">
        <f>'29'!G40</f>
        <v>WR</v>
      </c>
      <c r="H40" s="309">
        <f>'29'!H40</f>
        <v>5.5</v>
      </c>
      <c r="I40" s="309" t="str">
        <f>'29'!I40</f>
        <v>72.A</v>
      </c>
      <c r="J40" s="170">
        <f>'29'!J40</f>
        <v>48</v>
      </c>
      <c r="K40" s="310">
        <f>'29'!K40</f>
        <v>101358</v>
      </c>
      <c r="L40" s="135"/>
      <c r="M40" s="307" t="str">
        <f>'29'!M40</f>
        <v>WR</v>
      </c>
      <c r="N40" s="309">
        <f>'29'!N40</f>
        <v>0</v>
      </c>
      <c r="O40" s="309">
        <f>'29'!O40</f>
        <v>0</v>
      </c>
      <c r="P40" s="170">
        <f>'29'!P40</f>
        <v>0</v>
      </c>
      <c r="Q40" s="310">
        <f>'29'!Q40</f>
        <v>0</v>
      </c>
    </row>
    <row r="41" spans="1:17" x14ac:dyDescent="0.3">
      <c r="A41" s="307" t="str">
        <f>'29'!A41</f>
        <v>BIC</v>
      </c>
      <c r="B41" s="307" t="str">
        <f>'29'!B41</f>
        <v>S.10</v>
      </c>
      <c r="C41" s="307" t="str">
        <f>'29'!C41</f>
        <v>BjTSG420</v>
      </c>
      <c r="D41" s="308">
        <f>'29'!D41</f>
        <v>292</v>
      </c>
      <c r="E41" s="308">
        <f>'29'!E41</f>
        <v>602112</v>
      </c>
      <c r="F41" s="135"/>
      <c r="G41" s="307" t="str">
        <f>'29'!G41</f>
        <v>WR</v>
      </c>
      <c r="H41" s="309">
        <f>'29'!H41</f>
        <v>12</v>
      </c>
      <c r="I41" s="309">
        <f>'29'!I41</f>
        <v>15</v>
      </c>
      <c r="J41" s="170">
        <f>'29'!J41</f>
        <v>54</v>
      </c>
      <c r="K41" s="310">
        <f>'29'!K41</f>
        <v>111148</v>
      </c>
      <c r="L41" s="135"/>
      <c r="M41" s="307" t="str">
        <f>'29'!M41</f>
        <v>WR</v>
      </c>
      <c r="N41" s="309">
        <f>'29'!N41</f>
        <v>0</v>
      </c>
      <c r="O41" s="309">
        <f>'29'!O41</f>
        <v>0</v>
      </c>
      <c r="P41" s="170">
        <f>'29'!P41</f>
        <v>0</v>
      </c>
      <c r="Q41" s="310">
        <f>'29'!Q41</f>
        <v>0</v>
      </c>
    </row>
    <row r="42" spans="1:17" x14ac:dyDescent="0.3">
      <c r="A42" s="307" t="str">
        <f>'29'!A42</f>
        <v>WR</v>
      </c>
      <c r="B42" s="307">
        <f>'29'!B42</f>
        <v>5.5</v>
      </c>
      <c r="C42" s="307">
        <f>'29'!C42</f>
        <v>8</v>
      </c>
      <c r="D42" s="308">
        <f>'29'!D42</f>
        <v>480</v>
      </c>
      <c r="E42" s="308">
        <f>'29'!E42</f>
        <v>1006478</v>
      </c>
      <c r="F42" s="135"/>
      <c r="G42" s="307" t="str">
        <f>'29'!G42</f>
        <v>WR</v>
      </c>
      <c r="H42" s="309">
        <f>'29'!H42</f>
        <v>8.5</v>
      </c>
      <c r="I42" s="309">
        <f>'29'!I42</f>
        <v>8</v>
      </c>
      <c r="J42" s="170">
        <f>'29'!J42</f>
        <v>168</v>
      </c>
      <c r="K42" s="310">
        <f>'29'!K42</f>
        <v>351899</v>
      </c>
      <c r="L42" s="135"/>
      <c r="M42" s="307" t="str">
        <f>'29'!M42</f>
        <v>WR</v>
      </c>
      <c r="N42" s="309">
        <f>'29'!N42</f>
        <v>0</v>
      </c>
      <c r="O42" s="309">
        <f>'29'!O42</f>
        <v>0</v>
      </c>
      <c r="P42" s="170">
        <f>'29'!P42</f>
        <v>0</v>
      </c>
      <c r="Q42" s="310">
        <f>'29'!Q42</f>
        <v>0</v>
      </c>
    </row>
    <row r="43" spans="1:17" x14ac:dyDescent="0.3">
      <c r="A43" s="307" t="str">
        <f>'29'!A43</f>
        <v>WR</v>
      </c>
      <c r="B43" s="307">
        <f>'29'!B43</f>
        <v>5.5</v>
      </c>
      <c r="C43" s="307" t="str">
        <f>'29'!C43</f>
        <v>67.B</v>
      </c>
      <c r="D43" s="308">
        <f>'29'!D43</f>
        <v>288</v>
      </c>
      <c r="E43" s="308">
        <f>'29'!E43</f>
        <v>609307</v>
      </c>
      <c r="F43" s="135"/>
      <c r="G43" s="307" t="str">
        <f>'29'!G43</f>
        <v>WR</v>
      </c>
      <c r="H43" s="309">
        <f>'29'!H43</f>
        <v>7</v>
      </c>
      <c r="I43" s="309">
        <f>'29'!I43</f>
        <v>6</v>
      </c>
      <c r="J43" s="170">
        <f>'29'!J43</f>
        <v>48</v>
      </c>
      <c r="K43" s="310">
        <f>'29'!K43</f>
        <v>100641</v>
      </c>
      <c r="L43" s="135"/>
      <c r="M43" s="307" t="str">
        <f>'29'!M43</f>
        <v>WR</v>
      </c>
      <c r="N43" s="309">
        <f>'29'!N43</f>
        <v>0</v>
      </c>
      <c r="O43" s="309">
        <f>'29'!O43</f>
        <v>0</v>
      </c>
      <c r="P43" s="170">
        <f>'29'!P43</f>
        <v>0</v>
      </c>
      <c r="Q43" s="310">
        <f>'29'!Q43</f>
        <v>0</v>
      </c>
    </row>
    <row r="44" spans="1:17" x14ac:dyDescent="0.3">
      <c r="A44" s="307" t="str">
        <f>'29'!A44</f>
        <v>BIC</v>
      </c>
      <c r="B44" s="307" t="str">
        <f>'29'!B44</f>
        <v>P.10</v>
      </c>
      <c r="C44" s="307" t="str">
        <f>'29'!C44</f>
        <v>BjTPG280</v>
      </c>
      <c r="D44" s="308">
        <f>'29'!D44</f>
        <v>287</v>
      </c>
      <c r="E44" s="308">
        <f>'29'!E44</f>
        <v>595480</v>
      </c>
      <c r="F44" s="135"/>
      <c r="G44" s="307" t="str">
        <f>'29'!G44</f>
        <v>WR</v>
      </c>
      <c r="H44" s="309">
        <f>'29'!H44</f>
        <v>7</v>
      </c>
      <c r="I44" s="309">
        <f>'29'!I44</f>
        <v>8</v>
      </c>
      <c r="J44" s="170">
        <f>'29'!J44</f>
        <v>143</v>
      </c>
      <c r="K44" s="310">
        <f>'29'!K44</f>
        <v>299375</v>
      </c>
      <c r="L44" s="135"/>
      <c r="M44" s="307" t="str">
        <f>'29'!M44</f>
        <v>WR</v>
      </c>
      <c r="N44" s="309">
        <f>'29'!N44</f>
        <v>0</v>
      </c>
      <c r="O44" s="309">
        <f>'29'!O44</f>
        <v>0</v>
      </c>
      <c r="P44" s="170">
        <f>'29'!P44</f>
        <v>0</v>
      </c>
      <c r="Q44" s="310">
        <f>'29'!Q44</f>
        <v>0</v>
      </c>
    </row>
    <row r="45" spans="1:17" x14ac:dyDescent="0.3">
      <c r="A45" s="307" t="str">
        <f>'29'!A45</f>
        <v>BIC</v>
      </c>
      <c r="B45" s="307" t="str">
        <f>'29'!B45</f>
        <v>S.6</v>
      </c>
      <c r="C45" s="307" t="str">
        <f>'29'!C45</f>
        <v>BjTSG420</v>
      </c>
      <c r="D45" s="308">
        <f>'29'!D45</f>
        <v>48</v>
      </c>
      <c r="E45" s="308">
        <f>'29'!E45</f>
        <v>98404</v>
      </c>
      <c r="F45" s="135"/>
      <c r="G45" s="307" t="str">
        <f>'29'!G45</f>
        <v>WR</v>
      </c>
      <c r="H45" s="309">
        <f>'29'!H45</f>
        <v>7</v>
      </c>
      <c r="I45" s="309">
        <f>'29'!I45</f>
        <v>10</v>
      </c>
      <c r="J45" s="170">
        <f>'29'!J45</f>
        <v>48</v>
      </c>
      <c r="K45" s="310">
        <f>'29'!K45</f>
        <v>98999</v>
      </c>
      <c r="L45" s="135"/>
      <c r="M45" s="307" t="str">
        <f>'29'!M45</f>
        <v>WR</v>
      </c>
      <c r="N45" s="309">
        <f>'29'!N45</f>
        <v>0</v>
      </c>
      <c r="O45" s="309">
        <f>'29'!O45</f>
        <v>0</v>
      </c>
      <c r="P45" s="170">
        <f>'29'!P45</f>
        <v>0</v>
      </c>
      <c r="Q45" s="310">
        <f>'29'!Q45</f>
        <v>0</v>
      </c>
    </row>
    <row r="46" spans="1:17" x14ac:dyDescent="0.3">
      <c r="A46" s="307" t="str">
        <f>'29'!A46</f>
        <v>WR</v>
      </c>
      <c r="B46" s="307">
        <f>'29'!B46</f>
        <v>17</v>
      </c>
      <c r="C46" s="307">
        <f>'29'!C46</f>
        <v>8</v>
      </c>
      <c r="D46" s="308">
        <f>'29'!D46</f>
        <v>91</v>
      </c>
      <c r="E46" s="308">
        <f>'29'!E46</f>
        <v>188048</v>
      </c>
      <c r="F46" s="135"/>
      <c r="G46" s="307" t="str">
        <f>'29'!G46</f>
        <v>WR</v>
      </c>
      <c r="H46" s="309">
        <f>'29'!H46</f>
        <v>5.5</v>
      </c>
      <c r="I46" s="309" t="str">
        <f>'29'!I46</f>
        <v>72.A</v>
      </c>
      <c r="J46" s="170">
        <f>'29'!J46</f>
        <v>96</v>
      </c>
      <c r="K46" s="310">
        <f>'29'!K46</f>
        <v>203214</v>
      </c>
      <c r="L46" s="135"/>
      <c r="M46" s="307" t="str">
        <f>'29'!M46</f>
        <v>WR</v>
      </c>
      <c r="N46" s="309">
        <f>'29'!N46</f>
        <v>0</v>
      </c>
      <c r="O46" s="309">
        <f>'29'!O46</f>
        <v>0</v>
      </c>
      <c r="P46" s="170">
        <f>'29'!P46</f>
        <v>0</v>
      </c>
      <c r="Q46" s="310">
        <f>'29'!Q46</f>
        <v>0</v>
      </c>
    </row>
    <row r="47" spans="1:17" x14ac:dyDescent="0.3">
      <c r="A47" s="307" t="str">
        <f>'29'!A47</f>
        <v>WR</v>
      </c>
      <c r="B47" s="307">
        <f>'29'!B47</f>
        <v>8.5</v>
      </c>
      <c r="C47" s="307">
        <f>'29'!C47</f>
        <v>15</v>
      </c>
      <c r="D47" s="308">
        <f>'29'!D47</f>
        <v>576</v>
      </c>
      <c r="E47" s="308">
        <f>'29'!E47</f>
        <v>1194727</v>
      </c>
      <c r="F47" s="135"/>
      <c r="G47" s="307" t="str">
        <f>'29'!G47</f>
        <v>WR</v>
      </c>
      <c r="H47" s="309">
        <f>'29'!H47</f>
        <v>5.5</v>
      </c>
      <c r="I47" s="309" t="str">
        <f>'29'!I47</f>
        <v>72.B</v>
      </c>
      <c r="J47" s="170">
        <f>'29'!J47</f>
        <v>144</v>
      </c>
      <c r="K47" s="310">
        <f>'29'!K47</f>
        <v>304424</v>
      </c>
      <c r="L47" s="135"/>
      <c r="M47" s="307" t="str">
        <f>'29'!M47</f>
        <v>WR</v>
      </c>
      <c r="N47" s="309">
        <f>'29'!N47</f>
        <v>0</v>
      </c>
      <c r="O47" s="309">
        <f>'29'!O47</f>
        <v>0</v>
      </c>
      <c r="P47" s="170">
        <f>'29'!P47</f>
        <v>0</v>
      </c>
      <c r="Q47" s="310">
        <f>'29'!Q47</f>
        <v>0</v>
      </c>
    </row>
    <row r="48" spans="1:17" x14ac:dyDescent="0.3">
      <c r="A48" s="307" t="str">
        <f>'29'!A48</f>
        <v>WR</v>
      </c>
      <c r="B48" s="307">
        <f>'29'!B48</f>
        <v>6.5</v>
      </c>
      <c r="C48" s="307">
        <f>'29'!C48</f>
        <v>8</v>
      </c>
      <c r="D48" s="308">
        <f>'29'!D48</f>
        <v>264</v>
      </c>
      <c r="E48" s="308">
        <f>'29'!E48</f>
        <v>552714</v>
      </c>
      <c r="F48" s="135"/>
      <c r="G48" s="307" t="str">
        <f>'29'!G48</f>
        <v>WR</v>
      </c>
      <c r="H48" s="309">
        <f>'29'!H48</f>
        <v>10</v>
      </c>
      <c r="I48" s="309">
        <f>'29'!I48</f>
        <v>8</v>
      </c>
      <c r="J48" s="170">
        <f>'29'!J48</f>
        <v>167</v>
      </c>
      <c r="K48" s="310">
        <f>'29'!K48</f>
        <v>349862</v>
      </c>
      <c r="L48" s="135"/>
      <c r="M48" s="307" t="str">
        <f>'29'!M48</f>
        <v>WR</v>
      </c>
      <c r="N48" s="309">
        <f>'29'!N48</f>
        <v>0</v>
      </c>
      <c r="O48" s="309">
        <f>'29'!O48</f>
        <v>0</v>
      </c>
      <c r="P48" s="170">
        <f>'29'!P48</f>
        <v>0</v>
      </c>
      <c r="Q48" s="310">
        <f>'29'!Q48</f>
        <v>0</v>
      </c>
    </row>
    <row r="49" spans="1:23" x14ac:dyDescent="0.3">
      <c r="A49" s="307" t="str">
        <f>'29'!A49</f>
        <v>WR</v>
      </c>
      <c r="B49" s="307">
        <f>'29'!B49</f>
        <v>6.5</v>
      </c>
      <c r="C49" s="307">
        <f>'29'!C49</f>
        <v>15</v>
      </c>
      <c r="D49" s="308">
        <f>'29'!D49</f>
        <v>281</v>
      </c>
      <c r="E49" s="308">
        <f>'29'!E49</f>
        <v>582161</v>
      </c>
      <c r="F49" s="3"/>
      <c r="G49" s="307" t="str">
        <f>'29'!G49</f>
        <v>WR</v>
      </c>
      <c r="H49" s="309">
        <f>'29'!H49</f>
        <v>8</v>
      </c>
      <c r="I49" s="309">
        <f>'29'!I49</f>
        <v>8</v>
      </c>
      <c r="J49" s="170">
        <f>'29'!J49</f>
        <v>119</v>
      </c>
      <c r="K49" s="310">
        <f>'29'!K49</f>
        <v>248951</v>
      </c>
      <c r="L49" s="3"/>
      <c r="M49" s="307" t="str">
        <f>'29'!M49</f>
        <v>WR</v>
      </c>
      <c r="N49" s="309">
        <f>'29'!N49</f>
        <v>0</v>
      </c>
      <c r="O49" s="309">
        <f>'29'!O49</f>
        <v>0</v>
      </c>
      <c r="P49" s="170">
        <f>'29'!P49</f>
        <v>0</v>
      </c>
      <c r="Q49" s="310">
        <f>'29'!Q49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46052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/>
      <c r="E55" s="506"/>
      <c r="F55" s="506"/>
      <c r="G55" s="506"/>
      <c r="H55" s="506"/>
      <c r="I55" s="506"/>
      <c r="J55" s="93"/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21431091</v>
      </c>
      <c r="R55" s="395"/>
      <c r="S55" s="388">
        <f>DAY(A52)</f>
        <v>30</v>
      </c>
      <c r="T55" s="383">
        <f>S55-U55</f>
        <v>25</v>
      </c>
      <c r="U55" s="383">
        <f>'29'!U55</f>
        <v>5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21103233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>
        <f>L27</f>
        <v>0.98470175876720412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50617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>
        <f>F26</f>
        <v>2.3618489604658949E-3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'1'!Q60+'2'!P60+'3'!P60+'4'!P60+'5'!P60+'6'!P60+'7'!P60+'8'!P60+'9'!P60+'10'!P60+'11'!P60+'12'!P60+'13'!P60+'14'!P60+'15'!P60+'16'!P60+'17'!P60+'18'!P60+'19'!P60+'20'!P62+'21'!P60+'22'!P61+'23'!P60+'24'!P60+'25'!P60+'26'!P60+'27'!P60+'28'!P60+'29'!P60+'30'!P60</f>
        <v>43200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'1'!Q61+'2'!P61+'3'!P61+'4'!P61+'5'!P61+'6'!P61+'7'!P61+'8'!P61+'9'!P61+'10'!P61+'11'!P61+'12'!P61+'13'!P61+'14'!P61+'15'!P61+'16'!P61+'17'!P61+'18'!P61+'19'!P61+'20'!P63+'21'!P61+'22'!P62+'23'!P61+'24'!P61+'25'!P61+'26'!P61+'27'!P61+'28'!P61+'29'!P61+'30'!P61</f>
        <v>7200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'1'!Q62+'2'!P62+'3'!P62+'4'!P62+'5'!P62+'6'!P62+'7'!P62+'8'!P62+'9'!P62+'10'!P62+'11'!P62+'12'!P62+'13'!P62+'14'!P62+'15'!P62+'16'!P62+'17'!P62+'18'!P62+'19'!P62+'20'!P64+'21'!P62+'22'!P63+'23'!P62+'24'!P62+'25'!P62+'26'!P62+'27'!P62+'28'!P62+'29'!P62+'30'!P62</f>
        <v>7200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'1'!Q63+'2'!P63+'3'!P63+'4'!P63+'5'!P63+'6'!P63+'7'!P63+'8'!P63+'9'!P63+'10'!P63+'11'!P63+'12'!P63+'13'!P63+'14'!P63+'15'!P63+'16'!P63+'17'!P63+'18'!P63+'19'!P63+'20'!P65+'21'!P63+'22'!P64+'23'!P63+'24'!P63+'25'!P63+'26'!P63+'27'!P63+'28'!P63+'29'!P63+'30'!P63</f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'1'!Q64+'2'!P64+'3'!P64+'4'!P64+'5'!P64+'6'!P64+'7'!P64+'8'!P64+'9'!P64+'10'!P64+'11'!P64+'12'!P64+'13'!P64+'14'!P64+'15'!P64+'16'!P64+'17'!P64+'18'!P64+'19'!P64+'20'!P66+'21'!P64+'22'!P65+'23'!P64+'24'!P64+'25'!P64+'26'!P64+'27'!P64+'28'!P64+'29'!P64+'30'!P64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00">
        <f>'1'!Q65+'2'!P65+'3'!P65+'4'!P65+'5'!P65+'6'!P65+'7'!P65+'8'!P65+'9'!P65+'10'!P65+'11'!P65+'12'!P65+'13'!P65+'14'!P65+'15'!P65+'16'!P65+'17'!P65+'18'!P65+'19'!P65+'20'!P67+'21'!P65+'22'!P66+'23'!P65+'24'!P65+'25'!P65+'26'!P65+'27'!P65+'28'!P65+'29'!P65+'30'!P65</f>
        <v>3255</v>
      </c>
      <c r="R65" s="395"/>
      <c r="S65" s="171" t="s">
        <v>56</v>
      </c>
      <c r="T65" s="172"/>
      <c r="U65" s="173" t="s">
        <v>151</v>
      </c>
      <c r="V65" s="174"/>
      <c r="W65" s="181">
        <f>+'29'!W65+'30'!V65</f>
        <v>14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'1'!Q66+'2'!P66+'3'!P66+'4'!P66+'5'!P66+'6'!P66+'7'!P66+'8'!P66+'9'!P66+'10'!P66+'11'!P66+'12'!P66+'13'!P66+'14'!P66+'15'!P66+'16'!P66+'17'!P66+'18'!P66+'19'!P66+'20'!P68+'21'!P66+'22'!P67+'23'!P66+'24'!P66+'25'!P66+'26'!P66+'27'!P66+'28'!P66+'29'!P66+'30'!P66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+'29'!W66+'30'!V66</f>
        <v>7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>'1'!Q67+'2'!P67+'3'!P67+'4'!P67+'5'!P67+'6'!P67+'7'!P67+'8'!P67+'9'!P67+'10'!P67+'11'!P67+'12'!P67+'13'!P67+'14'!P67+'15'!P67+'16'!P67+'17'!P67+'18'!P67+'19'!P67+'20'!P69+'21'!P67+'22'!P68+'23'!P67+'24'!P67+'25'!P67+'26'!P67+'27'!P67+'28'!P67+'29'!P67+'30'!P67</f>
        <v>2804</v>
      </c>
      <c r="R67" s="399"/>
      <c r="S67" s="377" t="s">
        <v>60</v>
      </c>
      <c r="T67" s="175"/>
      <c r="U67" s="176" t="s">
        <v>151</v>
      </c>
      <c r="V67" s="177"/>
      <c r="W67" s="182">
        <f>+'29'!W67+'30'!V67</f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>'1'!Q68+'2'!P68+'3'!P68+'4'!P68+'5'!P68+'6'!P68+'7'!P68+'8'!P68+'9'!P68+'10'!P68+'11'!P68+'12'!P68+'13'!P68+'14'!P68+'15'!P68+'16'!P68+'17'!P68+'18'!P68+'19'!P68+'20'!P70+'21'!P68+'22'!P69+'23'!P68+'24'!P68+'25'!P68+'26'!P68+'27'!P68+'28'!P68+'29'!P68+'30'!P68</f>
        <v>451</v>
      </c>
      <c r="R68" s="409"/>
      <c r="S68" s="377" t="s">
        <v>62</v>
      </c>
      <c r="T68" s="175"/>
      <c r="U68" s="176" t="s">
        <v>151</v>
      </c>
      <c r="V68" s="177"/>
      <c r="W68" s="182">
        <f>+'29'!W68+'30'!V68</f>
        <v>3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0</v>
      </c>
      <c r="Q69" s="100">
        <f>'1'!Q69+'2'!P69+'3'!P69+'4'!P69+'5'!P69+'6'!P69+'7'!P69+'8'!P69+'9'!P69+'10'!P69+'11'!P69+'12'!P69+'13'!P69+'14'!P69+'15'!P69+'16'!P69+'17'!P69+'18'!P69+'19'!P69+'20'!P71+'21'!P69+'22'!P70+'23'!P69+'24'!P69+'25'!P69+'26'!P69+'27'!P69+'28'!P69+'29'!P69+'30'!P69</f>
        <v>1375</v>
      </c>
      <c r="R69" s="395"/>
      <c r="S69" s="376" t="s">
        <v>64</v>
      </c>
      <c r="T69" s="178"/>
      <c r="U69" s="179" t="s">
        <v>151</v>
      </c>
      <c r="V69" s="180"/>
      <c r="W69" s="183">
        <f>+'29'!W69+'30'!V69</f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>'1'!Q70+'2'!P70+'3'!P70+'4'!P70+'5'!P70+'6'!P70+'7'!P70+'8'!P70+'9'!P70+'10'!P70+'11'!P70+'12'!P70+'13'!P70+'14'!P70+'15'!P70+'16'!P70+'17'!P70+'18'!P70+'19'!P70+'20'!P72+'21'!P70+'22'!P71+'23'!P70+'24'!P70+'25'!P70+'26'!P70+'27'!P70+'28'!P70+'29'!P70+'30'!P70</f>
        <v>861</v>
      </c>
      <c r="R70" s="399">
        <f>T55*30</f>
        <v>750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>'1'!Q71+'2'!P71+'3'!P71+'4'!P71+'5'!P71+'6'!P71+'7'!P71+'8'!P71+'9'!P71+'10'!P71+'11'!P71+'12'!P71+'13'!P71+'14'!P71+'15'!P71+'16'!P71+'17'!P71+'18'!P71+'19'!P71+'20'!P73+'21'!P71+'22'!P72+'23'!P71+'24'!P71+'25'!P71+'26'!P71+'27'!P71+'28'!P71+'29'!P71+'30'!P71</f>
        <v>406</v>
      </c>
      <c r="R71" s="399">
        <f>T55*25</f>
        <v>625</v>
      </c>
      <c r="S71" s="574" t="s">
        <v>187</v>
      </c>
      <c r="T71" s="574"/>
      <c r="U71" s="170" t="s">
        <v>32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'1'!Q72+'2'!P72+'3'!P72+'4'!P72+'5'!P72+'6'!P72+'7'!P72+'8'!P72+'9'!P72+'10'!P72+'11'!P72+'12'!P72+'13'!P72+'14'!P72+'15'!P72+'16'!P72+'17'!P72+'18'!P72+'19'!P72+'20'!P74+'21'!P72+'22'!P73+'23'!P72+'24'!P72+'25'!P72+'26'!P72+'27'!P72+'28'!P72+'29'!P72+'30'!P72</f>
        <v>37</v>
      </c>
      <c r="R72" s="399">
        <f>T55*10</f>
        <v>250</v>
      </c>
      <c r="S72" s="575" t="s">
        <v>188</v>
      </c>
      <c r="T72" s="575"/>
      <c r="U72" s="299">
        <v>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'1'!Q73+'2'!P73+'3'!P73+'4'!P73+'5'!P73+'6'!P73+'7'!P73+'8'!P73+'9'!P73+'10'!P73+'11'!P73+'12'!P73+'13'!P73+'14'!P73+'15'!P73+'16'!P73+'17'!P73+'18'!P73+'19'!P73+'20'!P75+'21'!P73+'22'!P74+'23'!P73+'24'!P73+'25'!P73+'26'!P73+'27'!P73+'28'!P73+'29'!P73+'30'!P73</f>
        <v>71</v>
      </c>
      <c r="R73" s="399"/>
      <c r="S73" s="576" t="s">
        <v>189</v>
      </c>
      <c r="T73" s="576"/>
      <c r="U73" s="300">
        <v>0</v>
      </c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'1'!Q74+'2'!P74+'3'!P74+'4'!P74+'5'!P74+'6'!P74+'7'!P74+'8'!P74+'9'!P74+'10'!P74+'11'!P74+'12'!P74+'13'!P74+'14'!P74+'15'!P74+'16'!P74+'17'!P74+'18'!P74+'19'!P74+'20'!P76+'21'!P74+'22'!P75+'23'!P74+'24'!P74+'25'!P74+'26'!P74+'27'!P74+'28'!P74+'29'!P74+'30'!P74</f>
        <v>0</v>
      </c>
      <c r="R74" s="409"/>
      <c r="S74" s="577" t="s">
        <v>190</v>
      </c>
      <c r="T74" s="577"/>
      <c r="U74" s="301">
        <v>0</v>
      </c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'1'!Q75+'2'!P75+'3'!P75+'4'!P75+'5'!P75+'6'!P75+'7'!P75+'8'!P75+'9'!P75+'10'!P75+'11'!P75+'12'!P75+'13'!P75+'14'!P75+'15'!P75+'16'!P75+'17'!P75+'18'!P75+'19'!P75+'20'!P77+'21'!P75+'22'!P76+'23'!P75+'24'!P75+'25'!P75+'26'!P75+'27'!P75+'28'!P75+'29'!P75+'30'!P75</f>
        <v>36000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>'1'!Q76+'2'!P76+'3'!P76+'4'!P76+'5'!P76+'6'!P76+'7'!P76+'8'!P76+'9'!P76+'10'!P76+'11'!P76+'12'!P76+'13'!P76+'14'!P76+'15'!P76+'16'!P76+'17'!P76+'18'!P76+'19'!P76+'20'!P78+'21'!P76+'22'!P77+'23'!P76+'24'!P76+'25'!P76+'26'!P76+'27'!P76+'28'!P76+'29'!P76+'30'!P76</f>
        <v>4630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94">
        <f>'1'!Q77+'2'!P77+'3'!P77+'4'!P77+'5'!P77+'6'!P77+'7'!P77+'8'!P77+'9'!P77+'10'!P77+'11'!P77+'12'!P77+'13'!P77+'14'!P77+'15'!P77+'16'!P77+'17'!P77+'18'!P77+'19'!P77+'20'!P79+'21'!P77+'22'!P78+'23'!P77+'24'!P77+'25'!P77+'26'!P77+'27'!P77+'28'!P77+'29'!P77+'30'!P77</f>
        <v>4679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'1'!Q78+'2'!P78+'3'!P78+'4'!P78+'5'!P78+'6'!P78+'7'!P78+'8'!P78+'9'!P78+'10'!P78+'11'!P78+'12'!P78+'13'!P78+'14'!P78+'15'!P78+'16'!P78+'17'!P78+'18'!P78+'19'!P78+'20'!P80+'21'!P78+'22'!P79+'23'!P78+'24'!P78+'25'!P78+'26'!P78+'27'!P78+'28'!P78+'29'!P78+'30'!P78</f>
        <v>49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1440</v>
      </c>
      <c r="Q79" s="94">
        <f>'1'!Q79+'2'!P79+'3'!P79+'4'!P79+'5'!P79+'6'!P79+'7'!P79+'8'!P79+'9'!P79+'10'!P79+'11'!P79+'12'!P79+'13'!P79+'14'!P79+'15'!P79+'16'!P79+'17'!P79+'18'!P79+'19'!P79+'20'!P81+'21'!P79+'22'!P80+'23'!P79+'24'!P79+'25'!P79+'26'!P79+'27'!P79+'28'!P79+'29'!P79+'30'!P79</f>
        <v>31321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1</v>
      </c>
      <c r="Q80" s="103">
        <f>Q79/Q75</f>
        <v>0.87002777777777773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1</v>
      </c>
      <c r="Q81" s="165">
        <f>Q79/Q60</f>
        <v>0.72502314814814817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0</v>
      </c>
      <c r="Q82" s="150">
        <f>(C26/1000)/(Q79/60)</f>
        <v>41.054419079850582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0</v>
      </c>
      <c r="Q83" s="113">
        <f>(C26/1000)/(Q75/60)</f>
        <v>35.718485000000001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0</v>
      </c>
      <c r="Q84" s="100">
        <f>'1'!Q84+'2'!P84+'3'!P84+'4'!P84+'5'!P84+'6'!P84+'7'!P84+'8'!P84+'9'!P84+'10'!P84+'11'!P84+'12'!P84+'13'!P84+'14'!P84+'15'!P84+'16'!P84+'17'!P84+'18'!P84+'19'!P84+'20'!P86+'21'!P84+'22'!P85+'23'!P84+'24'!P84+'25'!P84+'26'!P84+'27'!P84+'28'!P84+'29'!P84+'30'!P84</f>
        <v>690137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 t="e">
        <f>P84/(K17/1000)</f>
        <v>#DIV/0!</v>
      </c>
      <c r="Q85" s="124">
        <f>Q84/(K27/1000)</f>
        <v>32.702903863118983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0</v>
      </c>
      <c r="Q86" s="100">
        <f>'1'!Q86+'2'!P86+'3'!P86+'4'!P86+'5'!P86+'6'!P86+'7'!P86+'8'!P86+'9'!P86+'10'!P86+'11'!P86+'12'!P86+'13'!P86+'14'!P86+'15'!P86+'16'!P86+'17'!P86+'18'!P86+'19'!P86+'20'!P88+'21'!P86+'22'!P87+'23'!P86+'24'!P86+'25'!P86+'26'!P86+'27'!P86+'28'!P86+'29'!P86+'30'!P86</f>
        <v>3974.93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>
        <f>(Q86*1000)/(K26/1000)</f>
        <v>189.03239910687631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0</v>
      </c>
      <c r="Q88" s="100">
        <f>'1'!Q88+'2'!P88+'3'!P88+'4'!P88+'5'!P88+'6'!P88+'7'!P88+'8'!P88+'9'!P88+'10'!P88+'11'!P88+'12'!P88+'13'!P88+'14'!P88+'15'!P88+'16'!P88+'17'!P88+'18'!P88+'19'!P88+'20'!P90+'21'!P88+'22'!P89+'23'!P88+'24'!P88+'25'!P88+'26'!P88+'27'!P88+'28'!P88+'29'!P88+'30'!P88</f>
        <v>2270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124">
        <f>Q88/(K26/1000)</f>
        <v>0.10795247865311068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8">
    <mergeCell ref="A2:Q2"/>
    <mergeCell ref="A3:Q3"/>
    <mergeCell ref="A4:F4"/>
    <mergeCell ref="G4:N4"/>
    <mergeCell ref="A5:C5"/>
    <mergeCell ref="D5:F5"/>
    <mergeCell ref="G5:L5"/>
    <mergeCell ref="M5:N5"/>
    <mergeCell ref="J53:J54"/>
    <mergeCell ref="L53:N54"/>
    <mergeCell ref="O53:O54"/>
    <mergeCell ref="P53:P54"/>
    <mergeCell ref="Q53:Q54"/>
    <mergeCell ref="L55:N55"/>
    <mergeCell ref="L56:N56"/>
    <mergeCell ref="D55:I55"/>
    <mergeCell ref="D56:I56"/>
    <mergeCell ref="A17:J17"/>
    <mergeCell ref="A19:F19"/>
    <mergeCell ref="G19:N19"/>
    <mergeCell ref="A20:C20"/>
    <mergeCell ref="D20:F20"/>
    <mergeCell ref="G20:L20"/>
    <mergeCell ref="M20:N20"/>
    <mergeCell ref="A21:A26"/>
    <mergeCell ref="A27:J27"/>
    <mergeCell ref="A51:Q51"/>
    <mergeCell ref="C53:C54"/>
    <mergeCell ref="D53:I54"/>
    <mergeCell ref="D59:I59"/>
    <mergeCell ref="L64:N64"/>
    <mergeCell ref="D57:I57"/>
    <mergeCell ref="L62:N62"/>
    <mergeCell ref="D60:I60"/>
    <mergeCell ref="L57:N57"/>
    <mergeCell ref="L58:N58"/>
    <mergeCell ref="L59:N59"/>
    <mergeCell ref="L60:N60"/>
    <mergeCell ref="D61:I61"/>
    <mergeCell ref="D58:I58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D68:I68"/>
    <mergeCell ref="L70:N70"/>
    <mergeCell ref="D69:I69"/>
    <mergeCell ref="L68:N68"/>
    <mergeCell ref="D70:I70"/>
    <mergeCell ref="L69:N69"/>
    <mergeCell ref="L84:N85"/>
    <mergeCell ref="L86:N87"/>
    <mergeCell ref="L88:N89"/>
    <mergeCell ref="N91:O91"/>
    <mergeCell ref="P91:Q91"/>
    <mergeCell ref="L81:N81"/>
    <mergeCell ref="D77:I77"/>
    <mergeCell ref="L82:N82"/>
    <mergeCell ref="D78:I78"/>
    <mergeCell ref="L83:N83"/>
    <mergeCell ref="D79:I79"/>
    <mergeCell ref="L80:N80"/>
    <mergeCell ref="L77:N77"/>
    <mergeCell ref="L78:N78"/>
    <mergeCell ref="L79:N79"/>
    <mergeCell ref="D76:I76"/>
    <mergeCell ref="L76:N76"/>
    <mergeCell ref="S71:T71"/>
    <mergeCell ref="S72:T72"/>
    <mergeCell ref="S73:T73"/>
    <mergeCell ref="S74:T74"/>
    <mergeCell ref="D75:I75"/>
    <mergeCell ref="L74:N74"/>
    <mergeCell ref="L75:N75"/>
    <mergeCell ref="D71:I71"/>
    <mergeCell ref="L73:N73"/>
    <mergeCell ref="D72:I72"/>
    <mergeCell ref="D73:I73"/>
    <mergeCell ref="D74:I74"/>
    <mergeCell ref="L71:N71"/>
    <mergeCell ref="L72:N72"/>
  </mergeCells>
  <pageMargins left="0.7" right="0.7" top="0.25" bottom="0.25" header="0.3" footer="0.3"/>
  <pageSetup paperSize="9" scale="78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4"/>
  <sheetViews>
    <sheetView topLeftCell="B49" zoomScaleNormal="100" workbookViewId="0">
      <selection activeCell="R59" sqref="R59"/>
    </sheetView>
  </sheetViews>
  <sheetFormatPr defaultRowHeight="16.5" x14ac:dyDescent="0.3"/>
  <cols>
    <col min="1" max="1" width="8.85546875" style="383" customWidth="1"/>
    <col min="2" max="2" width="9.28515625" style="383" customWidth="1"/>
    <col min="3" max="3" width="10.140625" style="383" customWidth="1"/>
    <col min="4" max="4" width="7.85546875" style="383" customWidth="1"/>
    <col min="5" max="5" width="8.85546875" style="383" customWidth="1"/>
    <col min="6" max="6" width="9.28515625" style="383" customWidth="1"/>
    <col min="7" max="7" width="7.85546875" style="383" customWidth="1"/>
    <col min="8" max="8" width="9.28515625" style="383" customWidth="1"/>
    <col min="9" max="9" width="11.7109375" style="383" customWidth="1"/>
    <col min="10" max="10" width="7.85546875" style="383" customWidth="1"/>
    <col min="11" max="11" width="10.28515625" style="383" customWidth="1"/>
    <col min="12" max="14" width="7.85546875" style="383" customWidth="1"/>
    <col min="15" max="15" width="11" style="383" customWidth="1"/>
    <col min="16" max="16" width="8.85546875" style="383" customWidth="1"/>
    <col min="17" max="17" width="10.28515625" style="383" customWidth="1"/>
    <col min="18" max="18" width="8.7109375" style="383" customWidth="1"/>
    <col min="19" max="16384" width="9.140625" style="383"/>
  </cols>
  <sheetData>
    <row r="1" spans="1:17" x14ac:dyDescent="0.3">
      <c r="A1" s="1" t="s">
        <v>0</v>
      </c>
      <c r="B1" s="2" t="s">
        <v>1</v>
      </c>
      <c r="C1" s="3"/>
      <c r="D1" s="4"/>
      <c r="E1" s="4"/>
      <c r="F1" s="4"/>
      <c r="G1" s="5"/>
      <c r="H1" s="6"/>
      <c r="I1" s="6"/>
      <c r="J1" s="6"/>
      <c r="K1" s="6"/>
      <c r="L1" s="6"/>
      <c r="M1" s="6"/>
      <c r="N1" s="135"/>
      <c r="O1" s="135"/>
      <c r="P1" s="7" t="s">
        <v>2</v>
      </c>
      <c r="Q1" s="8" t="s">
        <v>3</v>
      </c>
    </row>
    <row r="2" spans="1:17" x14ac:dyDescent="0.3">
      <c r="A2" s="527" t="s">
        <v>4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  <c r="O2" s="528"/>
      <c r="P2" s="528"/>
      <c r="Q2" s="529"/>
    </row>
    <row r="3" spans="1:17" x14ac:dyDescent="0.3">
      <c r="A3" s="537">
        <f>'30'!A3:Q3+1</f>
        <v>46053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x14ac:dyDescent="0.3">
      <c r="A4" s="513" t="s">
        <v>5</v>
      </c>
      <c r="B4" s="539"/>
      <c r="C4" s="539"/>
      <c r="D4" s="539"/>
      <c r="E4" s="539"/>
      <c r="F4" s="472"/>
      <c r="G4" s="513" t="s">
        <v>6</v>
      </c>
      <c r="H4" s="539"/>
      <c r="I4" s="539"/>
      <c r="J4" s="539"/>
      <c r="K4" s="539"/>
      <c r="L4" s="539"/>
      <c r="M4" s="539"/>
      <c r="N4" s="536"/>
      <c r="O4" s="134"/>
      <c r="P4" s="134"/>
      <c r="Q4" s="134"/>
    </row>
    <row r="5" spans="1:17" x14ac:dyDescent="0.3">
      <c r="A5" s="517" t="s">
        <v>7</v>
      </c>
      <c r="B5" s="518"/>
      <c r="C5" s="472"/>
      <c r="D5" s="519" t="s">
        <v>8</v>
      </c>
      <c r="E5" s="519"/>
      <c r="F5" s="519"/>
      <c r="G5" s="540" t="s">
        <v>9</v>
      </c>
      <c r="H5" s="541"/>
      <c r="I5" s="541"/>
      <c r="J5" s="541"/>
      <c r="K5" s="541"/>
      <c r="L5" s="542"/>
      <c r="M5" s="517" t="s">
        <v>10</v>
      </c>
      <c r="N5" s="536"/>
      <c r="O5" s="134"/>
      <c r="P5" s="134"/>
      <c r="Q5" s="134"/>
    </row>
    <row r="6" spans="1:17" x14ac:dyDescent="0.3">
      <c r="A6" s="379" t="s">
        <v>11</v>
      </c>
      <c r="B6" s="379" t="s">
        <v>12</v>
      </c>
      <c r="C6" s="379" t="s">
        <v>13</v>
      </c>
      <c r="D6" s="379" t="s">
        <v>12</v>
      </c>
      <c r="E6" s="379" t="s">
        <v>13</v>
      </c>
      <c r="F6" s="9" t="s">
        <v>14</v>
      </c>
      <c r="G6" s="10" t="s">
        <v>15</v>
      </c>
      <c r="H6" s="11" t="s">
        <v>16</v>
      </c>
      <c r="I6" s="11" t="s">
        <v>17</v>
      </c>
      <c r="J6" s="12" t="s">
        <v>18</v>
      </c>
      <c r="K6" s="379" t="s">
        <v>13</v>
      </c>
      <c r="L6" s="9" t="s">
        <v>19</v>
      </c>
      <c r="M6" s="13" t="s">
        <v>18</v>
      </c>
      <c r="N6" s="379" t="s">
        <v>13</v>
      </c>
      <c r="O6" s="134"/>
      <c r="P6" s="134"/>
      <c r="Q6" s="134"/>
    </row>
    <row r="7" spans="1:17" x14ac:dyDescent="0.3">
      <c r="A7" s="14"/>
      <c r="B7" s="15"/>
      <c r="C7" s="15"/>
      <c r="D7" s="16"/>
      <c r="E7" s="17"/>
      <c r="F7" s="18"/>
      <c r="G7" s="19" t="s">
        <v>1</v>
      </c>
      <c r="H7" s="20"/>
      <c r="I7" s="21"/>
      <c r="J7" s="22"/>
      <c r="K7" s="17"/>
      <c r="L7" s="23" t="e">
        <f t="shared" ref="L7:L16" si="0">K7/C7</f>
        <v>#DIV/0!</v>
      </c>
      <c r="M7" s="17"/>
      <c r="N7" s="22"/>
      <c r="O7" s="134"/>
      <c r="P7" s="134"/>
      <c r="Q7" s="134"/>
    </row>
    <row r="8" spans="1:17" x14ac:dyDescent="0.3">
      <c r="A8" s="24"/>
      <c r="B8" s="25"/>
      <c r="C8" s="25"/>
      <c r="D8" s="26"/>
      <c r="E8" s="27"/>
      <c r="F8" s="28"/>
      <c r="G8" s="29" t="s">
        <v>1</v>
      </c>
      <c r="H8" s="30"/>
      <c r="I8" s="31"/>
      <c r="J8" s="32"/>
      <c r="K8" s="33"/>
      <c r="L8" s="34" t="e">
        <f t="shared" si="0"/>
        <v>#DIV/0!</v>
      </c>
      <c r="M8" s="33"/>
      <c r="N8" s="32"/>
      <c r="O8" s="135"/>
      <c r="P8" s="135"/>
      <c r="Q8" s="135"/>
    </row>
    <row r="9" spans="1:17" x14ac:dyDescent="0.3">
      <c r="A9" s="24"/>
      <c r="B9" s="25"/>
      <c r="C9" s="25"/>
      <c r="D9" s="26"/>
      <c r="E9" s="27"/>
      <c r="F9" s="28"/>
      <c r="G9" s="29" t="s">
        <v>1</v>
      </c>
      <c r="H9" s="30"/>
      <c r="I9" s="31"/>
      <c r="J9" s="32"/>
      <c r="K9" s="33"/>
      <c r="L9" s="34" t="e">
        <f t="shared" si="0"/>
        <v>#DIV/0!</v>
      </c>
      <c r="M9" s="33"/>
      <c r="N9" s="32"/>
      <c r="O9" s="135"/>
      <c r="P9" s="135"/>
      <c r="Q9" s="135"/>
    </row>
    <row r="10" spans="1:17" x14ac:dyDescent="0.3">
      <c r="A10" s="35"/>
      <c r="B10" s="36"/>
      <c r="C10" s="36"/>
      <c r="D10" s="37"/>
      <c r="E10" s="38"/>
      <c r="F10" s="18"/>
      <c r="G10" s="39" t="s">
        <v>1</v>
      </c>
      <c r="H10" s="40"/>
      <c r="I10" s="31"/>
      <c r="J10" s="41"/>
      <c r="K10" s="42"/>
      <c r="L10" s="34" t="e">
        <f t="shared" si="0"/>
        <v>#DIV/0!</v>
      </c>
      <c r="M10" s="33"/>
      <c r="N10" s="32"/>
      <c r="O10" s="135"/>
      <c r="P10" s="135"/>
      <c r="Q10" s="135"/>
    </row>
    <row r="11" spans="1:17" x14ac:dyDescent="0.3">
      <c r="A11" s="35"/>
      <c r="B11" s="36"/>
      <c r="C11" s="36"/>
      <c r="D11" s="37"/>
      <c r="E11" s="38"/>
      <c r="F11" s="18"/>
      <c r="G11" s="39" t="s">
        <v>1</v>
      </c>
      <c r="H11" s="40"/>
      <c r="I11" s="31"/>
      <c r="J11" s="41"/>
      <c r="K11" s="42"/>
      <c r="L11" s="34" t="e">
        <f t="shared" si="0"/>
        <v>#DIV/0!</v>
      </c>
      <c r="M11" s="33"/>
      <c r="N11" s="32"/>
      <c r="O11" s="135"/>
      <c r="P11" s="135"/>
      <c r="Q11" s="135"/>
    </row>
    <row r="12" spans="1:17" x14ac:dyDescent="0.3">
      <c r="A12" s="35"/>
      <c r="B12" s="36"/>
      <c r="C12" s="36"/>
      <c r="D12" s="37"/>
      <c r="E12" s="38"/>
      <c r="F12" s="18"/>
      <c r="G12" s="39" t="s">
        <v>1</v>
      </c>
      <c r="H12" s="40"/>
      <c r="I12" s="31"/>
      <c r="J12" s="41"/>
      <c r="K12" s="42"/>
      <c r="L12" s="34" t="e">
        <f t="shared" si="0"/>
        <v>#DIV/0!</v>
      </c>
      <c r="M12" s="33"/>
      <c r="N12" s="32"/>
      <c r="O12" s="135"/>
      <c r="P12" s="135"/>
      <c r="Q12" s="135"/>
    </row>
    <row r="13" spans="1:17" x14ac:dyDescent="0.3">
      <c r="A13" s="35"/>
      <c r="B13" s="36"/>
      <c r="C13" s="36"/>
      <c r="D13" s="37"/>
      <c r="E13" s="38"/>
      <c r="F13" s="18"/>
      <c r="G13" s="39" t="s">
        <v>1</v>
      </c>
      <c r="H13" s="40"/>
      <c r="I13" s="31"/>
      <c r="J13" s="41"/>
      <c r="K13" s="42"/>
      <c r="L13" s="34" t="e">
        <f t="shared" si="0"/>
        <v>#DIV/0!</v>
      </c>
      <c r="M13" s="33"/>
      <c r="N13" s="32"/>
      <c r="O13" s="135"/>
      <c r="P13" s="135"/>
      <c r="Q13" s="135"/>
    </row>
    <row r="14" spans="1:17" x14ac:dyDescent="0.3">
      <c r="A14" s="35"/>
      <c r="B14" s="36"/>
      <c r="C14" s="36"/>
      <c r="D14" s="37"/>
      <c r="E14" s="38"/>
      <c r="F14" s="18"/>
      <c r="G14" s="39" t="s">
        <v>1</v>
      </c>
      <c r="H14" s="40"/>
      <c r="I14" s="31"/>
      <c r="J14" s="41"/>
      <c r="K14" s="42"/>
      <c r="L14" s="34" t="e">
        <f t="shared" si="0"/>
        <v>#DIV/0!</v>
      </c>
      <c r="M14" s="43"/>
      <c r="N14" s="44"/>
      <c r="O14" s="135"/>
      <c r="P14" s="135"/>
      <c r="Q14" s="135"/>
    </row>
    <row r="15" spans="1:17" x14ac:dyDescent="0.3">
      <c r="A15" s="35"/>
      <c r="B15" s="36"/>
      <c r="C15" s="36"/>
      <c r="D15" s="37"/>
      <c r="E15" s="38"/>
      <c r="F15" s="45"/>
      <c r="G15" s="39" t="s">
        <v>1</v>
      </c>
      <c r="H15" s="40"/>
      <c r="I15" s="31"/>
      <c r="J15" s="41"/>
      <c r="K15" s="42"/>
      <c r="L15" s="34" t="e">
        <f t="shared" si="0"/>
        <v>#DIV/0!</v>
      </c>
      <c r="M15" s="46"/>
      <c r="N15" s="47"/>
      <c r="O15" s="135"/>
      <c r="P15" s="135"/>
      <c r="Q15" s="135"/>
    </row>
    <row r="16" spans="1:17" x14ac:dyDescent="0.3">
      <c r="A16" s="48"/>
      <c r="B16" s="48">
        <f>SUM(B7:B15)</f>
        <v>0</v>
      </c>
      <c r="C16" s="48">
        <f>SUM(C7:C15)</f>
        <v>0</v>
      </c>
      <c r="D16" s="49">
        <f>SUM(D7:D15)</f>
        <v>0</v>
      </c>
      <c r="E16" s="50">
        <f>SUM(E7:E15)</f>
        <v>0</v>
      </c>
      <c r="F16" s="51" t="e">
        <f>E16/C16</f>
        <v>#DIV/0!</v>
      </c>
      <c r="G16" s="52"/>
      <c r="H16" s="2"/>
      <c r="I16" s="2"/>
      <c r="J16" s="53">
        <f>SUM(J7:J15)</f>
        <v>0</v>
      </c>
      <c r="K16" s="53">
        <f>SUM(K7:K15)</f>
        <v>0</v>
      </c>
      <c r="L16" s="51" t="e">
        <f t="shared" si="0"/>
        <v>#DIV/0!</v>
      </c>
      <c r="M16" s="50">
        <f>SUM(M7:M15)</f>
        <v>0</v>
      </c>
      <c r="N16" s="54">
        <f>SUM(N7:N15)</f>
        <v>0</v>
      </c>
      <c r="O16" s="134"/>
      <c r="P16" s="134"/>
      <c r="Q16" s="134"/>
    </row>
    <row r="17" spans="1:17" x14ac:dyDescent="0.3">
      <c r="A17" s="511" t="s">
        <v>20</v>
      </c>
      <c r="B17" s="511"/>
      <c r="C17" s="511"/>
      <c r="D17" s="511"/>
      <c r="E17" s="511"/>
      <c r="F17" s="511"/>
      <c r="G17" s="511"/>
      <c r="H17" s="511"/>
      <c r="I17" s="511"/>
      <c r="J17" s="512"/>
      <c r="K17" s="53">
        <f>K16+N16</f>
        <v>0</v>
      </c>
      <c r="L17" s="51" t="e">
        <f>K17/C16</f>
        <v>#DIV/0!</v>
      </c>
      <c r="M17" s="134"/>
      <c r="N17" s="134"/>
      <c r="O17" s="134"/>
      <c r="P17" s="134"/>
      <c r="Q17" s="134"/>
    </row>
    <row r="18" spans="1:17" x14ac:dyDescent="0.3">
      <c r="A18" s="5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135"/>
      <c r="P18" s="135"/>
      <c r="Q18" s="135"/>
    </row>
    <row r="19" spans="1:17" x14ac:dyDescent="0.3">
      <c r="A19" s="513" t="s">
        <v>5</v>
      </c>
      <c r="B19" s="514"/>
      <c r="C19" s="514"/>
      <c r="D19" s="514"/>
      <c r="E19" s="514"/>
      <c r="F19" s="515"/>
      <c r="G19" s="513" t="s">
        <v>6</v>
      </c>
      <c r="H19" s="516"/>
      <c r="I19" s="516"/>
      <c r="J19" s="516"/>
      <c r="K19" s="516"/>
      <c r="L19" s="516"/>
      <c r="M19" s="471"/>
      <c r="N19" s="472"/>
      <c r="O19" s="134"/>
      <c r="P19" s="134"/>
      <c r="Q19" s="134"/>
    </row>
    <row r="20" spans="1:17" x14ac:dyDescent="0.3">
      <c r="A20" s="517" t="s">
        <v>7</v>
      </c>
      <c r="B20" s="518"/>
      <c r="C20" s="471"/>
      <c r="D20" s="519" t="s">
        <v>8</v>
      </c>
      <c r="E20" s="519"/>
      <c r="F20" s="519"/>
      <c r="G20" s="517" t="s">
        <v>22</v>
      </c>
      <c r="H20" s="516"/>
      <c r="I20" s="516"/>
      <c r="J20" s="471"/>
      <c r="K20" s="471"/>
      <c r="L20" s="472"/>
      <c r="M20" s="517" t="s">
        <v>10</v>
      </c>
      <c r="N20" s="472"/>
      <c r="O20" s="134"/>
      <c r="P20" s="134"/>
      <c r="Q20" s="134"/>
    </row>
    <row r="21" spans="1:17" x14ac:dyDescent="0.3">
      <c r="A21" s="520"/>
      <c r="B21" s="379" t="s">
        <v>12</v>
      </c>
      <c r="C21" s="379" t="s">
        <v>13</v>
      </c>
      <c r="D21" s="379" t="s">
        <v>12</v>
      </c>
      <c r="E21" s="379" t="s">
        <v>13</v>
      </c>
      <c r="F21" s="9" t="s">
        <v>14</v>
      </c>
      <c r="G21" s="9" t="s">
        <v>15</v>
      </c>
      <c r="H21" s="56"/>
      <c r="I21" s="56"/>
      <c r="J21" s="13" t="s">
        <v>18</v>
      </c>
      <c r="K21" s="379" t="s">
        <v>13</v>
      </c>
      <c r="L21" s="9" t="s">
        <v>19</v>
      </c>
      <c r="M21" s="13" t="s">
        <v>18</v>
      </c>
      <c r="N21" s="379" t="s">
        <v>13</v>
      </c>
      <c r="O21" s="134"/>
      <c r="P21" s="134"/>
      <c r="Q21" s="134"/>
    </row>
    <row r="22" spans="1:17" x14ac:dyDescent="0.3">
      <c r="A22" s="521"/>
      <c r="B22" s="57">
        <f>'30'!B22+'31'!B16</f>
        <v>8552</v>
      </c>
      <c r="C22" s="57">
        <f>'30'!C22+'31'!C16</f>
        <v>18074564</v>
      </c>
      <c r="D22" s="57">
        <f>'30'!D22+'31'!D16</f>
        <v>15</v>
      </c>
      <c r="E22" s="57">
        <f>'30'!E22+'31'!E16</f>
        <v>31699</v>
      </c>
      <c r="F22" s="423">
        <f>E22/C22</f>
        <v>1.7537905755292355E-3</v>
      </c>
      <c r="G22" s="58" t="s">
        <v>1</v>
      </c>
      <c r="H22" s="59"/>
      <c r="I22" s="59"/>
      <c r="J22" s="57">
        <f>'30'!J22+'31'!J16</f>
        <v>8509</v>
      </c>
      <c r="K22" s="57">
        <f>'30'!K22+'31'!K16</f>
        <v>17753607</v>
      </c>
      <c r="L22" s="60">
        <f>K22/C22</f>
        <v>0.98224261453830919</v>
      </c>
      <c r="M22" s="57">
        <f>'30'!M22+'31'!M16</f>
        <v>28</v>
      </c>
      <c r="N22" s="57">
        <f>'30'!N22+'31'!N16</f>
        <v>57472</v>
      </c>
      <c r="O22" s="135"/>
      <c r="P22" s="135"/>
      <c r="Q22" s="135"/>
    </row>
    <row r="23" spans="1:17" x14ac:dyDescent="0.3">
      <c r="A23" s="521"/>
      <c r="B23" s="61">
        <f>'30'!B23</f>
        <v>1600</v>
      </c>
      <c r="C23" s="61">
        <f>'30'!C23</f>
        <v>3356527</v>
      </c>
      <c r="D23" s="61">
        <f>'30'!D23</f>
        <v>9</v>
      </c>
      <c r="E23" s="61">
        <f>'30'!E23</f>
        <v>18918</v>
      </c>
      <c r="F23" s="424">
        <f>E23/C23</f>
        <v>5.6361828759309849E-3</v>
      </c>
      <c r="G23" s="381" t="s">
        <v>195</v>
      </c>
      <c r="H23" s="59"/>
      <c r="I23" s="59"/>
      <c r="J23" s="61">
        <f>'30'!J23</f>
        <v>1582</v>
      </c>
      <c r="K23" s="61">
        <f>'30'!K23</f>
        <v>3274164</v>
      </c>
      <c r="L23" s="382">
        <f t="shared" ref="L23:L24" si="1">K23/C23</f>
        <v>0.97546183897820571</v>
      </c>
      <c r="M23" s="61">
        <f>'30'!M23</f>
        <v>9</v>
      </c>
      <c r="N23" s="61">
        <f>'30'!N23</f>
        <v>17990</v>
      </c>
      <c r="O23" s="135"/>
      <c r="P23" s="135"/>
      <c r="Q23" s="135"/>
    </row>
    <row r="24" spans="1:17" x14ac:dyDescent="0.3">
      <c r="A24" s="521"/>
      <c r="B24" s="61">
        <f>'30'!B24</f>
        <v>0</v>
      </c>
      <c r="C24" s="61">
        <f>'30'!C24</f>
        <v>0</v>
      </c>
      <c r="D24" s="61">
        <f>'30'!D24</f>
        <v>0</v>
      </c>
      <c r="E24" s="61">
        <f>'30'!E24</f>
        <v>0</v>
      </c>
      <c r="F24" s="424" t="e">
        <f t="shared" ref="F24" si="2">E24/C24</f>
        <v>#DIV/0!</v>
      </c>
      <c r="G24" s="381" t="s">
        <v>196</v>
      </c>
      <c r="H24" s="59"/>
      <c r="I24" s="59"/>
      <c r="J24" s="61">
        <f>'30'!J24</f>
        <v>0</v>
      </c>
      <c r="K24" s="61">
        <f>'30'!K24</f>
        <v>0</v>
      </c>
      <c r="L24" s="382" t="e">
        <f t="shared" si="1"/>
        <v>#DIV/0!</v>
      </c>
      <c r="M24" s="61">
        <f>'30'!M24</f>
        <v>0</v>
      </c>
      <c r="N24" s="61">
        <f>'30'!N24</f>
        <v>0</v>
      </c>
      <c r="O24" s="135"/>
      <c r="P24" s="135"/>
      <c r="Q24" s="135"/>
    </row>
    <row r="25" spans="1:17" x14ac:dyDescent="0.3">
      <c r="A25" s="521"/>
      <c r="B25" s="61"/>
      <c r="C25" s="62"/>
      <c r="D25" s="63"/>
      <c r="E25" s="64"/>
      <c r="F25" s="34"/>
      <c r="G25" s="34"/>
      <c r="H25" s="133"/>
      <c r="I25" s="133"/>
      <c r="J25" s="65"/>
      <c r="K25" s="62"/>
      <c r="L25" s="34"/>
      <c r="M25" s="65"/>
      <c r="N25" s="66"/>
      <c r="O25" s="135"/>
      <c r="P25" s="135"/>
      <c r="Q25" s="135"/>
    </row>
    <row r="26" spans="1:17" x14ac:dyDescent="0.3">
      <c r="A26" s="522"/>
      <c r="B26" s="67">
        <f>SUM(B21:B25)</f>
        <v>10152</v>
      </c>
      <c r="C26" s="68">
        <f>SUM(C21:C25)</f>
        <v>21431091</v>
      </c>
      <c r="D26" s="49">
        <f>SUM(D21:D25)</f>
        <v>24</v>
      </c>
      <c r="E26" s="69">
        <f>SUM(E22:E25)</f>
        <v>50617</v>
      </c>
      <c r="F26" s="51">
        <f>E26/C26</f>
        <v>2.3618489604658949E-3</v>
      </c>
      <c r="G26" s="51"/>
      <c r="H26" s="70"/>
      <c r="I26" s="70"/>
      <c r="J26" s="71">
        <f>SUM(J22:J25)</f>
        <v>10091</v>
      </c>
      <c r="K26" s="68">
        <f>SUM(K22:K25)</f>
        <v>21027771</v>
      </c>
      <c r="L26" s="51">
        <f>K26/C26</f>
        <v>0.98118061278354896</v>
      </c>
      <c r="M26" s="71">
        <f>SUM(M22:M25)</f>
        <v>37</v>
      </c>
      <c r="N26" s="54">
        <f>SUM(N22:N25)</f>
        <v>75462</v>
      </c>
      <c r="O26" s="134"/>
      <c r="P26" s="134"/>
      <c r="Q26" s="134"/>
    </row>
    <row r="27" spans="1:17" x14ac:dyDescent="0.3">
      <c r="A27" s="523" t="s">
        <v>20</v>
      </c>
      <c r="B27" s="524"/>
      <c r="C27" s="524"/>
      <c r="D27" s="525"/>
      <c r="E27" s="525"/>
      <c r="F27" s="525"/>
      <c r="G27" s="525"/>
      <c r="H27" s="525"/>
      <c r="I27" s="525"/>
      <c r="J27" s="526"/>
      <c r="K27" s="68">
        <f>K26+N26</f>
        <v>21103233</v>
      </c>
      <c r="L27" s="51">
        <f>K27/C26</f>
        <v>0.98470175876720412</v>
      </c>
      <c r="M27" s="134"/>
      <c r="N27" s="134"/>
      <c r="O27" s="134"/>
      <c r="P27" s="134"/>
      <c r="Q27" s="134"/>
    </row>
    <row r="28" spans="1:17" x14ac:dyDescent="0.3">
      <c r="A28" s="72"/>
      <c r="B28" s="73"/>
      <c r="C28" s="73"/>
      <c r="D28" s="135"/>
      <c r="E28" s="135"/>
      <c r="F28" s="135"/>
      <c r="G28" s="135"/>
      <c r="H28" s="135"/>
      <c r="I28" s="135"/>
      <c r="J28" s="135"/>
      <c r="K28" s="74"/>
      <c r="L28" s="75"/>
      <c r="M28" s="135"/>
      <c r="N28" s="135"/>
      <c r="O28" s="135"/>
      <c r="P28" s="135"/>
      <c r="Q28" s="135"/>
    </row>
    <row r="29" spans="1:17" x14ac:dyDescent="0.3">
      <c r="A29" s="11" t="s">
        <v>15</v>
      </c>
      <c r="B29" s="11" t="s">
        <v>16</v>
      </c>
      <c r="C29" s="11" t="s">
        <v>17</v>
      </c>
      <c r="D29" s="11" t="s">
        <v>18</v>
      </c>
      <c r="E29" s="11" t="s">
        <v>13</v>
      </c>
      <c r="F29" s="76"/>
      <c r="G29" s="11" t="s">
        <v>15</v>
      </c>
      <c r="H29" s="11" t="s">
        <v>16</v>
      </c>
      <c r="I29" s="11" t="s">
        <v>17</v>
      </c>
      <c r="J29" s="11" t="s">
        <v>18</v>
      </c>
      <c r="K29" s="11" t="s">
        <v>13</v>
      </c>
      <c r="L29" s="76"/>
      <c r="M29" s="11" t="s">
        <v>15</v>
      </c>
      <c r="N29" s="11" t="s">
        <v>16</v>
      </c>
      <c r="O29" s="11" t="s">
        <v>17</v>
      </c>
      <c r="P29" s="11" t="s">
        <v>18</v>
      </c>
      <c r="Q29" s="11" t="s">
        <v>13</v>
      </c>
    </row>
    <row r="30" spans="1:17" x14ac:dyDescent="0.3">
      <c r="A30" s="307" t="str">
        <f>'30'!A30</f>
        <v>BIC</v>
      </c>
      <c r="B30" s="307" t="str">
        <f>'30'!B30</f>
        <v>P.6</v>
      </c>
      <c r="C30" s="307" t="str">
        <f>'30'!C30</f>
        <v>BjTPG280</v>
      </c>
      <c r="D30" s="308">
        <f>'30'!D30</f>
        <v>239</v>
      </c>
      <c r="E30" s="308">
        <f>'30'!E30</f>
        <v>497038</v>
      </c>
      <c r="F30" s="79"/>
      <c r="G30" s="307" t="str">
        <f>'30'!G30</f>
        <v>WR</v>
      </c>
      <c r="H30" s="309">
        <f>'30'!H30</f>
        <v>18</v>
      </c>
      <c r="I30" s="309">
        <f>'30'!I30</f>
        <v>8</v>
      </c>
      <c r="J30" s="170">
        <f>'30'!J30</f>
        <v>68</v>
      </c>
      <c r="K30" s="310">
        <f>'30'!K30</f>
        <v>140152</v>
      </c>
      <c r="L30" s="79"/>
      <c r="M30" s="307" t="str">
        <f>'30'!M30</f>
        <v>WR</v>
      </c>
      <c r="N30" s="309">
        <f>'30'!N30</f>
        <v>0</v>
      </c>
      <c r="O30" s="309">
        <f>'30'!O30</f>
        <v>0</v>
      </c>
      <c r="P30" s="170">
        <f>'30'!P30</f>
        <v>0</v>
      </c>
      <c r="Q30" s="310">
        <f>'30'!Q30</f>
        <v>0</v>
      </c>
    </row>
    <row r="31" spans="1:17" x14ac:dyDescent="0.3">
      <c r="A31" s="307" t="str">
        <f>'30'!A31</f>
        <v>WR</v>
      </c>
      <c r="B31" s="307">
        <f>'30'!B31</f>
        <v>6.5</v>
      </c>
      <c r="C31" s="307">
        <f>'30'!C31</f>
        <v>8</v>
      </c>
      <c r="D31" s="308">
        <f>'30'!D31</f>
        <v>180</v>
      </c>
      <c r="E31" s="308">
        <f>'30'!E31</f>
        <v>377095</v>
      </c>
      <c r="F31" s="135"/>
      <c r="G31" s="307" t="str">
        <f>'30'!G31</f>
        <v>WR</v>
      </c>
      <c r="H31" s="309">
        <f>'30'!H31</f>
        <v>7.5</v>
      </c>
      <c r="I31" s="309">
        <f>'30'!I31</f>
        <v>8</v>
      </c>
      <c r="J31" s="170">
        <f>'30'!J31</f>
        <v>96</v>
      </c>
      <c r="K31" s="310">
        <f>'30'!K31</f>
        <v>200884</v>
      </c>
      <c r="L31" s="135"/>
      <c r="M31" s="307" t="str">
        <f>'30'!M31</f>
        <v>WR</v>
      </c>
      <c r="N31" s="309">
        <f>'30'!N31</f>
        <v>0</v>
      </c>
      <c r="O31" s="309">
        <f>'30'!O31</f>
        <v>0</v>
      </c>
      <c r="P31" s="170">
        <f>'30'!P31</f>
        <v>0</v>
      </c>
      <c r="Q31" s="310">
        <f>'30'!Q31</f>
        <v>0</v>
      </c>
    </row>
    <row r="32" spans="1:17" x14ac:dyDescent="0.3">
      <c r="A32" s="307" t="str">
        <f>'30'!A32</f>
        <v>WR</v>
      </c>
      <c r="B32" s="307">
        <f>'30'!B32</f>
        <v>6.5</v>
      </c>
      <c r="C32" s="307">
        <f>'30'!C32</f>
        <v>10</v>
      </c>
      <c r="D32" s="308">
        <f>'30'!D32</f>
        <v>48</v>
      </c>
      <c r="E32" s="308">
        <f>'30'!E32</f>
        <v>99149</v>
      </c>
      <c r="F32" s="135"/>
      <c r="G32" s="307" t="str">
        <f>'30'!G32</f>
        <v>WR</v>
      </c>
      <c r="H32" s="309">
        <f>'30'!H32</f>
        <v>7.5</v>
      </c>
      <c r="I32" s="309">
        <f>'30'!I32</f>
        <v>15</v>
      </c>
      <c r="J32" s="170">
        <f>'30'!J32</f>
        <v>543</v>
      </c>
      <c r="K32" s="310">
        <f>'30'!K32</f>
        <v>1124422</v>
      </c>
      <c r="L32" s="135"/>
      <c r="M32" s="307" t="str">
        <f>'30'!M32</f>
        <v>WR</v>
      </c>
      <c r="N32" s="309">
        <f>'30'!N32</f>
        <v>0</v>
      </c>
      <c r="O32" s="309">
        <f>'30'!O32</f>
        <v>0</v>
      </c>
      <c r="P32" s="170">
        <f>'30'!P32</f>
        <v>0</v>
      </c>
      <c r="Q32" s="310">
        <f>'30'!Q32</f>
        <v>0</v>
      </c>
    </row>
    <row r="33" spans="1:17" x14ac:dyDescent="0.3">
      <c r="A33" s="307" t="str">
        <f>'30'!A33</f>
        <v>WR</v>
      </c>
      <c r="B33" s="307">
        <f>'30'!B33</f>
        <v>6.5</v>
      </c>
      <c r="C33" s="307">
        <f>'30'!C33</f>
        <v>15</v>
      </c>
      <c r="D33" s="308">
        <f>'30'!D33</f>
        <v>6</v>
      </c>
      <c r="E33" s="308">
        <f>'30'!E33</f>
        <v>12304</v>
      </c>
      <c r="F33" s="135"/>
      <c r="G33" s="307" t="str">
        <f>'30'!G33</f>
        <v>WR</v>
      </c>
      <c r="H33" s="309">
        <f>'30'!H33</f>
        <v>5.5</v>
      </c>
      <c r="I33" s="309">
        <f>'30'!I33</f>
        <v>22</v>
      </c>
      <c r="J33" s="170">
        <f>'30'!J33</f>
        <v>436</v>
      </c>
      <c r="K33" s="310">
        <f>'30'!K33</f>
        <v>893285</v>
      </c>
      <c r="L33" s="135"/>
      <c r="M33" s="307" t="str">
        <f>'30'!M33</f>
        <v>WR</v>
      </c>
      <c r="N33" s="309">
        <f>'30'!N33</f>
        <v>0</v>
      </c>
      <c r="O33" s="309">
        <f>'30'!O33</f>
        <v>0</v>
      </c>
      <c r="P33" s="170">
        <f>'30'!P33</f>
        <v>0</v>
      </c>
      <c r="Q33" s="310">
        <f>'30'!Q33</f>
        <v>0</v>
      </c>
    </row>
    <row r="34" spans="1:17" x14ac:dyDescent="0.3">
      <c r="A34" s="307" t="str">
        <f>'30'!A34</f>
        <v>WR</v>
      </c>
      <c r="B34" s="307">
        <f>'30'!B34</f>
        <v>5.5</v>
      </c>
      <c r="C34" s="307">
        <f>'30'!C34</f>
        <v>6</v>
      </c>
      <c r="D34" s="308">
        <f>'30'!D34</f>
        <v>995</v>
      </c>
      <c r="E34" s="308">
        <f>'30'!E34</f>
        <v>2086453</v>
      </c>
      <c r="F34" s="135"/>
      <c r="G34" s="307" t="str">
        <f>'30'!G34</f>
        <v>WR</v>
      </c>
      <c r="H34" s="309">
        <f>'30'!H34</f>
        <v>5.5</v>
      </c>
      <c r="I34" s="309">
        <f>'30'!I34</f>
        <v>1045</v>
      </c>
      <c r="J34" s="170">
        <f>'30'!J34</f>
        <v>50</v>
      </c>
      <c r="K34" s="310">
        <f>'30'!K34</f>
        <v>104556</v>
      </c>
      <c r="L34" s="135"/>
      <c r="M34" s="307" t="str">
        <f>'30'!M34</f>
        <v>WR</v>
      </c>
      <c r="N34" s="309">
        <f>'30'!N34</f>
        <v>0</v>
      </c>
      <c r="O34" s="309">
        <f>'30'!O34</f>
        <v>0</v>
      </c>
      <c r="P34" s="170">
        <f>'30'!P34</f>
        <v>0</v>
      </c>
      <c r="Q34" s="310">
        <f>'30'!Q34</f>
        <v>0</v>
      </c>
    </row>
    <row r="35" spans="1:17" x14ac:dyDescent="0.3">
      <c r="A35" s="307" t="str">
        <f>'30'!A35</f>
        <v>WR</v>
      </c>
      <c r="B35" s="307">
        <f>'30'!B35</f>
        <v>5.5</v>
      </c>
      <c r="C35" s="307" t="str">
        <f>'30'!C35</f>
        <v>8.A</v>
      </c>
      <c r="D35" s="308">
        <f>'30'!D35</f>
        <v>75</v>
      </c>
      <c r="E35" s="308">
        <f>'30'!E35</f>
        <v>157414</v>
      </c>
      <c r="F35" s="135"/>
      <c r="G35" s="307" t="str">
        <f>'30'!G35</f>
        <v>WR</v>
      </c>
      <c r="H35" s="309">
        <f>'30'!H35</f>
        <v>9.5</v>
      </c>
      <c r="I35" s="309">
        <f>'30'!I35</f>
        <v>15</v>
      </c>
      <c r="J35" s="170">
        <f>'30'!J35</f>
        <v>322</v>
      </c>
      <c r="K35" s="310">
        <f>'30'!K35</f>
        <v>664963</v>
      </c>
      <c r="L35" s="135"/>
      <c r="M35" s="307" t="str">
        <f>'30'!M35</f>
        <v>WR</v>
      </c>
      <c r="N35" s="309">
        <f>'30'!N35</f>
        <v>0</v>
      </c>
      <c r="O35" s="309">
        <f>'30'!O35</f>
        <v>0</v>
      </c>
      <c r="P35" s="170">
        <f>'30'!P35</f>
        <v>0</v>
      </c>
      <c r="Q35" s="310">
        <f>'30'!Q35</f>
        <v>0</v>
      </c>
    </row>
    <row r="36" spans="1:17" x14ac:dyDescent="0.3">
      <c r="A36" s="307" t="str">
        <f>'30'!A36</f>
        <v>WR</v>
      </c>
      <c r="B36" s="307">
        <f>'30'!B36</f>
        <v>5.5</v>
      </c>
      <c r="C36" s="307" t="str">
        <f>'30'!C36</f>
        <v>22.A</v>
      </c>
      <c r="D36" s="308">
        <f>'30'!D36</f>
        <v>813</v>
      </c>
      <c r="E36" s="308">
        <f>'30'!E36</f>
        <v>1694379</v>
      </c>
      <c r="F36" s="135"/>
      <c r="G36" s="307" t="str">
        <f>'30'!G36</f>
        <v>WR</v>
      </c>
      <c r="H36" s="309">
        <f>'30'!H36</f>
        <v>12</v>
      </c>
      <c r="I36" s="309">
        <f>'30'!I36</f>
        <v>8</v>
      </c>
      <c r="J36" s="170">
        <f>'30'!J36</f>
        <v>143</v>
      </c>
      <c r="K36" s="310">
        <f>'30'!K36</f>
        <v>298814</v>
      </c>
      <c r="L36" s="135"/>
      <c r="M36" s="307" t="str">
        <f>'30'!M36</f>
        <v>WR</v>
      </c>
      <c r="N36" s="309">
        <f>'30'!N36</f>
        <v>0</v>
      </c>
      <c r="O36" s="309">
        <f>'30'!O36</f>
        <v>0</v>
      </c>
      <c r="P36" s="170">
        <f>'30'!P36</f>
        <v>0</v>
      </c>
      <c r="Q36" s="310">
        <f>'30'!Q36</f>
        <v>0</v>
      </c>
    </row>
    <row r="37" spans="1:17" x14ac:dyDescent="0.3">
      <c r="A37" s="307" t="str">
        <f>'30'!A37</f>
        <v>WR</v>
      </c>
      <c r="B37" s="307">
        <f>'30'!B37</f>
        <v>5.5</v>
      </c>
      <c r="C37" s="307" t="str">
        <f>'30'!C37</f>
        <v>Y.11</v>
      </c>
      <c r="D37" s="308">
        <f>'30'!D37</f>
        <v>1052</v>
      </c>
      <c r="E37" s="308">
        <f>'30'!E37</f>
        <v>2198500</v>
      </c>
      <c r="F37" s="135"/>
      <c r="G37" s="307" t="str">
        <f>'30'!G37</f>
        <v>WR</v>
      </c>
      <c r="H37" s="309">
        <f>'30'!H37</f>
        <v>9</v>
      </c>
      <c r="I37" s="309">
        <f>'30'!I37</f>
        <v>8</v>
      </c>
      <c r="J37" s="170">
        <f>'30'!J37</f>
        <v>191</v>
      </c>
      <c r="K37" s="310">
        <f>'30'!K37</f>
        <v>398927</v>
      </c>
      <c r="L37" s="135"/>
      <c r="M37" s="307" t="str">
        <f>'30'!M37</f>
        <v>WR</v>
      </c>
      <c r="N37" s="309">
        <f>'30'!N37</f>
        <v>0</v>
      </c>
      <c r="O37" s="309">
        <f>'30'!O37</f>
        <v>0</v>
      </c>
      <c r="P37" s="170">
        <f>'30'!P37</f>
        <v>0</v>
      </c>
      <c r="Q37" s="310">
        <f>'30'!Q37</f>
        <v>0</v>
      </c>
    </row>
    <row r="38" spans="1:17" x14ac:dyDescent="0.3">
      <c r="A38" s="307" t="str">
        <f>'30'!A38</f>
        <v>WR</v>
      </c>
      <c r="B38" s="307">
        <f>'30'!B38</f>
        <v>5.5</v>
      </c>
      <c r="C38" s="307" t="str">
        <f>'30'!C38</f>
        <v>67.A</v>
      </c>
      <c r="D38" s="308">
        <f>'30'!D38</f>
        <v>312</v>
      </c>
      <c r="E38" s="308">
        <f>'30'!E38</f>
        <v>660228</v>
      </c>
      <c r="F38" s="135"/>
      <c r="G38" s="307" t="str">
        <f>'30'!G38</f>
        <v>WR</v>
      </c>
      <c r="H38" s="309">
        <f>'30'!H38</f>
        <v>9</v>
      </c>
      <c r="I38" s="309">
        <f>'30'!I38</f>
        <v>10</v>
      </c>
      <c r="J38" s="170">
        <f>'30'!J38</f>
        <v>48</v>
      </c>
      <c r="K38" s="310">
        <f>'30'!K38</f>
        <v>99117</v>
      </c>
      <c r="L38" s="135"/>
      <c r="M38" s="307" t="str">
        <f>'30'!M38</f>
        <v>WR</v>
      </c>
      <c r="N38" s="309">
        <f>'30'!N38</f>
        <v>0</v>
      </c>
      <c r="O38" s="309">
        <f>'30'!O38</f>
        <v>0</v>
      </c>
      <c r="P38" s="170">
        <f>'30'!P38</f>
        <v>0</v>
      </c>
      <c r="Q38" s="310">
        <f>'30'!Q38</f>
        <v>0</v>
      </c>
    </row>
    <row r="39" spans="1:17" x14ac:dyDescent="0.3">
      <c r="A39" s="307" t="str">
        <f>'30'!A39</f>
        <v>BIC</v>
      </c>
      <c r="B39" s="307" t="str">
        <f>'30'!B39</f>
        <v>P.8</v>
      </c>
      <c r="C39" s="307" t="str">
        <f>'30'!C39</f>
        <v>BjTPG280</v>
      </c>
      <c r="D39" s="308">
        <f>'30'!D39</f>
        <v>240</v>
      </c>
      <c r="E39" s="308">
        <f>'30'!E39</f>
        <v>499780</v>
      </c>
      <c r="F39" s="135"/>
      <c r="G39" s="307" t="str">
        <f>'30'!G39</f>
        <v>WR</v>
      </c>
      <c r="H39" s="309">
        <f>'30'!H39</f>
        <v>5.5</v>
      </c>
      <c r="I39" s="309">
        <f>'30'!I39</f>
        <v>15</v>
      </c>
      <c r="J39" s="170">
        <f>'30'!J39</f>
        <v>116</v>
      </c>
      <c r="K39" s="310">
        <f>'30'!K39</f>
        <v>239659</v>
      </c>
      <c r="L39" s="135"/>
      <c r="M39" s="307" t="str">
        <f>'30'!M39</f>
        <v>WR</v>
      </c>
      <c r="N39" s="309">
        <f>'30'!N39</f>
        <v>0</v>
      </c>
      <c r="O39" s="309">
        <f>'30'!O39</f>
        <v>0</v>
      </c>
      <c r="P39" s="170">
        <f>'30'!P39</f>
        <v>0</v>
      </c>
      <c r="Q39" s="310">
        <f>'30'!Q39</f>
        <v>0</v>
      </c>
    </row>
    <row r="40" spans="1:17" x14ac:dyDescent="0.3">
      <c r="A40" s="307" t="str">
        <f>'30'!A40</f>
        <v>BIC</v>
      </c>
      <c r="B40" s="307" t="str">
        <f>'30'!B40</f>
        <v>S.8</v>
      </c>
      <c r="C40" s="307" t="str">
        <f>'30'!C40</f>
        <v>BjTSG420</v>
      </c>
      <c r="D40" s="308">
        <f>'30'!D40</f>
        <v>476</v>
      </c>
      <c r="E40" s="308">
        <f>'30'!E40</f>
        <v>981350</v>
      </c>
      <c r="F40" s="135"/>
      <c r="G40" s="307" t="str">
        <f>'30'!G40</f>
        <v>WR</v>
      </c>
      <c r="H40" s="309">
        <f>'30'!H40</f>
        <v>5.5</v>
      </c>
      <c r="I40" s="309" t="str">
        <f>'30'!I40</f>
        <v>72.A</v>
      </c>
      <c r="J40" s="170">
        <f>'30'!J40</f>
        <v>48</v>
      </c>
      <c r="K40" s="310">
        <f>'30'!K40</f>
        <v>101358</v>
      </c>
      <c r="L40" s="135"/>
      <c r="M40" s="307" t="str">
        <f>'30'!M40</f>
        <v>WR</v>
      </c>
      <c r="N40" s="309">
        <f>'30'!N40</f>
        <v>0</v>
      </c>
      <c r="O40" s="309">
        <f>'30'!O40</f>
        <v>0</v>
      </c>
      <c r="P40" s="170">
        <f>'30'!P40</f>
        <v>0</v>
      </c>
      <c r="Q40" s="310">
        <f>'30'!Q40</f>
        <v>0</v>
      </c>
    </row>
    <row r="41" spans="1:17" x14ac:dyDescent="0.3">
      <c r="A41" s="307" t="str">
        <f>'30'!A41</f>
        <v>BIC</v>
      </c>
      <c r="B41" s="307" t="str">
        <f>'30'!B41</f>
        <v>S.10</v>
      </c>
      <c r="C41" s="307" t="str">
        <f>'30'!C41</f>
        <v>BjTSG420</v>
      </c>
      <c r="D41" s="308">
        <f>'30'!D41</f>
        <v>292</v>
      </c>
      <c r="E41" s="308">
        <f>'30'!E41</f>
        <v>602112</v>
      </c>
      <c r="F41" s="135"/>
      <c r="G41" s="307" t="str">
        <f>'30'!G41</f>
        <v>WR</v>
      </c>
      <c r="H41" s="309">
        <f>'30'!H41</f>
        <v>12</v>
      </c>
      <c r="I41" s="309">
        <f>'30'!I41</f>
        <v>15</v>
      </c>
      <c r="J41" s="170">
        <f>'30'!J41</f>
        <v>54</v>
      </c>
      <c r="K41" s="310">
        <f>'30'!K41</f>
        <v>111148</v>
      </c>
      <c r="L41" s="135"/>
      <c r="M41" s="307" t="str">
        <f>'30'!M41</f>
        <v>WR</v>
      </c>
      <c r="N41" s="309">
        <f>'30'!N41</f>
        <v>0</v>
      </c>
      <c r="O41" s="309">
        <f>'30'!O41</f>
        <v>0</v>
      </c>
      <c r="P41" s="170">
        <f>'30'!P41</f>
        <v>0</v>
      </c>
      <c r="Q41" s="310">
        <f>'30'!Q41</f>
        <v>0</v>
      </c>
    </row>
    <row r="42" spans="1:17" x14ac:dyDescent="0.3">
      <c r="A42" s="307" t="str">
        <f>'30'!A42</f>
        <v>WR</v>
      </c>
      <c r="B42" s="307">
        <f>'30'!B42</f>
        <v>5.5</v>
      </c>
      <c r="C42" s="307">
        <f>'30'!C42</f>
        <v>8</v>
      </c>
      <c r="D42" s="308">
        <f>'30'!D42</f>
        <v>480</v>
      </c>
      <c r="E42" s="308">
        <f>'30'!E42</f>
        <v>1006478</v>
      </c>
      <c r="F42" s="135"/>
      <c r="G42" s="307" t="str">
        <f>'30'!G42</f>
        <v>WR</v>
      </c>
      <c r="H42" s="309">
        <f>'30'!H42</f>
        <v>8.5</v>
      </c>
      <c r="I42" s="309">
        <f>'30'!I42</f>
        <v>8</v>
      </c>
      <c r="J42" s="170">
        <f>'30'!J42</f>
        <v>168</v>
      </c>
      <c r="K42" s="310">
        <f>'30'!K42</f>
        <v>351899</v>
      </c>
      <c r="L42" s="135"/>
      <c r="M42" s="307" t="str">
        <f>'30'!M42</f>
        <v>WR</v>
      </c>
      <c r="N42" s="309">
        <f>'30'!N42</f>
        <v>0</v>
      </c>
      <c r="O42" s="309">
        <f>'30'!O42</f>
        <v>0</v>
      </c>
      <c r="P42" s="170">
        <f>'30'!P42</f>
        <v>0</v>
      </c>
      <c r="Q42" s="310">
        <f>'30'!Q42</f>
        <v>0</v>
      </c>
    </row>
    <row r="43" spans="1:17" x14ac:dyDescent="0.3">
      <c r="A43" s="307" t="str">
        <f>'30'!A43</f>
        <v>WR</v>
      </c>
      <c r="B43" s="307">
        <f>'30'!B43</f>
        <v>5.5</v>
      </c>
      <c r="C43" s="307" t="str">
        <f>'30'!C43</f>
        <v>67.B</v>
      </c>
      <c r="D43" s="308">
        <f>'30'!D43</f>
        <v>288</v>
      </c>
      <c r="E43" s="308">
        <f>'30'!E43</f>
        <v>609307</v>
      </c>
      <c r="F43" s="135"/>
      <c r="G43" s="307" t="str">
        <f>'30'!G43</f>
        <v>WR</v>
      </c>
      <c r="H43" s="309">
        <f>'30'!H43</f>
        <v>7</v>
      </c>
      <c r="I43" s="309">
        <f>'30'!I43</f>
        <v>6</v>
      </c>
      <c r="J43" s="170">
        <f>'30'!J43</f>
        <v>48</v>
      </c>
      <c r="K43" s="310">
        <f>'30'!K43</f>
        <v>100641</v>
      </c>
      <c r="L43" s="135"/>
      <c r="M43" s="307" t="str">
        <f>'30'!M43</f>
        <v>WR</v>
      </c>
      <c r="N43" s="309">
        <f>'30'!N43</f>
        <v>0</v>
      </c>
      <c r="O43" s="309">
        <f>'30'!O43</f>
        <v>0</v>
      </c>
      <c r="P43" s="170">
        <f>'30'!P43</f>
        <v>0</v>
      </c>
      <c r="Q43" s="310">
        <f>'30'!Q43</f>
        <v>0</v>
      </c>
    </row>
    <row r="44" spans="1:17" x14ac:dyDescent="0.3">
      <c r="A44" s="307" t="str">
        <f>'30'!A44</f>
        <v>BIC</v>
      </c>
      <c r="B44" s="307" t="str">
        <f>'30'!B44</f>
        <v>P.10</v>
      </c>
      <c r="C44" s="307" t="str">
        <f>'30'!C44</f>
        <v>BjTPG280</v>
      </c>
      <c r="D44" s="308">
        <f>'30'!D44</f>
        <v>287</v>
      </c>
      <c r="E44" s="308">
        <f>'30'!E44</f>
        <v>595480</v>
      </c>
      <c r="F44" s="135"/>
      <c r="G44" s="307" t="str">
        <f>'30'!G44</f>
        <v>WR</v>
      </c>
      <c r="H44" s="309">
        <f>'30'!H44</f>
        <v>7</v>
      </c>
      <c r="I44" s="309">
        <f>'30'!I44</f>
        <v>8</v>
      </c>
      <c r="J44" s="170">
        <f>'30'!J44</f>
        <v>143</v>
      </c>
      <c r="K44" s="310">
        <f>'30'!K44</f>
        <v>299375</v>
      </c>
      <c r="L44" s="135"/>
      <c r="M44" s="307" t="str">
        <f>'30'!M44</f>
        <v>WR</v>
      </c>
      <c r="N44" s="309">
        <f>'30'!N44</f>
        <v>0</v>
      </c>
      <c r="O44" s="309">
        <f>'30'!O44</f>
        <v>0</v>
      </c>
      <c r="P44" s="170">
        <f>'30'!P44</f>
        <v>0</v>
      </c>
      <c r="Q44" s="310">
        <f>'30'!Q44</f>
        <v>0</v>
      </c>
    </row>
    <row r="45" spans="1:17" x14ac:dyDescent="0.3">
      <c r="A45" s="307" t="str">
        <f>'30'!A45</f>
        <v>BIC</v>
      </c>
      <c r="B45" s="307" t="str">
        <f>'30'!B45</f>
        <v>S.6</v>
      </c>
      <c r="C45" s="307" t="str">
        <f>'30'!C45</f>
        <v>BjTSG420</v>
      </c>
      <c r="D45" s="308">
        <f>'30'!D45</f>
        <v>48</v>
      </c>
      <c r="E45" s="308">
        <f>'30'!E45</f>
        <v>98404</v>
      </c>
      <c r="F45" s="135"/>
      <c r="G45" s="307" t="str">
        <f>'30'!G45</f>
        <v>WR</v>
      </c>
      <c r="H45" s="309">
        <f>'30'!H45</f>
        <v>7</v>
      </c>
      <c r="I45" s="309">
        <f>'30'!I45</f>
        <v>10</v>
      </c>
      <c r="J45" s="170">
        <f>'30'!J45</f>
        <v>48</v>
      </c>
      <c r="K45" s="310">
        <f>'30'!K45</f>
        <v>98999</v>
      </c>
      <c r="L45" s="135"/>
      <c r="M45" s="307" t="str">
        <f>'30'!M45</f>
        <v>WR</v>
      </c>
      <c r="N45" s="309">
        <f>'30'!N45</f>
        <v>0</v>
      </c>
      <c r="O45" s="309">
        <f>'30'!O45</f>
        <v>0</v>
      </c>
      <c r="P45" s="170">
        <f>'30'!P45</f>
        <v>0</v>
      </c>
      <c r="Q45" s="310">
        <f>'30'!Q45</f>
        <v>0</v>
      </c>
    </row>
    <row r="46" spans="1:17" x14ac:dyDescent="0.3">
      <c r="A46" s="307" t="str">
        <f>'30'!A46</f>
        <v>WR</v>
      </c>
      <c r="B46" s="307">
        <f>'30'!B46</f>
        <v>17</v>
      </c>
      <c r="C46" s="307">
        <f>'30'!C46</f>
        <v>8</v>
      </c>
      <c r="D46" s="308">
        <f>'30'!D46</f>
        <v>91</v>
      </c>
      <c r="E46" s="308">
        <f>'30'!E46</f>
        <v>188048</v>
      </c>
      <c r="F46" s="135"/>
      <c r="G46" s="307" t="str">
        <f>'30'!G46</f>
        <v>WR</v>
      </c>
      <c r="H46" s="309">
        <f>'30'!H46</f>
        <v>5.5</v>
      </c>
      <c r="I46" s="309" t="str">
        <f>'30'!I46</f>
        <v>72.A</v>
      </c>
      <c r="J46" s="170">
        <f>'30'!J46</f>
        <v>96</v>
      </c>
      <c r="K46" s="310">
        <f>'30'!K46</f>
        <v>203214</v>
      </c>
      <c r="L46" s="135"/>
      <c r="M46" s="307" t="str">
        <f>'30'!M46</f>
        <v>WR</v>
      </c>
      <c r="N46" s="309">
        <f>'30'!N46</f>
        <v>0</v>
      </c>
      <c r="O46" s="309">
        <f>'30'!O46</f>
        <v>0</v>
      </c>
      <c r="P46" s="170">
        <f>'30'!P46</f>
        <v>0</v>
      </c>
      <c r="Q46" s="310">
        <f>'30'!Q46</f>
        <v>0</v>
      </c>
    </row>
    <row r="47" spans="1:17" x14ac:dyDescent="0.3">
      <c r="A47" s="307" t="str">
        <f>'30'!A47</f>
        <v>WR</v>
      </c>
      <c r="B47" s="307">
        <f>'30'!B47</f>
        <v>8.5</v>
      </c>
      <c r="C47" s="307">
        <f>'30'!C47</f>
        <v>15</v>
      </c>
      <c r="D47" s="308">
        <f>'30'!D47</f>
        <v>576</v>
      </c>
      <c r="E47" s="308">
        <f>'30'!E47</f>
        <v>1194727</v>
      </c>
      <c r="F47" s="135"/>
      <c r="G47" s="307" t="str">
        <f>'30'!G47</f>
        <v>WR</v>
      </c>
      <c r="H47" s="309">
        <f>'30'!H47</f>
        <v>5.5</v>
      </c>
      <c r="I47" s="309" t="str">
        <f>'30'!I47</f>
        <v>72.B</v>
      </c>
      <c r="J47" s="170">
        <f>'30'!J47</f>
        <v>144</v>
      </c>
      <c r="K47" s="310">
        <f>'30'!K47</f>
        <v>304424</v>
      </c>
      <c r="L47" s="135"/>
      <c r="M47" s="307" t="str">
        <f>'30'!M47</f>
        <v>WR</v>
      </c>
      <c r="N47" s="309">
        <f>'30'!N47</f>
        <v>0</v>
      </c>
      <c r="O47" s="309">
        <f>'30'!O47</f>
        <v>0</v>
      </c>
      <c r="P47" s="170">
        <f>'30'!P47</f>
        <v>0</v>
      </c>
      <c r="Q47" s="310">
        <f>'30'!Q47</f>
        <v>0</v>
      </c>
    </row>
    <row r="48" spans="1:17" x14ac:dyDescent="0.3">
      <c r="A48" s="307" t="str">
        <f>'30'!A48</f>
        <v>WR</v>
      </c>
      <c r="B48" s="307">
        <f>'30'!B48</f>
        <v>6.5</v>
      </c>
      <c r="C48" s="307">
        <f>'30'!C48</f>
        <v>8</v>
      </c>
      <c r="D48" s="308">
        <f>'30'!D48</f>
        <v>264</v>
      </c>
      <c r="E48" s="308">
        <f>'30'!E48</f>
        <v>552714</v>
      </c>
      <c r="F48" s="135"/>
      <c r="G48" s="307" t="str">
        <f>'30'!G48</f>
        <v>WR</v>
      </c>
      <c r="H48" s="309">
        <f>'30'!H48</f>
        <v>10</v>
      </c>
      <c r="I48" s="309">
        <f>'30'!I48</f>
        <v>8</v>
      </c>
      <c r="J48" s="170">
        <f>'30'!J48</f>
        <v>167</v>
      </c>
      <c r="K48" s="310">
        <f>'30'!K48</f>
        <v>349862</v>
      </c>
      <c r="L48" s="135"/>
      <c r="M48" s="307" t="str">
        <f>'30'!M48</f>
        <v>WR</v>
      </c>
      <c r="N48" s="309">
        <f>'30'!N48</f>
        <v>0</v>
      </c>
      <c r="O48" s="309">
        <f>'30'!O48</f>
        <v>0</v>
      </c>
      <c r="P48" s="170">
        <f>'30'!P48</f>
        <v>0</v>
      </c>
      <c r="Q48" s="310">
        <f>'30'!Q48</f>
        <v>0</v>
      </c>
    </row>
    <row r="49" spans="1:23" x14ac:dyDescent="0.3">
      <c r="A49" s="307" t="str">
        <f>'30'!A49</f>
        <v>WR</v>
      </c>
      <c r="B49" s="307">
        <f>'30'!B49</f>
        <v>6.5</v>
      </c>
      <c r="C49" s="307">
        <f>'30'!C49</f>
        <v>15</v>
      </c>
      <c r="D49" s="308">
        <f>'30'!D49</f>
        <v>281</v>
      </c>
      <c r="E49" s="308">
        <f>'30'!E49</f>
        <v>582161</v>
      </c>
      <c r="F49" s="3"/>
      <c r="G49" s="307" t="str">
        <f>'30'!G49</f>
        <v>WR</v>
      </c>
      <c r="H49" s="309">
        <f>'30'!H49</f>
        <v>8</v>
      </c>
      <c r="I49" s="309">
        <f>'30'!I49</f>
        <v>8</v>
      </c>
      <c r="J49" s="170">
        <f>'30'!J49</f>
        <v>119</v>
      </c>
      <c r="K49" s="310">
        <f>'30'!K49</f>
        <v>248951</v>
      </c>
      <c r="L49" s="3"/>
      <c r="M49" s="307" t="str">
        <f>'30'!M49</f>
        <v>WR</v>
      </c>
      <c r="N49" s="309">
        <f>'30'!N49</f>
        <v>0</v>
      </c>
      <c r="O49" s="309">
        <f>'30'!O49</f>
        <v>0</v>
      </c>
      <c r="P49" s="170">
        <f>'30'!P49</f>
        <v>0</v>
      </c>
      <c r="Q49" s="310">
        <f>'30'!Q49</f>
        <v>0</v>
      </c>
    </row>
    <row r="50" spans="1:23" x14ac:dyDescent="0.3">
      <c r="A50" s="1" t="str">
        <f>A1</f>
        <v>TMS 4</v>
      </c>
      <c r="B50" s="2" t="str">
        <f>B1</f>
        <v>WR</v>
      </c>
      <c r="C50" s="3"/>
      <c r="D50" s="4"/>
      <c r="E50" s="4"/>
      <c r="F50" s="4"/>
      <c r="G50" s="5"/>
      <c r="H50" s="6"/>
      <c r="I50" s="6"/>
      <c r="J50" s="6"/>
      <c r="K50" s="6"/>
      <c r="L50" s="6"/>
      <c r="M50" s="6"/>
      <c r="N50" s="135"/>
      <c r="O50" s="135"/>
      <c r="P50" s="87" t="s">
        <v>2</v>
      </c>
      <c r="Q50" s="8" t="s">
        <v>23</v>
      </c>
    </row>
    <row r="51" spans="1:23" x14ac:dyDescent="0.3">
      <c r="A51" s="527" t="s">
        <v>24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9"/>
    </row>
    <row r="52" spans="1:23" x14ac:dyDescent="0.3">
      <c r="A52" s="374">
        <f>A3</f>
        <v>46053</v>
      </c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</row>
    <row r="53" spans="1:23" x14ac:dyDescent="0.3">
      <c r="A53" s="88" t="s">
        <v>25</v>
      </c>
      <c r="B53" s="380" t="s">
        <v>26</v>
      </c>
      <c r="C53" s="530" t="s">
        <v>8</v>
      </c>
      <c r="D53" s="532" t="s">
        <v>27</v>
      </c>
      <c r="E53" s="533"/>
      <c r="F53" s="533"/>
      <c r="G53" s="533"/>
      <c r="H53" s="533"/>
      <c r="I53" s="533"/>
      <c r="J53" s="530" t="s">
        <v>28</v>
      </c>
      <c r="K53" s="385"/>
      <c r="L53" s="505" t="s">
        <v>29</v>
      </c>
      <c r="M53" s="505"/>
      <c r="N53" s="505"/>
      <c r="O53" s="505" t="s">
        <v>30</v>
      </c>
      <c r="P53" s="536" t="s">
        <v>31</v>
      </c>
      <c r="Q53" s="505" t="s">
        <v>32</v>
      </c>
      <c r="R53" s="386" t="s">
        <v>111</v>
      </c>
      <c r="S53" s="387" t="s">
        <v>197</v>
      </c>
      <c r="T53" s="388" t="s">
        <v>193</v>
      </c>
      <c r="U53" s="388" t="s">
        <v>193</v>
      </c>
    </row>
    <row r="54" spans="1:23" x14ac:dyDescent="0.3">
      <c r="A54" s="89" t="s">
        <v>33</v>
      </c>
      <c r="B54" s="90" t="s">
        <v>34</v>
      </c>
      <c r="C54" s="531"/>
      <c r="D54" s="534"/>
      <c r="E54" s="535"/>
      <c r="F54" s="535"/>
      <c r="G54" s="535"/>
      <c r="H54" s="535"/>
      <c r="I54" s="535"/>
      <c r="J54" s="531"/>
      <c r="K54" s="385"/>
      <c r="L54" s="505"/>
      <c r="M54" s="505"/>
      <c r="N54" s="505"/>
      <c r="O54" s="505"/>
      <c r="P54" s="536"/>
      <c r="Q54" s="505"/>
      <c r="R54" s="389" t="s">
        <v>32</v>
      </c>
      <c r="S54" s="390" t="s">
        <v>193</v>
      </c>
      <c r="T54" s="388" t="s">
        <v>181</v>
      </c>
      <c r="U54" s="388" t="s">
        <v>194</v>
      </c>
    </row>
    <row r="55" spans="1:23" x14ac:dyDescent="0.3">
      <c r="A55" s="91" t="s">
        <v>35</v>
      </c>
      <c r="B55" s="92"/>
      <c r="C55" s="21"/>
      <c r="D55" s="506"/>
      <c r="E55" s="506"/>
      <c r="F55" s="506"/>
      <c r="G55" s="506"/>
      <c r="H55" s="506"/>
      <c r="I55" s="506"/>
      <c r="J55" s="93"/>
      <c r="K55" s="391"/>
      <c r="L55" s="466" t="s">
        <v>26</v>
      </c>
      <c r="M55" s="467"/>
      <c r="N55" s="467"/>
      <c r="O55" s="392" t="s">
        <v>13</v>
      </c>
      <c r="P55" s="393">
        <f>C16</f>
        <v>0</v>
      </c>
      <c r="Q55" s="394">
        <f>C26</f>
        <v>21431091</v>
      </c>
      <c r="R55" s="395"/>
      <c r="S55" s="388">
        <f>DAY(A52)</f>
        <v>31</v>
      </c>
      <c r="T55" s="383">
        <f>S55-U55</f>
        <v>26</v>
      </c>
      <c r="U55" s="383">
        <f>'30'!U55</f>
        <v>5</v>
      </c>
    </row>
    <row r="56" spans="1:23" x14ac:dyDescent="0.3">
      <c r="A56" s="95" t="s">
        <v>37</v>
      </c>
      <c r="B56" s="96"/>
      <c r="C56" s="77"/>
      <c r="D56" s="503"/>
      <c r="E56" s="503"/>
      <c r="F56" s="503"/>
      <c r="G56" s="503"/>
      <c r="H56" s="503"/>
      <c r="I56" s="503"/>
      <c r="J56" s="97"/>
      <c r="K56" s="391"/>
      <c r="L56" s="502" t="s">
        <v>191</v>
      </c>
      <c r="M56" s="498"/>
      <c r="N56" s="498"/>
      <c r="O56" s="396" t="s">
        <v>13</v>
      </c>
      <c r="P56" s="397">
        <f>K17</f>
        <v>0</v>
      </c>
      <c r="Q56" s="398">
        <f>K27</f>
        <v>21103233</v>
      </c>
      <c r="R56" s="399"/>
    </row>
    <row r="57" spans="1:23" x14ac:dyDescent="0.3">
      <c r="A57" s="95" t="s">
        <v>39</v>
      </c>
      <c r="B57" s="96"/>
      <c r="C57" s="77"/>
      <c r="D57" s="503"/>
      <c r="E57" s="503"/>
      <c r="F57" s="503"/>
      <c r="G57" s="503"/>
      <c r="H57" s="503"/>
      <c r="I57" s="503"/>
      <c r="J57" s="97"/>
      <c r="K57" s="391"/>
      <c r="L57" s="468" t="s">
        <v>19</v>
      </c>
      <c r="M57" s="469"/>
      <c r="N57" s="469"/>
      <c r="O57" s="400" t="s">
        <v>14</v>
      </c>
      <c r="P57" s="401" t="e">
        <f>L17</f>
        <v>#DIV/0!</v>
      </c>
      <c r="Q57" s="402">
        <f>L27</f>
        <v>0.98470175876720412</v>
      </c>
      <c r="R57" s="403">
        <v>0.98499999999999999</v>
      </c>
    </row>
    <row r="58" spans="1:23" x14ac:dyDescent="0.3">
      <c r="A58" s="95" t="s">
        <v>41</v>
      </c>
      <c r="B58" s="96"/>
      <c r="C58" s="77"/>
      <c r="D58" s="503"/>
      <c r="E58" s="503"/>
      <c r="F58" s="503"/>
      <c r="G58" s="503"/>
      <c r="H58" s="503"/>
      <c r="I58" s="503"/>
      <c r="J58" s="97"/>
      <c r="K58" s="391"/>
      <c r="L58" s="507" t="s">
        <v>192</v>
      </c>
      <c r="M58" s="508"/>
      <c r="N58" s="508"/>
      <c r="O58" s="392" t="s">
        <v>13</v>
      </c>
      <c r="P58" s="393">
        <f>E16</f>
        <v>0</v>
      </c>
      <c r="Q58" s="394">
        <f>E26</f>
        <v>50617</v>
      </c>
      <c r="R58" s="395"/>
    </row>
    <row r="59" spans="1:23" x14ac:dyDescent="0.3">
      <c r="A59" s="95" t="s">
        <v>43</v>
      </c>
      <c r="B59" s="96"/>
      <c r="C59" s="77"/>
      <c r="D59" s="503"/>
      <c r="E59" s="503"/>
      <c r="F59" s="503"/>
      <c r="G59" s="503"/>
      <c r="H59" s="503"/>
      <c r="I59" s="503"/>
      <c r="J59" s="97"/>
      <c r="K59" s="391"/>
      <c r="L59" s="509"/>
      <c r="M59" s="510"/>
      <c r="N59" s="510"/>
      <c r="O59" s="400" t="s">
        <v>14</v>
      </c>
      <c r="P59" s="401" t="e">
        <f>F16</f>
        <v>#DIV/0!</v>
      </c>
      <c r="Q59" s="402">
        <f>F26</f>
        <v>2.3618489604658949E-3</v>
      </c>
      <c r="R59" s="404">
        <v>1.5E-3</v>
      </c>
    </row>
    <row r="60" spans="1:23" x14ac:dyDescent="0.3">
      <c r="A60" s="95" t="s">
        <v>45</v>
      </c>
      <c r="B60" s="96"/>
      <c r="C60" s="77"/>
      <c r="D60" s="499"/>
      <c r="E60" s="500"/>
      <c r="F60" s="500"/>
      <c r="G60" s="500"/>
      <c r="H60" s="500"/>
      <c r="I60" s="501"/>
      <c r="J60" s="97"/>
      <c r="K60" s="391"/>
      <c r="L60" s="489" t="s">
        <v>36</v>
      </c>
      <c r="M60" s="490"/>
      <c r="N60" s="490"/>
      <c r="O60" s="405" t="s">
        <v>28</v>
      </c>
      <c r="P60" s="142">
        <v>1440</v>
      </c>
      <c r="Q60" s="94">
        <f>'1'!Q60+'2'!P60+'3'!P60+'4'!P60+'5'!P60+'6'!P60+'7'!P60+'8'!P60+'9'!P60+'10'!P60+'11'!P60+'12'!P60+'13'!P60+'14'!P60+'15'!P60+'16'!P60+'17'!P60+'18'!P60+'19'!P60+'20'!P62+'21'!P60+'22'!P61+'23'!P60+'24'!P60+'25'!P60+'26'!P60+'27'!P60+'28'!P60+'29'!P60+'30'!P60+'31'!P60</f>
        <v>44640</v>
      </c>
      <c r="R60" s="406"/>
    </row>
    <row r="61" spans="1:23" x14ac:dyDescent="0.3">
      <c r="A61" s="95" t="s">
        <v>47</v>
      </c>
      <c r="B61" s="96"/>
      <c r="C61" s="77"/>
      <c r="D61" s="499"/>
      <c r="E61" s="500"/>
      <c r="F61" s="500"/>
      <c r="G61" s="500"/>
      <c r="H61" s="500"/>
      <c r="I61" s="501"/>
      <c r="J61" s="97"/>
      <c r="K61" s="407"/>
      <c r="L61" s="492" t="s">
        <v>38</v>
      </c>
      <c r="M61" s="493"/>
      <c r="N61" s="493"/>
      <c r="O61" s="106" t="s">
        <v>28</v>
      </c>
      <c r="P61" s="145">
        <f>SUM(P62:P64)</f>
        <v>0</v>
      </c>
      <c r="Q61" s="126">
        <f>'1'!Q61+'2'!P61+'3'!P61+'4'!P61+'5'!P61+'6'!P61+'7'!P61+'8'!P61+'9'!P61+'10'!P61+'11'!P61+'12'!P61+'13'!P61+'14'!P61+'15'!P61+'16'!P61+'17'!P61+'18'!P61+'19'!P61+'20'!P63+'21'!P61+'22'!P62+'23'!P61+'24'!P61+'25'!P61+'26'!P61+'27'!P61+'28'!P61+'29'!P61+'30'!P61+'31'!P61</f>
        <v>7200</v>
      </c>
      <c r="R61" s="395"/>
    </row>
    <row r="62" spans="1:23" x14ac:dyDescent="0.3">
      <c r="A62" s="95" t="s">
        <v>49</v>
      </c>
      <c r="B62" s="96"/>
      <c r="C62" s="77"/>
      <c r="D62" s="499"/>
      <c r="E62" s="500"/>
      <c r="F62" s="500"/>
      <c r="G62" s="500"/>
      <c r="H62" s="500"/>
      <c r="I62" s="501"/>
      <c r="J62" s="97"/>
      <c r="K62" s="407"/>
      <c r="L62" s="497" t="s">
        <v>40</v>
      </c>
      <c r="M62" s="498"/>
      <c r="N62" s="498"/>
      <c r="O62" s="408" t="s">
        <v>28</v>
      </c>
      <c r="P62" s="138">
        <v>0</v>
      </c>
      <c r="Q62" s="99">
        <f>'1'!Q62+'2'!P62+'3'!P62+'4'!P62+'5'!P62+'6'!P62+'7'!P62+'8'!P62+'9'!P62+'10'!P62+'11'!P62+'12'!P62+'13'!P62+'14'!P62+'15'!P62+'16'!P62+'17'!P62+'18'!P62+'19'!P62+'20'!P64+'21'!P62+'22'!P63+'23'!P62+'24'!P62+'25'!P62+'26'!P62+'27'!P62+'28'!P62+'29'!P62+'30'!P62+'31'!P62</f>
        <v>7200</v>
      </c>
      <c r="R62" s="399"/>
    </row>
    <row r="63" spans="1:23" x14ac:dyDescent="0.3">
      <c r="A63" s="95" t="s">
        <v>51</v>
      </c>
      <c r="B63" s="96"/>
      <c r="C63" s="77"/>
      <c r="D63" s="499"/>
      <c r="E63" s="500"/>
      <c r="F63" s="500"/>
      <c r="G63" s="500"/>
      <c r="H63" s="500"/>
      <c r="I63" s="501"/>
      <c r="J63" s="97"/>
      <c r="K63" s="391"/>
      <c r="L63" s="497" t="s">
        <v>42</v>
      </c>
      <c r="M63" s="498"/>
      <c r="N63" s="498"/>
      <c r="O63" s="408" t="s">
        <v>28</v>
      </c>
      <c r="P63" s="138">
        <v>0</v>
      </c>
      <c r="Q63" s="99">
        <f>'1'!Q63+'2'!P63+'3'!P63+'4'!P63+'5'!P63+'6'!P63+'7'!P63+'8'!P63+'9'!P63+'10'!P63+'11'!P63+'12'!P63+'13'!P63+'14'!P63+'15'!P63+'16'!P63+'17'!P63+'18'!P63+'19'!P63+'20'!P65+'21'!P63+'22'!P64+'23'!P63+'24'!P63+'25'!P63+'26'!P63+'27'!P63+'28'!P63+'29'!P63+'30'!P63+'31'!P63</f>
        <v>0</v>
      </c>
      <c r="R63" s="399"/>
    </row>
    <row r="64" spans="1:23" x14ac:dyDescent="0.3">
      <c r="A64" s="95" t="s">
        <v>53</v>
      </c>
      <c r="B64" s="96"/>
      <c r="C64" s="77"/>
      <c r="D64" s="463"/>
      <c r="E64" s="463"/>
      <c r="F64" s="463"/>
      <c r="G64" s="463"/>
      <c r="H64" s="463"/>
      <c r="I64" s="463"/>
      <c r="J64" s="97"/>
      <c r="K64" s="391"/>
      <c r="L64" s="504" t="s">
        <v>44</v>
      </c>
      <c r="M64" s="465"/>
      <c r="N64" s="465"/>
      <c r="O64" s="85" t="s">
        <v>28</v>
      </c>
      <c r="P64" s="141">
        <v>0</v>
      </c>
      <c r="Q64" s="86">
        <f>'1'!Q64+'2'!P64+'3'!P64+'4'!P64+'5'!P64+'6'!P64+'7'!P64+'8'!P64+'9'!P64+'10'!P64+'11'!P64+'12'!P64+'13'!P64+'14'!P64+'15'!P64+'16'!P64+'17'!P64+'18'!P64+'19'!P64+'20'!P66+'21'!P64+'22'!P65+'23'!P64+'24'!P64+'25'!P64+'26'!P64+'27'!P64+'28'!P64+'29'!P64+'30'!P64+'31'!P64</f>
        <v>0</v>
      </c>
      <c r="R64" s="409"/>
      <c r="S64" s="166" t="s">
        <v>150</v>
      </c>
      <c r="T64" s="167"/>
      <c r="U64" s="168"/>
      <c r="V64" s="169" t="s">
        <v>31</v>
      </c>
      <c r="W64" s="170" t="s">
        <v>32</v>
      </c>
    </row>
    <row r="65" spans="1:23" x14ac:dyDescent="0.3">
      <c r="A65" s="95" t="s">
        <v>55</v>
      </c>
      <c r="B65" s="96"/>
      <c r="C65" s="77"/>
      <c r="D65" s="463"/>
      <c r="E65" s="463"/>
      <c r="F65" s="463"/>
      <c r="G65" s="463"/>
      <c r="H65" s="463"/>
      <c r="I65" s="463"/>
      <c r="J65" s="97"/>
      <c r="K65" s="391"/>
      <c r="L65" s="466" t="s">
        <v>46</v>
      </c>
      <c r="M65" s="467"/>
      <c r="N65" s="467"/>
      <c r="O65" s="106" t="s">
        <v>28</v>
      </c>
      <c r="P65" s="126">
        <f>SUM(P66:P68)</f>
        <v>0</v>
      </c>
      <c r="Q65" s="100">
        <f>'1'!Q65+'2'!P65+'3'!P65+'4'!P65+'5'!P65+'6'!P65+'7'!P65+'8'!P65+'9'!P65+'10'!P65+'11'!P65+'12'!P65+'13'!P65+'14'!P65+'15'!P65+'16'!P65+'17'!P65+'18'!P65+'19'!P65+'20'!P67+'21'!P65+'22'!P66+'23'!P65+'24'!P65+'25'!P65+'26'!P65+'27'!P65+'28'!P65+'29'!P65+'30'!P65+'31'!P65</f>
        <v>3255</v>
      </c>
      <c r="R65" s="395"/>
      <c r="S65" s="171" t="s">
        <v>56</v>
      </c>
      <c r="T65" s="172"/>
      <c r="U65" s="173" t="s">
        <v>151</v>
      </c>
      <c r="V65" s="174"/>
      <c r="W65" s="181">
        <f>+'30'!W65+'31'!V65</f>
        <v>14</v>
      </c>
    </row>
    <row r="66" spans="1:23" x14ac:dyDescent="0.3">
      <c r="A66" s="95" t="s">
        <v>57</v>
      </c>
      <c r="B66" s="96"/>
      <c r="C66" s="77"/>
      <c r="D66" s="499"/>
      <c r="E66" s="500"/>
      <c r="F66" s="500"/>
      <c r="G66" s="500"/>
      <c r="H66" s="500"/>
      <c r="I66" s="501"/>
      <c r="J66" s="97"/>
      <c r="K66" s="391"/>
      <c r="L66" s="502" t="s">
        <v>48</v>
      </c>
      <c r="M66" s="498"/>
      <c r="N66" s="498"/>
      <c r="O66" s="408" t="s">
        <v>28</v>
      </c>
      <c r="P66" s="138">
        <v>0</v>
      </c>
      <c r="Q66" s="99">
        <f>'1'!Q66+'2'!P66+'3'!P66+'4'!P66+'5'!P66+'6'!P66+'7'!P66+'8'!P66+'9'!P66+'10'!P66+'11'!P66+'12'!P66+'13'!P66+'14'!P66+'15'!P66+'16'!P66+'17'!P66+'18'!P66+'19'!P66+'20'!P68+'21'!P66+'22'!P67+'23'!P66+'24'!P66+'25'!P66+'26'!P66+'27'!P66+'28'!P66+'29'!P66+'30'!P66+'31'!P66</f>
        <v>0</v>
      </c>
      <c r="R66" s="399"/>
      <c r="S66" s="377" t="s">
        <v>58</v>
      </c>
      <c r="T66" s="175"/>
      <c r="U66" s="176" t="s">
        <v>151</v>
      </c>
      <c r="V66" s="177"/>
      <c r="W66" s="182">
        <f>+'30'!W66+'31'!V66</f>
        <v>7</v>
      </c>
    </row>
    <row r="67" spans="1:23" x14ac:dyDescent="0.3">
      <c r="A67" s="95" t="s">
        <v>59</v>
      </c>
      <c r="B67" s="96"/>
      <c r="C67" s="77"/>
      <c r="D67" s="499"/>
      <c r="E67" s="500"/>
      <c r="F67" s="500"/>
      <c r="G67" s="500"/>
      <c r="H67" s="500"/>
      <c r="I67" s="501"/>
      <c r="J67" s="97"/>
      <c r="K67" s="391"/>
      <c r="L67" s="502" t="s">
        <v>50</v>
      </c>
      <c r="M67" s="498"/>
      <c r="N67" s="498"/>
      <c r="O67" s="408" t="s">
        <v>28</v>
      </c>
      <c r="P67" s="138">
        <v>0</v>
      </c>
      <c r="Q67" s="99">
        <f>'1'!Q67+'2'!P67+'3'!P67+'4'!P67+'5'!P67+'6'!P67+'7'!P67+'8'!P67+'9'!P67+'10'!P67+'11'!P67+'12'!P67+'13'!P67+'14'!P67+'15'!P67+'16'!P67+'17'!P67+'18'!P67+'19'!P67+'20'!P69+'21'!P67+'22'!P68+'23'!P67+'24'!P67+'25'!P67+'26'!P67+'27'!P67+'28'!P67+'29'!P67+'30'!P67+'31'!P67</f>
        <v>2804</v>
      </c>
      <c r="R67" s="399"/>
      <c r="S67" s="377" t="s">
        <v>60</v>
      </c>
      <c r="T67" s="175"/>
      <c r="U67" s="176" t="s">
        <v>151</v>
      </c>
      <c r="V67" s="177"/>
      <c r="W67" s="182">
        <f>+'30'!W67+'31'!V67</f>
        <v>0</v>
      </c>
    </row>
    <row r="68" spans="1:23" x14ac:dyDescent="0.3">
      <c r="A68" s="95" t="s">
        <v>61</v>
      </c>
      <c r="B68" s="96"/>
      <c r="C68" s="77"/>
      <c r="D68" s="499"/>
      <c r="E68" s="500"/>
      <c r="F68" s="500"/>
      <c r="G68" s="500"/>
      <c r="H68" s="500"/>
      <c r="I68" s="501"/>
      <c r="J68" s="97"/>
      <c r="K68" s="391"/>
      <c r="L68" s="468" t="s">
        <v>52</v>
      </c>
      <c r="M68" s="469"/>
      <c r="N68" s="469"/>
      <c r="O68" s="85" t="s">
        <v>28</v>
      </c>
      <c r="P68" s="141">
        <v>0</v>
      </c>
      <c r="Q68" s="86">
        <f>'1'!Q68+'2'!P68+'3'!P68+'4'!P68+'5'!P68+'6'!P68+'7'!P68+'8'!P68+'9'!P68+'10'!P68+'11'!P68+'12'!P68+'13'!P68+'14'!P68+'15'!P68+'16'!P68+'17'!P68+'18'!P68+'19'!P68+'20'!P70+'21'!P68+'22'!P69+'23'!P68+'24'!P68+'25'!P68+'26'!P68+'27'!P68+'28'!P68+'29'!P68+'30'!P68+'31'!P68</f>
        <v>451</v>
      </c>
      <c r="R68" s="409"/>
      <c r="S68" s="377" t="s">
        <v>62</v>
      </c>
      <c r="T68" s="175"/>
      <c r="U68" s="176" t="s">
        <v>151</v>
      </c>
      <c r="V68" s="177"/>
      <c r="W68" s="182">
        <f>+'30'!W68+'31'!V68</f>
        <v>3</v>
      </c>
    </row>
    <row r="69" spans="1:23" x14ac:dyDescent="0.3">
      <c r="A69" s="95" t="s">
        <v>63</v>
      </c>
      <c r="B69" s="96"/>
      <c r="C69" s="77"/>
      <c r="D69" s="499"/>
      <c r="E69" s="500"/>
      <c r="F69" s="500"/>
      <c r="G69" s="500"/>
      <c r="H69" s="500"/>
      <c r="I69" s="501"/>
      <c r="J69" s="97"/>
      <c r="K69" s="391"/>
      <c r="L69" s="466" t="s">
        <v>54</v>
      </c>
      <c r="M69" s="467"/>
      <c r="N69" s="467"/>
      <c r="O69" s="106" t="s">
        <v>28</v>
      </c>
      <c r="P69" s="100">
        <f>SUM(P70:P74)</f>
        <v>0</v>
      </c>
      <c r="Q69" s="100">
        <f>'1'!Q69+'2'!P69+'3'!P69+'4'!P69+'5'!P69+'6'!P69+'7'!P69+'8'!P69+'9'!P69+'10'!P69+'11'!P69+'12'!P69+'13'!P69+'14'!P69+'15'!P69+'16'!P69+'17'!P69+'18'!P69+'19'!P69+'20'!P71+'21'!P69+'22'!P70+'23'!P69+'24'!P69+'25'!P69+'26'!P69+'27'!P69+'28'!P69+'29'!P69+'30'!P69+'31'!P69</f>
        <v>1375</v>
      </c>
      <c r="R69" s="395"/>
      <c r="S69" s="376" t="s">
        <v>64</v>
      </c>
      <c r="T69" s="178"/>
      <c r="U69" s="179" t="s">
        <v>151</v>
      </c>
      <c r="V69" s="180"/>
      <c r="W69" s="183">
        <f>+'30'!W69+'31'!V69</f>
        <v>0</v>
      </c>
    </row>
    <row r="70" spans="1:23" x14ac:dyDescent="0.3">
      <c r="A70" s="95" t="s">
        <v>65</v>
      </c>
      <c r="B70" s="96"/>
      <c r="C70" s="77"/>
      <c r="D70" s="499"/>
      <c r="E70" s="500"/>
      <c r="F70" s="500"/>
      <c r="G70" s="500"/>
      <c r="H70" s="500"/>
      <c r="I70" s="501"/>
      <c r="J70" s="97"/>
      <c r="K70" s="407"/>
      <c r="L70" s="497" t="s">
        <v>56</v>
      </c>
      <c r="M70" s="498"/>
      <c r="N70" s="498"/>
      <c r="O70" s="408" t="s">
        <v>28</v>
      </c>
      <c r="P70" s="138">
        <v>0</v>
      </c>
      <c r="Q70" s="99">
        <f>'1'!Q70+'2'!P70+'3'!P70+'4'!P70+'5'!P70+'6'!P70+'7'!P70+'8'!P70+'9'!P70+'10'!P70+'11'!P70+'12'!P70+'13'!P70+'14'!P70+'15'!P70+'16'!P70+'17'!P70+'18'!P70+'19'!P70+'20'!P72+'21'!P70+'22'!P71+'23'!P70+'24'!P70+'25'!P70+'26'!P70+'27'!P70+'28'!P70+'29'!P70+'30'!P70+'31'!P70</f>
        <v>861</v>
      </c>
      <c r="R70" s="399">
        <f>T55*30</f>
        <v>780</v>
      </c>
    </row>
    <row r="71" spans="1:23" x14ac:dyDescent="0.3">
      <c r="A71" s="95" t="s">
        <v>67</v>
      </c>
      <c r="B71" s="96"/>
      <c r="C71" s="77"/>
      <c r="D71" s="463"/>
      <c r="E71" s="463"/>
      <c r="F71" s="463"/>
      <c r="G71" s="463"/>
      <c r="H71" s="463"/>
      <c r="I71" s="463"/>
      <c r="J71" s="97"/>
      <c r="K71" s="391"/>
      <c r="L71" s="497" t="s">
        <v>58</v>
      </c>
      <c r="M71" s="498"/>
      <c r="N71" s="498"/>
      <c r="O71" s="408" t="s">
        <v>28</v>
      </c>
      <c r="P71" s="138">
        <v>0</v>
      </c>
      <c r="Q71" s="99">
        <f>'1'!Q71+'2'!P71+'3'!P71+'4'!P71+'5'!P71+'6'!P71+'7'!P71+'8'!P71+'9'!P71+'10'!P71+'11'!P71+'12'!P71+'13'!P71+'14'!P71+'15'!P71+'16'!P71+'17'!P71+'18'!P71+'19'!P71+'20'!P73+'21'!P71+'22'!P72+'23'!P71+'24'!P71+'25'!P71+'26'!P71+'27'!P71+'28'!P71+'29'!P71+'30'!P71+'31'!P71</f>
        <v>406</v>
      </c>
      <c r="R71" s="399">
        <f>T55*25</f>
        <v>650</v>
      </c>
      <c r="S71" s="574" t="s">
        <v>187</v>
      </c>
      <c r="T71" s="574"/>
      <c r="U71" s="170" t="s">
        <v>32</v>
      </c>
    </row>
    <row r="72" spans="1:23" x14ac:dyDescent="0.3">
      <c r="A72" s="95" t="s">
        <v>69</v>
      </c>
      <c r="B72" s="96"/>
      <c r="C72" s="77"/>
      <c r="D72" s="494"/>
      <c r="E72" s="495"/>
      <c r="F72" s="495"/>
      <c r="G72" s="495"/>
      <c r="H72" s="495"/>
      <c r="I72" s="496"/>
      <c r="J72" s="97"/>
      <c r="K72" s="391"/>
      <c r="L72" s="497" t="s">
        <v>60</v>
      </c>
      <c r="M72" s="498"/>
      <c r="N72" s="498"/>
      <c r="O72" s="408" t="s">
        <v>28</v>
      </c>
      <c r="P72" s="138">
        <v>0</v>
      </c>
      <c r="Q72" s="99">
        <f>'1'!Q72+'2'!P72+'3'!P72+'4'!P72+'5'!P72+'6'!P72+'7'!P72+'8'!P72+'9'!P72+'10'!P72+'11'!P72+'12'!P72+'13'!P72+'14'!P72+'15'!P72+'16'!P72+'17'!P72+'18'!P72+'19'!P72+'20'!P74+'21'!P72+'22'!P73+'23'!P72+'24'!P72+'25'!P72+'26'!P72+'27'!P72+'28'!P72+'29'!P72+'30'!P72+'31'!P72</f>
        <v>37</v>
      </c>
      <c r="R72" s="399">
        <f>T55*10</f>
        <v>260</v>
      </c>
      <c r="S72" s="575" t="s">
        <v>188</v>
      </c>
      <c r="T72" s="575"/>
      <c r="U72" s="299">
        <v>0</v>
      </c>
    </row>
    <row r="73" spans="1:23" x14ac:dyDescent="0.3">
      <c r="A73" s="95" t="s">
        <v>71</v>
      </c>
      <c r="B73" s="96"/>
      <c r="C73" s="77"/>
      <c r="D73" s="494"/>
      <c r="E73" s="495"/>
      <c r="F73" s="495"/>
      <c r="G73" s="495"/>
      <c r="H73" s="495"/>
      <c r="I73" s="496"/>
      <c r="J73" s="97"/>
      <c r="K73" s="391"/>
      <c r="L73" s="497" t="s">
        <v>62</v>
      </c>
      <c r="M73" s="498"/>
      <c r="N73" s="498"/>
      <c r="O73" s="408" t="s">
        <v>28</v>
      </c>
      <c r="P73" s="138">
        <v>0</v>
      </c>
      <c r="Q73" s="99">
        <f>'1'!Q73+'2'!P73+'3'!P73+'4'!P73+'5'!P73+'6'!P73+'7'!P73+'8'!P73+'9'!P73+'10'!P73+'11'!P73+'12'!P73+'13'!P73+'14'!P73+'15'!P73+'16'!P73+'17'!P73+'18'!P73+'19'!P73+'20'!P75+'21'!P73+'22'!P74+'23'!P73+'24'!P73+'25'!P73+'26'!P73+'27'!P73+'28'!P73+'29'!P73+'30'!P73+'31'!P73</f>
        <v>71</v>
      </c>
      <c r="R73" s="399"/>
      <c r="S73" s="576" t="s">
        <v>189</v>
      </c>
      <c r="T73" s="576"/>
      <c r="U73" s="300">
        <v>0</v>
      </c>
    </row>
    <row r="74" spans="1:23" x14ac:dyDescent="0.3">
      <c r="A74" s="95" t="s">
        <v>73</v>
      </c>
      <c r="B74" s="96"/>
      <c r="C74" s="77"/>
      <c r="D74" s="499"/>
      <c r="E74" s="500"/>
      <c r="F74" s="500"/>
      <c r="G74" s="500"/>
      <c r="H74" s="500"/>
      <c r="I74" s="501"/>
      <c r="J74" s="97"/>
      <c r="K74" s="391"/>
      <c r="L74" s="491" t="s">
        <v>64</v>
      </c>
      <c r="M74" s="469"/>
      <c r="N74" s="469"/>
      <c r="O74" s="85" t="s">
        <v>28</v>
      </c>
      <c r="P74" s="139">
        <v>0</v>
      </c>
      <c r="Q74" s="86">
        <f>'1'!Q74+'2'!P74+'3'!P74+'4'!P74+'5'!P74+'6'!P74+'7'!P74+'8'!P74+'9'!P74+'10'!P74+'11'!P74+'12'!P74+'13'!P74+'14'!P74+'15'!P74+'16'!P74+'17'!P74+'18'!P74+'19'!P74+'20'!P76+'21'!P74+'22'!P75+'23'!P74+'24'!P74+'25'!P74+'26'!P74+'27'!P74+'28'!P74+'29'!P74+'30'!P74+'31'!P74</f>
        <v>0</v>
      </c>
      <c r="R74" s="409"/>
      <c r="S74" s="577" t="s">
        <v>190</v>
      </c>
      <c r="T74" s="577"/>
      <c r="U74" s="301">
        <v>0</v>
      </c>
    </row>
    <row r="75" spans="1:23" x14ac:dyDescent="0.3">
      <c r="A75" s="95" t="s">
        <v>75</v>
      </c>
      <c r="B75" s="96"/>
      <c r="C75" s="77"/>
      <c r="D75" s="463"/>
      <c r="E75" s="463"/>
      <c r="F75" s="463"/>
      <c r="G75" s="463"/>
      <c r="H75" s="463"/>
      <c r="I75" s="463"/>
      <c r="J75" s="97"/>
      <c r="K75" s="391"/>
      <c r="L75" s="489" t="s">
        <v>66</v>
      </c>
      <c r="M75" s="490"/>
      <c r="N75" s="490"/>
      <c r="O75" s="405" t="s">
        <v>28</v>
      </c>
      <c r="P75" s="94">
        <f>P60-P61</f>
        <v>1440</v>
      </c>
      <c r="Q75" s="94">
        <f>'1'!Q75+'2'!P75+'3'!P75+'4'!P75+'5'!P75+'6'!P75+'7'!P75+'8'!P75+'9'!P75+'10'!P75+'11'!P75+'12'!P75+'13'!P75+'14'!P75+'15'!P75+'16'!P75+'17'!P75+'18'!P75+'19'!P75+'20'!P77+'21'!P75+'22'!P76+'23'!P75+'24'!P75+'25'!P75+'26'!P75+'27'!P75+'28'!P75+'29'!P75+'30'!P75+'31'!P75</f>
        <v>37440</v>
      </c>
      <c r="R75" s="406"/>
    </row>
    <row r="76" spans="1:23" x14ac:dyDescent="0.3">
      <c r="A76" s="95" t="s">
        <v>77</v>
      </c>
      <c r="B76" s="96"/>
      <c r="C76" s="77"/>
      <c r="D76" s="463"/>
      <c r="E76" s="463"/>
      <c r="F76" s="463"/>
      <c r="G76" s="463"/>
      <c r="H76" s="463"/>
      <c r="I76" s="463"/>
      <c r="J76" s="97"/>
      <c r="K76" s="391"/>
      <c r="L76" s="489" t="s">
        <v>68</v>
      </c>
      <c r="M76" s="490"/>
      <c r="N76" s="490"/>
      <c r="O76" s="405" t="s">
        <v>28</v>
      </c>
      <c r="P76" s="94">
        <f>P65+P69</f>
        <v>0</v>
      </c>
      <c r="Q76" s="94">
        <f>'1'!Q76+'2'!P76+'3'!P76+'4'!P76+'5'!P76+'6'!P76+'7'!P76+'8'!P76+'9'!P76+'10'!P76+'11'!P76+'12'!P76+'13'!P76+'14'!P76+'15'!P76+'16'!P76+'17'!P76+'18'!P76+'19'!P76+'20'!P78+'21'!P76+'22'!P77+'23'!P76+'24'!P76+'25'!P76+'26'!P76+'27'!P76+'28'!P76+'29'!P76+'30'!P76+'31'!P76</f>
        <v>4630</v>
      </c>
      <c r="R76" s="406"/>
    </row>
    <row r="77" spans="1:23" x14ac:dyDescent="0.3">
      <c r="A77" s="95" t="s">
        <v>79</v>
      </c>
      <c r="B77" s="96"/>
      <c r="C77" s="77"/>
      <c r="D77" s="463"/>
      <c r="E77" s="463"/>
      <c r="F77" s="463"/>
      <c r="G77" s="463"/>
      <c r="H77" s="463"/>
      <c r="I77" s="463"/>
      <c r="J77" s="97"/>
      <c r="K77" s="391"/>
      <c r="L77" s="486" t="s">
        <v>70</v>
      </c>
      <c r="M77" s="487"/>
      <c r="N77" s="488"/>
      <c r="O77" s="405" t="s">
        <v>28</v>
      </c>
      <c r="P77" s="142">
        <v>0</v>
      </c>
      <c r="Q77" s="94">
        <f>'1'!Q77+'2'!P77+'3'!P77+'4'!P77+'5'!P77+'6'!P77+'7'!P77+'8'!P77+'9'!P77+'10'!P77+'11'!P77+'12'!P77+'13'!P77+'14'!P77+'15'!P77+'16'!P77+'17'!P77+'18'!P77+'19'!P77+'20'!P79+'21'!P77+'22'!P78+'23'!P77+'24'!P77+'25'!P77+'26'!P77+'27'!P77+'28'!P77+'29'!P77+'30'!P77+'31'!P77</f>
        <v>4679</v>
      </c>
      <c r="R77" s="406"/>
    </row>
    <row r="78" spans="1:23" x14ac:dyDescent="0.3">
      <c r="A78" s="109" t="s">
        <v>82</v>
      </c>
      <c r="B78" s="110"/>
      <c r="C78" s="111"/>
      <c r="D78" s="463"/>
      <c r="E78" s="463"/>
      <c r="F78" s="463"/>
      <c r="G78" s="463"/>
      <c r="H78" s="463"/>
      <c r="I78" s="463"/>
      <c r="J78" s="97"/>
      <c r="K78" s="407"/>
      <c r="L78" s="486" t="s">
        <v>72</v>
      </c>
      <c r="M78" s="487"/>
      <c r="N78" s="488"/>
      <c r="O78" s="405" t="s">
        <v>28</v>
      </c>
      <c r="P78" s="94">
        <f>+P77-P76</f>
        <v>0</v>
      </c>
      <c r="Q78" s="94">
        <f>'1'!Q78+'2'!P78+'3'!P78+'4'!P78+'5'!P78+'6'!P78+'7'!P78+'8'!P78+'9'!P78+'10'!P78+'11'!P78+'12'!P78+'13'!P78+'14'!P78+'15'!P78+'16'!P78+'17'!P78+'18'!P78+'19'!P78+'20'!P80+'21'!P78+'22'!P79+'23'!P78+'24'!P78+'25'!P78+'26'!P78+'27'!P78+'28'!P78+'29'!P78+'30'!P78+'31'!P78</f>
        <v>49</v>
      </c>
      <c r="R78" s="406"/>
    </row>
    <row r="79" spans="1:23" x14ac:dyDescent="0.3">
      <c r="A79" s="114"/>
      <c r="B79" s="115">
        <f>SUM(B55:B78)</f>
        <v>0</v>
      </c>
      <c r="C79" s="116">
        <f>SUM(C55:C78)</f>
        <v>0</v>
      </c>
      <c r="D79" s="470"/>
      <c r="E79" s="471"/>
      <c r="F79" s="471"/>
      <c r="G79" s="471"/>
      <c r="H79" s="471"/>
      <c r="I79" s="472"/>
      <c r="J79" s="117">
        <f>SUM(J55:J78)</f>
        <v>0</v>
      </c>
      <c r="K79" s="411"/>
      <c r="L79" s="489" t="s">
        <v>74</v>
      </c>
      <c r="M79" s="490"/>
      <c r="N79" s="490"/>
      <c r="O79" s="405" t="s">
        <v>28</v>
      </c>
      <c r="P79" s="94">
        <f>+P75-P76-P78</f>
        <v>1440</v>
      </c>
      <c r="Q79" s="94">
        <f>'1'!Q79+'2'!P79+'3'!P79+'4'!P79+'5'!P79+'6'!P79+'7'!P79+'8'!P79+'9'!P79+'10'!P79+'11'!P79+'12'!P79+'13'!P79+'14'!P79+'15'!P79+'16'!P79+'17'!P79+'18'!P79+'19'!P79+'20'!P81+'21'!P79+'22'!P80+'23'!P79+'24'!P79+'25'!P79+'26'!P79+'27'!P79+'28'!P79+'29'!P79+'30'!P79+'31'!P79</f>
        <v>32761</v>
      </c>
      <c r="R79" s="406"/>
    </row>
    <row r="80" spans="1:23" x14ac:dyDescent="0.3">
      <c r="A80" s="411"/>
      <c r="B80" s="411"/>
      <c r="C80" s="411"/>
      <c r="D80" s="411"/>
      <c r="E80" s="411"/>
      <c r="F80" s="411"/>
      <c r="G80" s="411"/>
      <c r="H80" s="411"/>
      <c r="I80" s="411"/>
      <c r="J80" s="411"/>
      <c r="K80" s="411"/>
      <c r="L80" s="492" t="s">
        <v>76</v>
      </c>
      <c r="M80" s="493"/>
      <c r="N80" s="493"/>
      <c r="O80" s="102" t="s">
        <v>14</v>
      </c>
      <c r="P80" s="103">
        <f>P79/P75</f>
        <v>1</v>
      </c>
      <c r="Q80" s="103">
        <f>Q79/Q75</f>
        <v>0.87502670940170946</v>
      </c>
      <c r="R80" s="412">
        <v>0.86</v>
      </c>
    </row>
    <row r="81" spans="1:18" x14ac:dyDescent="0.3">
      <c r="A81" s="120" t="s">
        <v>87</v>
      </c>
      <c r="B81" s="413"/>
      <c r="C81" s="413"/>
      <c r="D81" s="413"/>
      <c r="E81" s="413"/>
      <c r="F81" s="413"/>
      <c r="G81" s="413"/>
      <c r="H81" s="413"/>
      <c r="I81" s="413"/>
      <c r="J81" s="414"/>
      <c r="K81" s="411"/>
      <c r="L81" s="464" t="s">
        <v>78</v>
      </c>
      <c r="M81" s="465"/>
      <c r="N81" s="465"/>
      <c r="O81" s="104" t="s">
        <v>14</v>
      </c>
      <c r="P81" s="105">
        <f>P79/P60</f>
        <v>1</v>
      </c>
      <c r="Q81" s="165">
        <f>Q79/Q60</f>
        <v>0.7338933691756272</v>
      </c>
      <c r="R81" s="409"/>
    </row>
    <row r="82" spans="1:18" x14ac:dyDescent="0.3">
      <c r="A82" s="415"/>
      <c r="J82" s="416"/>
      <c r="K82" s="411"/>
      <c r="L82" s="466" t="s">
        <v>80</v>
      </c>
      <c r="M82" s="467"/>
      <c r="N82" s="467"/>
      <c r="O82" s="106" t="s">
        <v>81</v>
      </c>
      <c r="P82" s="107">
        <f>(C16/1000)/(P79/60)</f>
        <v>0</v>
      </c>
      <c r="Q82" s="150">
        <f>(C26/1000)/(Q79/60)</f>
        <v>39.249884313665639</v>
      </c>
      <c r="R82" s="395"/>
    </row>
    <row r="83" spans="1:18" x14ac:dyDescent="0.3">
      <c r="A83" s="415"/>
      <c r="J83" s="416"/>
      <c r="K83" s="411"/>
      <c r="L83" s="468" t="s">
        <v>83</v>
      </c>
      <c r="M83" s="469"/>
      <c r="N83" s="469"/>
      <c r="O83" s="85" t="s">
        <v>81</v>
      </c>
      <c r="P83" s="112">
        <f>(C16/1000)/(P75/60)</f>
        <v>0</v>
      </c>
      <c r="Q83" s="113">
        <f>(C26/1000)/(Q75/60)</f>
        <v>34.344697115384619</v>
      </c>
      <c r="R83" s="409"/>
    </row>
    <row r="84" spans="1:18" x14ac:dyDescent="0.3">
      <c r="A84" s="415"/>
      <c r="J84" s="416"/>
      <c r="K84" s="411"/>
      <c r="L84" s="473" t="s">
        <v>84</v>
      </c>
      <c r="M84" s="474"/>
      <c r="N84" s="475"/>
      <c r="O84" s="102" t="s">
        <v>85</v>
      </c>
      <c r="P84" s="144">
        <v>0</v>
      </c>
      <c r="Q84" s="100">
        <f>'1'!Q84+'2'!P84+'3'!P84+'4'!P84+'5'!P84+'6'!P84+'7'!P84+'8'!P84+'9'!P84+'10'!P84+'11'!P84+'12'!P84+'13'!P84+'14'!P84+'15'!P84+'16'!P84+'17'!P84+'18'!P84+'19'!P84+'20'!P86+'21'!P84+'22'!P85+'23'!P84+'24'!P84+'25'!P84+'26'!P84+'27'!P84+'28'!P84+'29'!P84+'30'!P84+'31'!P84</f>
        <v>690137</v>
      </c>
      <c r="R84" s="395"/>
    </row>
    <row r="85" spans="1:18" x14ac:dyDescent="0.3">
      <c r="A85" s="415"/>
      <c r="J85" s="416"/>
      <c r="K85" s="411"/>
      <c r="L85" s="476"/>
      <c r="M85" s="477"/>
      <c r="N85" s="478"/>
      <c r="O85" s="118" t="s">
        <v>86</v>
      </c>
      <c r="P85" s="146" t="e">
        <f>P84/(K17/1000)</f>
        <v>#DIV/0!</v>
      </c>
      <c r="Q85" s="124">
        <f>Q84/(K27/1000)</f>
        <v>32.702903863118983</v>
      </c>
      <c r="R85" s="409"/>
    </row>
    <row r="86" spans="1:18" x14ac:dyDescent="0.3">
      <c r="A86" s="415"/>
      <c r="J86" s="416"/>
      <c r="K86" s="411"/>
      <c r="L86" s="479" t="s">
        <v>88</v>
      </c>
      <c r="M86" s="480"/>
      <c r="N86" s="481"/>
      <c r="O86" s="121" t="s">
        <v>89</v>
      </c>
      <c r="P86" s="143">
        <v>0</v>
      </c>
      <c r="Q86" s="100">
        <f>'1'!Q86+'2'!P86+'3'!P86+'4'!P86+'5'!P86+'6'!P86+'7'!P86+'8'!P86+'9'!P86+'10'!P86+'11'!P86+'12'!P86+'13'!P86+'14'!P86+'15'!P86+'16'!P86+'17'!P86+'18'!P86+'19'!P86+'20'!P88+'21'!P86+'22'!P87+'23'!P86+'24'!P86+'25'!P86+'26'!P86+'27'!P86+'28'!P86+'29'!P86+'30'!P86+'31'!P86</f>
        <v>3974.93</v>
      </c>
      <c r="R86" s="395"/>
    </row>
    <row r="87" spans="1:18" x14ac:dyDescent="0.3">
      <c r="A87" s="415"/>
      <c r="J87" s="416"/>
      <c r="K87" s="411"/>
      <c r="L87" s="482"/>
      <c r="M87" s="483"/>
      <c r="N87" s="484"/>
      <c r="O87" s="123" t="s">
        <v>90</v>
      </c>
      <c r="P87" s="124" t="e">
        <f>(P86*1000)/(K16/1000)</f>
        <v>#DIV/0!</v>
      </c>
      <c r="Q87" s="124">
        <f>(Q86*1000)/(K26/1000)</f>
        <v>189.03239910687631</v>
      </c>
      <c r="R87" s="409"/>
    </row>
    <row r="88" spans="1:18" x14ac:dyDescent="0.3">
      <c r="A88" s="415"/>
      <c r="J88" s="416"/>
      <c r="K88" s="411"/>
      <c r="L88" s="485" t="s">
        <v>91</v>
      </c>
      <c r="M88" s="474"/>
      <c r="N88" s="475"/>
      <c r="O88" s="125" t="s">
        <v>92</v>
      </c>
      <c r="P88" s="140">
        <v>0</v>
      </c>
      <c r="Q88" s="100">
        <f>'1'!Q88+'2'!P88+'3'!P88+'4'!P88+'5'!P88+'6'!P88+'7'!P88+'8'!P88+'9'!P88+'10'!P88+'11'!P88+'12'!P88+'13'!P88+'14'!P88+'15'!P88+'16'!P88+'17'!P88+'18'!P88+'19'!P88+'20'!P90+'21'!P88+'22'!P89+'23'!P88+'24'!P88+'25'!P88+'26'!P88+'27'!P88+'28'!P88+'29'!P88+'30'!P88+'31'!P88</f>
        <v>2270</v>
      </c>
      <c r="R88" s="395"/>
    </row>
    <row r="89" spans="1:18" x14ac:dyDescent="0.3">
      <c r="A89" s="415"/>
      <c r="J89" s="416"/>
      <c r="K89" s="411"/>
      <c r="L89" s="476"/>
      <c r="M89" s="477"/>
      <c r="N89" s="478"/>
      <c r="O89" s="127" t="s">
        <v>93</v>
      </c>
      <c r="P89" s="128" t="e">
        <f>P88/(K16/1000)</f>
        <v>#DIV/0!</v>
      </c>
      <c r="Q89" s="124">
        <f>Q88/(K26/1000)</f>
        <v>0.10795247865311068</v>
      </c>
      <c r="R89" s="409"/>
    </row>
    <row r="90" spans="1:18" x14ac:dyDescent="0.3">
      <c r="A90" s="415"/>
      <c r="J90" s="416"/>
      <c r="K90" s="411"/>
      <c r="L90" s="411"/>
      <c r="M90" s="411"/>
      <c r="N90" s="411"/>
      <c r="O90" s="411"/>
      <c r="P90" s="411"/>
      <c r="Q90" s="411"/>
    </row>
    <row r="91" spans="1:18" x14ac:dyDescent="0.3">
      <c r="A91" s="415"/>
      <c r="J91" s="416"/>
      <c r="K91" s="411"/>
      <c r="L91" s="411"/>
      <c r="M91" s="411"/>
      <c r="N91" s="461" t="s">
        <v>94</v>
      </c>
      <c r="O91" s="462"/>
      <c r="P91" s="461" t="s">
        <v>95</v>
      </c>
      <c r="Q91" s="462"/>
    </row>
    <row r="92" spans="1:18" x14ac:dyDescent="0.3">
      <c r="A92" s="417"/>
      <c r="B92" s="418"/>
      <c r="C92" s="418"/>
      <c r="D92" s="418"/>
      <c r="E92" s="418"/>
      <c r="F92" s="418"/>
      <c r="G92" s="418"/>
      <c r="H92" s="418"/>
      <c r="I92" s="418"/>
      <c r="J92" s="416"/>
      <c r="K92" s="411"/>
      <c r="L92" s="411"/>
      <c r="M92" s="411"/>
      <c r="N92" s="129"/>
      <c r="O92" s="130"/>
      <c r="P92" s="129"/>
      <c r="Q92" s="130"/>
    </row>
    <row r="93" spans="1:18" x14ac:dyDescent="0.3">
      <c r="A93" s="417"/>
      <c r="B93" s="418"/>
      <c r="C93" s="418"/>
      <c r="D93" s="418"/>
      <c r="E93" s="418"/>
      <c r="F93" s="418"/>
      <c r="G93" s="418"/>
      <c r="H93" s="418"/>
      <c r="I93" s="418"/>
      <c r="J93" s="416"/>
      <c r="K93" s="411"/>
      <c r="L93" s="411"/>
      <c r="M93" s="411"/>
      <c r="N93" s="129"/>
      <c r="O93" s="130"/>
      <c r="P93" s="129"/>
      <c r="Q93" s="130"/>
    </row>
    <row r="94" spans="1:18" x14ac:dyDescent="0.3">
      <c r="A94" s="419"/>
      <c r="B94" s="420"/>
      <c r="C94" s="420"/>
      <c r="D94" s="420"/>
      <c r="E94" s="420"/>
      <c r="F94" s="420"/>
      <c r="G94" s="420"/>
      <c r="H94" s="420"/>
      <c r="I94" s="420"/>
      <c r="J94" s="421"/>
      <c r="K94" s="411"/>
      <c r="L94" s="411"/>
      <c r="M94" s="411"/>
      <c r="N94" s="131"/>
      <c r="O94" s="132"/>
      <c r="P94" s="131"/>
      <c r="Q94" s="132"/>
    </row>
  </sheetData>
  <mergeCells count="88">
    <mergeCell ref="A2:Q2"/>
    <mergeCell ref="A3:Q3"/>
    <mergeCell ref="A4:F4"/>
    <mergeCell ref="G4:N4"/>
    <mergeCell ref="A5:C5"/>
    <mergeCell ref="D5:F5"/>
    <mergeCell ref="G5:L5"/>
    <mergeCell ref="M5:N5"/>
    <mergeCell ref="J53:J54"/>
    <mergeCell ref="L53:N54"/>
    <mergeCell ref="O53:O54"/>
    <mergeCell ref="P53:P54"/>
    <mergeCell ref="Q53:Q54"/>
    <mergeCell ref="L55:N55"/>
    <mergeCell ref="L56:N56"/>
    <mergeCell ref="D55:I55"/>
    <mergeCell ref="D56:I56"/>
    <mergeCell ref="A17:J17"/>
    <mergeCell ref="A19:F19"/>
    <mergeCell ref="G19:N19"/>
    <mergeCell ref="A20:C20"/>
    <mergeCell ref="D20:F20"/>
    <mergeCell ref="G20:L20"/>
    <mergeCell ref="M20:N20"/>
    <mergeCell ref="A21:A26"/>
    <mergeCell ref="A27:J27"/>
    <mergeCell ref="A51:Q51"/>
    <mergeCell ref="C53:C54"/>
    <mergeCell ref="D53:I54"/>
    <mergeCell ref="D59:I59"/>
    <mergeCell ref="L64:N64"/>
    <mergeCell ref="D57:I57"/>
    <mergeCell ref="L62:N62"/>
    <mergeCell ref="D60:I60"/>
    <mergeCell ref="L57:N57"/>
    <mergeCell ref="L58:N58"/>
    <mergeCell ref="L59:N59"/>
    <mergeCell ref="L60:N60"/>
    <mergeCell ref="D61:I61"/>
    <mergeCell ref="D58:I58"/>
    <mergeCell ref="D62:I62"/>
    <mergeCell ref="L61:N61"/>
    <mergeCell ref="D63:I63"/>
    <mergeCell ref="L63:N63"/>
    <mergeCell ref="D64:I64"/>
    <mergeCell ref="D65:I65"/>
    <mergeCell ref="L67:N67"/>
    <mergeCell ref="D66:I66"/>
    <mergeCell ref="L65:N65"/>
    <mergeCell ref="D67:I67"/>
    <mergeCell ref="L66:N66"/>
    <mergeCell ref="D68:I68"/>
    <mergeCell ref="L70:N70"/>
    <mergeCell ref="D69:I69"/>
    <mergeCell ref="L68:N68"/>
    <mergeCell ref="D70:I70"/>
    <mergeCell ref="L69:N69"/>
    <mergeCell ref="L84:N85"/>
    <mergeCell ref="L86:N87"/>
    <mergeCell ref="L88:N89"/>
    <mergeCell ref="N91:O91"/>
    <mergeCell ref="P91:Q91"/>
    <mergeCell ref="L81:N81"/>
    <mergeCell ref="D77:I77"/>
    <mergeCell ref="L82:N82"/>
    <mergeCell ref="D78:I78"/>
    <mergeCell ref="L83:N83"/>
    <mergeCell ref="D79:I79"/>
    <mergeCell ref="L80:N80"/>
    <mergeCell ref="L77:N77"/>
    <mergeCell ref="L78:N78"/>
    <mergeCell ref="L79:N79"/>
    <mergeCell ref="D76:I76"/>
    <mergeCell ref="L76:N76"/>
    <mergeCell ref="S71:T71"/>
    <mergeCell ref="S72:T72"/>
    <mergeCell ref="S73:T73"/>
    <mergeCell ref="S74:T74"/>
    <mergeCell ref="D75:I75"/>
    <mergeCell ref="L74:N74"/>
    <mergeCell ref="L75:N75"/>
    <mergeCell ref="D71:I71"/>
    <mergeCell ref="L73:N73"/>
    <mergeCell ref="D72:I72"/>
    <mergeCell ref="D73:I73"/>
    <mergeCell ref="D74:I74"/>
    <mergeCell ref="L71:N71"/>
    <mergeCell ref="L72:N72"/>
  </mergeCells>
  <pageMargins left="0.7" right="0.7" top="0.25" bottom="0.25" header="0.3" footer="0.3"/>
  <pageSetup paperSize="9" scale="78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1" topLeftCell="A41" activePane="bottomLeft" state="frozen"/>
      <selection pane="bottomLeft" activeCell="D1" sqref="D1:D1048576"/>
    </sheetView>
  </sheetViews>
  <sheetFormatPr defaultRowHeight="15" x14ac:dyDescent="0.25"/>
  <cols>
    <col min="4" max="4" width="10.42578125" customWidth="1"/>
    <col min="5" max="5" width="12.85546875" customWidth="1"/>
    <col min="8" max="8" width="13.140625" bestFit="1" customWidth="1"/>
    <col min="9" max="9" width="11" bestFit="1" customWidth="1"/>
    <col min="10" max="10" width="14" customWidth="1"/>
  </cols>
  <sheetData>
    <row r="1" spans="1:10" x14ac:dyDescent="0.25">
      <c r="A1" s="137" t="s">
        <v>15</v>
      </c>
      <c r="B1" s="137" t="s">
        <v>16</v>
      </c>
      <c r="C1" s="137" t="s">
        <v>17</v>
      </c>
      <c r="D1" s="137" t="s">
        <v>18</v>
      </c>
      <c r="E1" s="137" t="s">
        <v>13</v>
      </c>
      <c r="F1" s="76"/>
      <c r="H1" s="156" t="s">
        <v>143</v>
      </c>
      <c r="I1" s="315" t="s">
        <v>144</v>
      </c>
      <c r="J1" s="315" t="s">
        <v>145</v>
      </c>
    </row>
    <row r="2" spans="1:10" x14ac:dyDescent="0.25">
      <c r="A2" s="21" t="s">
        <v>1</v>
      </c>
      <c r="B2" s="136" t="str">
        <f>'31'!B30</f>
        <v>P.6</v>
      </c>
      <c r="C2" s="158" t="str">
        <f>'31'!C30</f>
        <v>BjTPG280</v>
      </c>
      <c r="D2" s="158">
        <f>'31'!D30</f>
        <v>239</v>
      </c>
      <c r="E2" s="158">
        <f>'31'!E30</f>
        <v>497038</v>
      </c>
      <c r="F2" s="79"/>
      <c r="H2" s="164">
        <v>0</v>
      </c>
      <c r="I2" s="157">
        <v>0</v>
      </c>
      <c r="J2" s="157">
        <v>0</v>
      </c>
    </row>
    <row r="3" spans="1:10" x14ac:dyDescent="0.25">
      <c r="A3" s="21" t="s">
        <v>1</v>
      </c>
      <c r="B3" s="136">
        <f>'31'!B31</f>
        <v>6.5</v>
      </c>
      <c r="C3" s="158">
        <f>'31'!C31</f>
        <v>8</v>
      </c>
      <c r="D3" s="158">
        <f>'31'!D31</f>
        <v>180</v>
      </c>
      <c r="E3" s="158">
        <f>'31'!E31</f>
        <v>377095</v>
      </c>
      <c r="F3" s="135"/>
      <c r="H3" s="164">
        <v>5.5</v>
      </c>
      <c r="I3" s="157">
        <v>4905</v>
      </c>
      <c r="J3" s="157">
        <v>10259255</v>
      </c>
    </row>
    <row r="4" spans="1:10" x14ac:dyDescent="0.25">
      <c r="A4" s="21" t="s">
        <v>1</v>
      </c>
      <c r="B4" s="136">
        <f>'31'!B32</f>
        <v>6.5</v>
      </c>
      <c r="C4" s="158">
        <f>'31'!C32</f>
        <v>10</v>
      </c>
      <c r="D4" s="158">
        <f>'31'!D32</f>
        <v>48</v>
      </c>
      <c r="E4" s="158">
        <f>'31'!E32</f>
        <v>99149</v>
      </c>
      <c r="F4" s="135"/>
      <c r="H4" s="164">
        <v>6.5</v>
      </c>
      <c r="I4" s="157">
        <v>779</v>
      </c>
      <c r="J4" s="157">
        <v>1623423</v>
      </c>
    </row>
    <row r="5" spans="1:10" x14ac:dyDescent="0.25">
      <c r="A5" s="21" t="s">
        <v>1</v>
      </c>
      <c r="B5" s="136">
        <f>'31'!B33</f>
        <v>6.5</v>
      </c>
      <c r="C5" s="158">
        <f>'31'!C33</f>
        <v>15</v>
      </c>
      <c r="D5" s="158">
        <f>'31'!D33</f>
        <v>6</v>
      </c>
      <c r="E5" s="158">
        <f>'31'!E33</f>
        <v>12304</v>
      </c>
      <c r="F5" s="135"/>
      <c r="H5" s="164">
        <v>7</v>
      </c>
      <c r="I5" s="157">
        <v>239</v>
      </c>
      <c r="J5" s="157">
        <v>499015</v>
      </c>
    </row>
    <row r="6" spans="1:10" x14ac:dyDescent="0.25">
      <c r="A6" s="21" t="s">
        <v>1</v>
      </c>
      <c r="B6" s="136">
        <f>'31'!B34</f>
        <v>5.5</v>
      </c>
      <c r="C6" s="158">
        <f>'31'!C34</f>
        <v>6</v>
      </c>
      <c r="D6" s="158">
        <f>'31'!D34</f>
        <v>995</v>
      </c>
      <c r="E6" s="158">
        <f>'31'!E34</f>
        <v>2086453</v>
      </c>
      <c r="F6" s="135"/>
      <c r="H6" s="164">
        <v>7.5</v>
      </c>
      <c r="I6" s="157">
        <v>639</v>
      </c>
      <c r="J6" s="157">
        <v>1325306</v>
      </c>
    </row>
    <row r="7" spans="1:10" x14ac:dyDescent="0.25">
      <c r="A7" s="21" t="s">
        <v>1</v>
      </c>
      <c r="B7" s="136">
        <f>'31'!B35</f>
        <v>5.5</v>
      </c>
      <c r="C7" s="158" t="str">
        <f>'31'!C35</f>
        <v>8.A</v>
      </c>
      <c r="D7" s="158">
        <f>'31'!D35</f>
        <v>75</v>
      </c>
      <c r="E7" s="158">
        <f>'31'!E35</f>
        <v>157414</v>
      </c>
      <c r="F7" s="135"/>
      <c r="H7" s="164" t="s">
        <v>201</v>
      </c>
      <c r="I7" s="157">
        <v>239</v>
      </c>
      <c r="J7" s="157">
        <v>497038</v>
      </c>
    </row>
    <row r="8" spans="1:10" x14ac:dyDescent="0.25">
      <c r="A8" s="21" t="s">
        <v>1</v>
      </c>
      <c r="B8" s="136">
        <f>'31'!B36</f>
        <v>5.5</v>
      </c>
      <c r="C8" s="158" t="str">
        <f>'31'!C36</f>
        <v>22.A</v>
      </c>
      <c r="D8" s="158">
        <f>'31'!D36</f>
        <v>813</v>
      </c>
      <c r="E8" s="158">
        <f>'31'!E36</f>
        <v>1694379</v>
      </c>
      <c r="F8" s="135"/>
      <c r="H8" s="164" t="s">
        <v>246</v>
      </c>
      <c r="I8" s="157">
        <v>240</v>
      </c>
      <c r="J8" s="157">
        <v>499780</v>
      </c>
    </row>
    <row r="9" spans="1:10" x14ac:dyDescent="0.25">
      <c r="A9" s="21" t="s">
        <v>1</v>
      </c>
      <c r="B9" s="136">
        <f>'31'!B37</f>
        <v>5.5</v>
      </c>
      <c r="C9" s="158" t="str">
        <f>'31'!C37</f>
        <v>Y.11</v>
      </c>
      <c r="D9" s="158">
        <f>'31'!D37</f>
        <v>1052</v>
      </c>
      <c r="E9" s="158">
        <f>'31'!E37</f>
        <v>2198500</v>
      </c>
      <c r="F9" s="135"/>
      <c r="H9" s="164" t="s">
        <v>259</v>
      </c>
      <c r="I9" s="157">
        <v>476</v>
      </c>
      <c r="J9" s="157">
        <v>981350</v>
      </c>
    </row>
    <row r="10" spans="1:10" x14ac:dyDescent="0.25">
      <c r="A10" s="21" t="s">
        <v>1</v>
      </c>
      <c r="B10" s="136">
        <f>'31'!B38</f>
        <v>5.5</v>
      </c>
      <c r="C10" s="158" t="str">
        <f>'31'!C38</f>
        <v>67.A</v>
      </c>
      <c r="D10" s="158">
        <f>'31'!D38</f>
        <v>312</v>
      </c>
      <c r="E10" s="158">
        <f>'31'!E38</f>
        <v>660228</v>
      </c>
      <c r="F10" s="135"/>
      <c r="H10" s="164" t="s">
        <v>260</v>
      </c>
      <c r="I10" s="157">
        <v>292</v>
      </c>
      <c r="J10" s="157">
        <v>602112</v>
      </c>
    </row>
    <row r="11" spans="1:10" x14ac:dyDescent="0.25">
      <c r="A11" s="21" t="s">
        <v>1</v>
      </c>
      <c r="B11" s="136" t="str">
        <f>'31'!B39</f>
        <v>P.8</v>
      </c>
      <c r="C11" s="158" t="str">
        <f>'31'!C39</f>
        <v>BjTPG280</v>
      </c>
      <c r="D11" s="158">
        <f>'31'!D39</f>
        <v>240</v>
      </c>
      <c r="E11" s="158">
        <f>'31'!E39</f>
        <v>499780</v>
      </c>
      <c r="F11" s="135"/>
      <c r="H11" s="164" t="s">
        <v>277</v>
      </c>
      <c r="I11" s="157">
        <v>287</v>
      </c>
      <c r="J11" s="157">
        <v>595480</v>
      </c>
    </row>
    <row r="12" spans="1:10" x14ac:dyDescent="0.25">
      <c r="A12" s="21" t="s">
        <v>1</v>
      </c>
      <c r="B12" s="136" t="str">
        <f>'31'!B40</f>
        <v>S.8</v>
      </c>
      <c r="C12" s="158" t="str">
        <f>'31'!C40</f>
        <v>BjTSG420</v>
      </c>
      <c r="D12" s="158">
        <f>'31'!D40</f>
        <v>476</v>
      </c>
      <c r="E12" s="158">
        <f>'31'!E40</f>
        <v>981350</v>
      </c>
      <c r="F12" s="135"/>
      <c r="H12" s="164" t="s">
        <v>301</v>
      </c>
      <c r="I12" s="157">
        <v>48</v>
      </c>
      <c r="J12" s="157">
        <v>98404</v>
      </c>
    </row>
    <row r="13" spans="1:10" x14ac:dyDescent="0.25">
      <c r="A13" s="21" t="s">
        <v>1</v>
      </c>
      <c r="B13" s="136" t="str">
        <f>'31'!B41</f>
        <v>S.10</v>
      </c>
      <c r="C13" s="158" t="str">
        <f>'31'!C41</f>
        <v>BjTSG420</v>
      </c>
      <c r="D13" s="158">
        <f>'31'!D41</f>
        <v>292</v>
      </c>
      <c r="E13" s="158">
        <f>'31'!E41</f>
        <v>602112</v>
      </c>
      <c r="F13" s="135"/>
      <c r="H13" s="164">
        <v>17</v>
      </c>
      <c r="I13" s="157">
        <v>91</v>
      </c>
      <c r="J13" s="157">
        <v>188048</v>
      </c>
    </row>
    <row r="14" spans="1:10" x14ac:dyDescent="0.25">
      <c r="A14" s="21" t="s">
        <v>1</v>
      </c>
      <c r="B14" s="136">
        <f>'31'!B42</f>
        <v>5.5</v>
      </c>
      <c r="C14" s="158">
        <f>'31'!C42</f>
        <v>8</v>
      </c>
      <c r="D14" s="158">
        <f>'31'!D42</f>
        <v>480</v>
      </c>
      <c r="E14" s="158">
        <f>'31'!E42</f>
        <v>1006478</v>
      </c>
      <c r="F14" s="135"/>
      <c r="H14" s="164">
        <v>8.5</v>
      </c>
      <c r="I14" s="157">
        <v>744</v>
      </c>
      <c r="J14" s="157">
        <v>1546626</v>
      </c>
    </row>
    <row r="15" spans="1:10" x14ac:dyDescent="0.25">
      <c r="A15" s="21" t="s">
        <v>1</v>
      </c>
      <c r="B15" s="136">
        <f>'31'!B43</f>
        <v>5.5</v>
      </c>
      <c r="C15" s="158" t="str">
        <f>'31'!C43</f>
        <v>67.B</v>
      </c>
      <c r="D15" s="158">
        <f>'31'!D43</f>
        <v>288</v>
      </c>
      <c r="E15" s="158">
        <f>'31'!E43</f>
        <v>609307</v>
      </c>
      <c r="F15" s="135"/>
      <c r="H15" s="164">
        <v>18</v>
      </c>
      <c r="I15" s="157">
        <v>68</v>
      </c>
      <c r="J15" s="157">
        <v>140152</v>
      </c>
    </row>
    <row r="16" spans="1:10" x14ac:dyDescent="0.25">
      <c r="A16" s="21" t="s">
        <v>1</v>
      </c>
      <c r="B16" s="136" t="str">
        <f>'31'!B44</f>
        <v>P.10</v>
      </c>
      <c r="C16" s="158" t="str">
        <f>'31'!C44</f>
        <v>BjTPG280</v>
      </c>
      <c r="D16" s="158">
        <f>'31'!D44</f>
        <v>287</v>
      </c>
      <c r="E16" s="158">
        <f>'31'!E44</f>
        <v>595480</v>
      </c>
      <c r="F16" s="135"/>
      <c r="H16" s="164">
        <v>9.5</v>
      </c>
      <c r="I16" s="157">
        <v>322</v>
      </c>
      <c r="J16" s="157">
        <v>664963</v>
      </c>
    </row>
    <row r="17" spans="1:10" x14ac:dyDescent="0.25">
      <c r="A17" s="21" t="s">
        <v>1</v>
      </c>
      <c r="B17" s="136" t="str">
        <f>'31'!B45</f>
        <v>S.6</v>
      </c>
      <c r="C17" s="158" t="str">
        <f>'31'!C45</f>
        <v>BjTSG420</v>
      </c>
      <c r="D17" s="158">
        <f>'31'!D45</f>
        <v>48</v>
      </c>
      <c r="E17" s="158">
        <f>'31'!E45</f>
        <v>98404</v>
      </c>
      <c r="F17" s="135"/>
      <c r="H17" s="164">
        <v>12</v>
      </c>
      <c r="I17" s="157">
        <v>197</v>
      </c>
      <c r="J17" s="157">
        <v>409962</v>
      </c>
    </row>
    <row r="18" spans="1:10" x14ac:dyDescent="0.25">
      <c r="A18" s="21" t="s">
        <v>1</v>
      </c>
      <c r="B18" s="136">
        <f>'31'!B46</f>
        <v>17</v>
      </c>
      <c r="C18" s="158">
        <f>'31'!C46</f>
        <v>8</v>
      </c>
      <c r="D18" s="158">
        <f>'31'!D46</f>
        <v>91</v>
      </c>
      <c r="E18" s="158">
        <f>'31'!E46</f>
        <v>188048</v>
      </c>
      <c r="F18" s="135"/>
      <c r="H18" s="164">
        <v>9</v>
      </c>
      <c r="I18" s="157">
        <v>239</v>
      </c>
      <c r="J18" s="157">
        <v>498044</v>
      </c>
    </row>
    <row r="19" spans="1:10" x14ac:dyDescent="0.25">
      <c r="A19" s="21" t="s">
        <v>1</v>
      </c>
      <c r="B19" s="136">
        <f>'31'!B47</f>
        <v>8.5</v>
      </c>
      <c r="C19" s="158">
        <f>'31'!C47</f>
        <v>15</v>
      </c>
      <c r="D19" s="158">
        <f>'31'!D47</f>
        <v>576</v>
      </c>
      <c r="E19" s="158">
        <f>'31'!E47</f>
        <v>1194727</v>
      </c>
      <c r="F19" s="135"/>
      <c r="H19" s="164">
        <v>10</v>
      </c>
      <c r="I19" s="157">
        <v>167</v>
      </c>
      <c r="J19" s="157">
        <v>349862</v>
      </c>
    </row>
    <row r="20" spans="1:10" x14ac:dyDescent="0.25">
      <c r="A20" s="21" t="s">
        <v>1</v>
      </c>
      <c r="B20" s="136">
        <f>'31'!B48</f>
        <v>6.5</v>
      </c>
      <c r="C20" s="158">
        <f>'31'!C48</f>
        <v>8</v>
      </c>
      <c r="D20" s="158">
        <f>'31'!D48</f>
        <v>264</v>
      </c>
      <c r="E20" s="158">
        <f>'31'!E48</f>
        <v>552714</v>
      </c>
      <c r="F20" s="135"/>
      <c r="H20" s="164">
        <v>8</v>
      </c>
      <c r="I20" s="157">
        <v>119</v>
      </c>
      <c r="J20" s="157">
        <v>248951</v>
      </c>
    </row>
    <row r="21" spans="1:10" x14ac:dyDescent="0.25">
      <c r="A21" s="154" t="s">
        <v>1</v>
      </c>
      <c r="B21" s="160">
        <f>'31'!B49</f>
        <v>6.5</v>
      </c>
      <c r="C21" s="161">
        <f>'31'!C49</f>
        <v>15</v>
      </c>
      <c r="D21" s="161">
        <f>'31'!D49</f>
        <v>281</v>
      </c>
      <c r="E21" s="161">
        <f>'31'!E49</f>
        <v>582161</v>
      </c>
      <c r="F21" s="3"/>
      <c r="H21" s="157"/>
      <c r="I21" s="157"/>
      <c r="J21" s="157"/>
    </row>
    <row r="22" spans="1:10" x14ac:dyDescent="0.25">
      <c r="A22" s="21" t="s">
        <v>1</v>
      </c>
      <c r="B22" s="136">
        <f>'31'!H30</f>
        <v>18</v>
      </c>
      <c r="C22" s="158">
        <f>'31'!I30</f>
        <v>8</v>
      </c>
      <c r="D22" s="158">
        <f>'31'!J30</f>
        <v>68</v>
      </c>
      <c r="E22" s="158">
        <f>'31'!K30</f>
        <v>140152</v>
      </c>
      <c r="H22" s="157"/>
      <c r="I22" s="157"/>
      <c r="J22" s="157"/>
    </row>
    <row r="23" spans="1:10" x14ac:dyDescent="0.25">
      <c r="A23" s="21" t="s">
        <v>1</v>
      </c>
      <c r="B23" s="136">
        <f>'31'!H31</f>
        <v>7.5</v>
      </c>
      <c r="C23" s="158">
        <f>'31'!I31</f>
        <v>8</v>
      </c>
      <c r="D23" s="158">
        <f>'31'!J31</f>
        <v>96</v>
      </c>
      <c r="E23" s="158">
        <f>'31'!K31</f>
        <v>200884</v>
      </c>
      <c r="H23" s="157"/>
      <c r="I23" s="157"/>
      <c r="J23" s="157"/>
    </row>
    <row r="24" spans="1:10" x14ac:dyDescent="0.25">
      <c r="A24" s="21" t="s">
        <v>1</v>
      </c>
      <c r="B24" s="136">
        <f>'31'!H32</f>
        <v>7.5</v>
      </c>
      <c r="C24" s="158">
        <f>'31'!I32</f>
        <v>15</v>
      </c>
      <c r="D24" s="158">
        <f>'31'!J32</f>
        <v>543</v>
      </c>
      <c r="E24" s="158">
        <f>'31'!K32</f>
        <v>1124422</v>
      </c>
      <c r="H24" s="157"/>
      <c r="I24" s="157"/>
      <c r="J24" s="157"/>
    </row>
    <row r="25" spans="1:10" x14ac:dyDescent="0.25">
      <c r="A25" s="21" t="s">
        <v>1</v>
      </c>
      <c r="B25" s="136">
        <f>'31'!H33</f>
        <v>5.5</v>
      </c>
      <c r="C25" s="158">
        <f>'31'!I33</f>
        <v>22</v>
      </c>
      <c r="D25" s="158">
        <f>'31'!J33</f>
        <v>436</v>
      </c>
      <c r="E25" s="158">
        <f>'31'!K33</f>
        <v>893285</v>
      </c>
      <c r="H25" s="157"/>
      <c r="I25" s="157"/>
      <c r="J25" s="157"/>
    </row>
    <row r="26" spans="1:10" x14ac:dyDescent="0.25">
      <c r="A26" s="21" t="s">
        <v>1</v>
      </c>
      <c r="B26" s="136">
        <f>'31'!H34</f>
        <v>5.5</v>
      </c>
      <c r="C26" s="158">
        <f>'31'!I34</f>
        <v>1045</v>
      </c>
      <c r="D26" s="158">
        <f>'31'!J34</f>
        <v>50</v>
      </c>
      <c r="E26" s="158">
        <f>'31'!K34</f>
        <v>104556</v>
      </c>
      <c r="H26" s="157"/>
      <c r="I26" s="157"/>
      <c r="J26" s="157"/>
    </row>
    <row r="27" spans="1:10" x14ac:dyDescent="0.25">
      <c r="A27" s="21" t="s">
        <v>1</v>
      </c>
      <c r="B27" s="136">
        <f>'31'!H35</f>
        <v>9.5</v>
      </c>
      <c r="C27" s="158">
        <f>'31'!I35</f>
        <v>15</v>
      </c>
      <c r="D27" s="158">
        <f>'31'!J35</f>
        <v>322</v>
      </c>
      <c r="E27" s="158">
        <f>'31'!K35</f>
        <v>664963</v>
      </c>
      <c r="H27" s="157"/>
      <c r="I27" s="157"/>
      <c r="J27" s="157"/>
    </row>
    <row r="28" spans="1:10" x14ac:dyDescent="0.25">
      <c r="A28" s="21" t="s">
        <v>1</v>
      </c>
      <c r="B28" s="136">
        <f>'31'!H36</f>
        <v>12</v>
      </c>
      <c r="C28" s="158">
        <f>'31'!I36</f>
        <v>8</v>
      </c>
      <c r="D28" s="158">
        <f>'31'!J36</f>
        <v>143</v>
      </c>
      <c r="E28" s="158">
        <f>'31'!K36</f>
        <v>298814</v>
      </c>
      <c r="H28" s="157"/>
      <c r="I28" s="157"/>
      <c r="J28" s="157"/>
    </row>
    <row r="29" spans="1:10" x14ac:dyDescent="0.25">
      <c r="A29" s="21" t="s">
        <v>1</v>
      </c>
      <c r="B29" s="136">
        <f>'31'!H37</f>
        <v>9</v>
      </c>
      <c r="C29" s="158">
        <f>'31'!I37</f>
        <v>8</v>
      </c>
      <c r="D29" s="158">
        <f>'31'!J37</f>
        <v>191</v>
      </c>
      <c r="E29" s="158">
        <f>'31'!K37</f>
        <v>398927</v>
      </c>
      <c r="H29" s="157"/>
      <c r="I29" s="157"/>
      <c r="J29" s="157"/>
    </row>
    <row r="30" spans="1:10" x14ac:dyDescent="0.25">
      <c r="A30" s="21" t="s">
        <v>1</v>
      </c>
      <c r="B30" s="136">
        <f>'31'!H38</f>
        <v>9</v>
      </c>
      <c r="C30" s="158">
        <f>'31'!I38</f>
        <v>10</v>
      </c>
      <c r="D30" s="158">
        <f>'31'!J38</f>
        <v>48</v>
      </c>
      <c r="E30" s="158">
        <f>'31'!K38</f>
        <v>99117</v>
      </c>
      <c r="H30" s="157"/>
      <c r="I30" s="157"/>
      <c r="J30" s="157"/>
    </row>
    <row r="31" spans="1:10" x14ac:dyDescent="0.25">
      <c r="A31" s="21" t="s">
        <v>1</v>
      </c>
      <c r="B31" s="136">
        <f>'31'!H39</f>
        <v>5.5</v>
      </c>
      <c r="C31" s="158">
        <f>'31'!I39</f>
        <v>15</v>
      </c>
      <c r="D31" s="158">
        <f>'31'!J39</f>
        <v>116</v>
      </c>
      <c r="E31" s="158">
        <f>'31'!K39</f>
        <v>239659</v>
      </c>
      <c r="H31" s="157"/>
      <c r="I31" s="157"/>
      <c r="J31" s="157"/>
    </row>
    <row r="32" spans="1:10" x14ac:dyDescent="0.25">
      <c r="A32" s="21" t="s">
        <v>1</v>
      </c>
      <c r="B32" s="136">
        <f>'31'!H40</f>
        <v>5.5</v>
      </c>
      <c r="C32" s="158" t="str">
        <f>'31'!I40</f>
        <v>72.A</v>
      </c>
      <c r="D32" s="158">
        <f>'31'!J40</f>
        <v>48</v>
      </c>
      <c r="E32" s="158">
        <f>'31'!K40</f>
        <v>101358</v>
      </c>
      <c r="H32" s="157"/>
      <c r="I32" s="157"/>
      <c r="J32" s="157"/>
    </row>
    <row r="33" spans="1:10" x14ac:dyDescent="0.25">
      <c r="A33" s="21" t="s">
        <v>1</v>
      </c>
      <c r="B33" s="136">
        <f>'31'!H41</f>
        <v>12</v>
      </c>
      <c r="C33" s="158">
        <f>'31'!I41</f>
        <v>15</v>
      </c>
      <c r="D33" s="158">
        <f>'31'!J41</f>
        <v>54</v>
      </c>
      <c r="E33" s="158">
        <f>'31'!K41</f>
        <v>111148</v>
      </c>
      <c r="H33" s="157"/>
      <c r="I33" s="157"/>
      <c r="J33" s="157"/>
    </row>
    <row r="34" spans="1:10" x14ac:dyDescent="0.25">
      <c r="A34" s="21" t="s">
        <v>1</v>
      </c>
      <c r="B34" s="136">
        <f>'31'!H42</f>
        <v>8.5</v>
      </c>
      <c r="C34" s="158">
        <f>'31'!I42</f>
        <v>8</v>
      </c>
      <c r="D34" s="158">
        <f>'31'!J42</f>
        <v>168</v>
      </c>
      <c r="E34" s="158">
        <f>'31'!K42</f>
        <v>351899</v>
      </c>
      <c r="H34" s="157"/>
      <c r="I34" s="157"/>
      <c r="J34" s="157"/>
    </row>
    <row r="35" spans="1:10" x14ac:dyDescent="0.25">
      <c r="A35" s="21" t="s">
        <v>1</v>
      </c>
      <c r="B35" s="136">
        <f>'31'!H43</f>
        <v>7</v>
      </c>
      <c r="C35" s="158">
        <f>'31'!I43</f>
        <v>6</v>
      </c>
      <c r="D35" s="158">
        <f>'31'!J43</f>
        <v>48</v>
      </c>
      <c r="E35" s="158">
        <f>'31'!K43</f>
        <v>100641</v>
      </c>
      <c r="H35" s="157"/>
      <c r="I35" s="157"/>
      <c r="J35" s="157"/>
    </row>
    <row r="36" spans="1:10" x14ac:dyDescent="0.25">
      <c r="A36" s="21" t="s">
        <v>1</v>
      </c>
      <c r="B36" s="136">
        <f>'31'!H44</f>
        <v>7</v>
      </c>
      <c r="C36" s="158">
        <f>'31'!I44</f>
        <v>8</v>
      </c>
      <c r="D36" s="158">
        <f>'31'!J44</f>
        <v>143</v>
      </c>
      <c r="E36" s="158">
        <f>'31'!K44</f>
        <v>299375</v>
      </c>
      <c r="H36" s="157"/>
      <c r="I36" s="157"/>
      <c r="J36" s="157"/>
    </row>
    <row r="37" spans="1:10" x14ac:dyDescent="0.25">
      <c r="A37" s="21" t="s">
        <v>1</v>
      </c>
      <c r="B37" s="136">
        <f>'31'!H45</f>
        <v>7</v>
      </c>
      <c r="C37" s="158">
        <f>'31'!I45</f>
        <v>10</v>
      </c>
      <c r="D37" s="158">
        <f>'31'!J45</f>
        <v>48</v>
      </c>
      <c r="E37" s="158">
        <f>'31'!K45</f>
        <v>98999</v>
      </c>
      <c r="H37" s="157"/>
      <c r="I37" s="157"/>
      <c r="J37" s="157"/>
    </row>
    <row r="38" spans="1:10" x14ac:dyDescent="0.25">
      <c r="A38" s="21" t="s">
        <v>1</v>
      </c>
      <c r="B38" s="136">
        <f>'31'!H46</f>
        <v>5.5</v>
      </c>
      <c r="C38" s="158" t="str">
        <f>'31'!I46</f>
        <v>72.A</v>
      </c>
      <c r="D38" s="158">
        <f>'31'!J46</f>
        <v>96</v>
      </c>
      <c r="E38" s="158">
        <f>'31'!K46</f>
        <v>203214</v>
      </c>
      <c r="H38" s="157"/>
      <c r="I38" s="157"/>
      <c r="J38" s="157"/>
    </row>
    <row r="39" spans="1:10" x14ac:dyDescent="0.25">
      <c r="A39" s="21" t="s">
        <v>1</v>
      </c>
      <c r="B39" s="136">
        <f>'31'!H47</f>
        <v>5.5</v>
      </c>
      <c r="C39" s="158" t="str">
        <f>'31'!I47</f>
        <v>72.B</v>
      </c>
      <c r="D39" s="158">
        <f>'31'!J47</f>
        <v>144</v>
      </c>
      <c r="E39" s="158">
        <f>'31'!K47</f>
        <v>304424</v>
      </c>
      <c r="H39" s="157"/>
      <c r="I39" s="157"/>
      <c r="J39" s="157"/>
    </row>
    <row r="40" spans="1:10" x14ac:dyDescent="0.25">
      <c r="A40" s="21" t="s">
        <v>1</v>
      </c>
      <c r="B40" s="136">
        <f>'31'!H48</f>
        <v>10</v>
      </c>
      <c r="C40" s="158">
        <f>'31'!I48</f>
        <v>8</v>
      </c>
      <c r="D40" s="158">
        <f>'31'!J48</f>
        <v>167</v>
      </c>
      <c r="E40" s="158">
        <f>'31'!K48</f>
        <v>349862</v>
      </c>
      <c r="H40" s="157"/>
      <c r="I40" s="157"/>
      <c r="J40" s="157"/>
    </row>
    <row r="41" spans="1:10" x14ac:dyDescent="0.25">
      <c r="A41" s="154" t="s">
        <v>1</v>
      </c>
      <c r="B41" s="160">
        <f>'31'!H49</f>
        <v>8</v>
      </c>
      <c r="C41" s="161">
        <f>'31'!I49</f>
        <v>8</v>
      </c>
      <c r="D41" s="161">
        <f>'31'!J49</f>
        <v>119</v>
      </c>
      <c r="E41" s="161">
        <f>'31'!K49</f>
        <v>248951</v>
      </c>
      <c r="H41" s="157"/>
      <c r="I41" s="157"/>
      <c r="J41" s="157"/>
    </row>
    <row r="42" spans="1:10" x14ac:dyDescent="0.25">
      <c r="A42" s="155" t="s">
        <v>1</v>
      </c>
      <c r="B42" s="162">
        <f>'31'!N30</f>
        <v>0</v>
      </c>
      <c r="C42" s="163">
        <f>'31'!O30</f>
        <v>0</v>
      </c>
      <c r="D42" s="163">
        <f>'31'!P30</f>
        <v>0</v>
      </c>
      <c r="E42" s="163">
        <f>'31'!Q30</f>
        <v>0</v>
      </c>
      <c r="H42" s="157"/>
      <c r="I42" s="157"/>
      <c r="J42" s="157"/>
    </row>
    <row r="43" spans="1:10" x14ac:dyDescent="0.25">
      <c r="A43" s="21" t="s">
        <v>1</v>
      </c>
      <c r="B43" s="162">
        <f>'31'!N31</f>
        <v>0</v>
      </c>
      <c r="C43" s="163">
        <f>'31'!O31</f>
        <v>0</v>
      </c>
      <c r="D43" s="163">
        <f>'31'!P31</f>
        <v>0</v>
      </c>
      <c r="E43" s="163">
        <f>'31'!Q31</f>
        <v>0</v>
      </c>
      <c r="H43" s="157"/>
      <c r="I43" s="157"/>
      <c r="J43" s="157"/>
    </row>
    <row r="44" spans="1:10" x14ac:dyDescent="0.25">
      <c r="A44" s="21" t="s">
        <v>1</v>
      </c>
      <c r="B44" s="162">
        <f>'31'!N32</f>
        <v>0</v>
      </c>
      <c r="C44" s="163">
        <f>'31'!O32</f>
        <v>0</v>
      </c>
      <c r="D44" s="163">
        <f>'31'!P32</f>
        <v>0</v>
      </c>
      <c r="E44" s="163">
        <f>'31'!Q32</f>
        <v>0</v>
      </c>
      <c r="H44" s="157"/>
      <c r="I44" s="157"/>
      <c r="J44" s="157"/>
    </row>
    <row r="45" spans="1:10" x14ac:dyDescent="0.25">
      <c r="A45" s="21" t="s">
        <v>1</v>
      </c>
      <c r="B45" s="162">
        <f>'31'!N33</f>
        <v>0</v>
      </c>
      <c r="C45" s="163">
        <f>'31'!O33</f>
        <v>0</v>
      </c>
      <c r="D45" s="163">
        <f>'31'!P33</f>
        <v>0</v>
      </c>
      <c r="E45" s="163">
        <f>'31'!Q33</f>
        <v>0</v>
      </c>
      <c r="H45" s="157"/>
      <c r="I45" s="157"/>
      <c r="J45" s="157"/>
    </row>
    <row r="46" spans="1:10" x14ac:dyDescent="0.25">
      <c r="A46" s="21" t="s">
        <v>1</v>
      </c>
      <c r="B46" s="162">
        <f>'31'!N34</f>
        <v>0</v>
      </c>
      <c r="C46" s="163">
        <f>'31'!O34</f>
        <v>0</v>
      </c>
      <c r="D46" s="163">
        <f>'31'!P34</f>
        <v>0</v>
      </c>
      <c r="E46" s="163">
        <f>'31'!Q34</f>
        <v>0</v>
      </c>
      <c r="H46" s="157"/>
      <c r="I46" s="157"/>
      <c r="J46" s="157"/>
    </row>
    <row r="47" spans="1:10" x14ac:dyDescent="0.25">
      <c r="A47" s="21" t="s">
        <v>1</v>
      </c>
      <c r="B47" s="162">
        <f>'31'!N35</f>
        <v>0</v>
      </c>
      <c r="C47" s="163">
        <f>'31'!O35</f>
        <v>0</v>
      </c>
      <c r="D47" s="163">
        <f>'31'!P35</f>
        <v>0</v>
      </c>
      <c r="E47" s="163">
        <f>'31'!Q35</f>
        <v>0</v>
      </c>
      <c r="H47" s="157"/>
      <c r="I47" s="157"/>
      <c r="J47" s="157"/>
    </row>
    <row r="48" spans="1:10" x14ac:dyDescent="0.25">
      <c r="A48" s="21" t="s">
        <v>1</v>
      </c>
      <c r="B48" s="162">
        <f>'31'!N36</f>
        <v>0</v>
      </c>
      <c r="C48" s="163">
        <f>'31'!O36</f>
        <v>0</v>
      </c>
      <c r="D48" s="163">
        <f>'31'!P36</f>
        <v>0</v>
      </c>
      <c r="E48" s="163">
        <f>'31'!Q36</f>
        <v>0</v>
      </c>
      <c r="H48" s="157"/>
      <c r="I48" s="157"/>
      <c r="J48" s="157"/>
    </row>
    <row r="49" spans="1:10" x14ac:dyDescent="0.25">
      <c r="A49" s="21" t="s">
        <v>1</v>
      </c>
      <c r="B49" s="162">
        <f>'31'!N37</f>
        <v>0</v>
      </c>
      <c r="C49" s="163">
        <f>'31'!O37</f>
        <v>0</v>
      </c>
      <c r="D49" s="163">
        <f>'31'!P37</f>
        <v>0</v>
      </c>
      <c r="E49" s="163">
        <f>'31'!Q37</f>
        <v>0</v>
      </c>
      <c r="H49" s="157"/>
      <c r="I49" s="157"/>
      <c r="J49" s="157"/>
    </row>
    <row r="50" spans="1:10" x14ac:dyDescent="0.25">
      <c r="A50" s="21" t="s">
        <v>1</v>
      </c>
      <c r="B50" s="162">
        <f>'31'!N38</f>
        <v>0</v>
      </c>
      <c r="C50" s="163">
        <f>'31'!O38</f>
        <v>0</v>
      </c>
      <c r="D50" s="163">
        <f>'31'!P38</f>
        <v>0</v>
      </c>
      <c r="E50" s="163">
        <f>'31'!Q38</f>
        <v>0</v>
      </c>
      <c r="H50" s="157"/>
      <c r="I50" s="157"/>
      <c r="J50" s="157"/>
    </row>
    <row r="51" spans="1:10" x14ac:dyDescent="0.25">
      <c r="A51" s="21" t="s">
        <v>1</v>
      </c>
      <c r="B51" s="162">
        <f>'31'!N39</f>
        <v>0</v>
      </c>
      <c r="C51" s="163">
        <f>'31'!O39</f>
        <v>0</v>
      </c>
      <c r="D51" s="163">
        <f>'31'!P39</f>
        <v>0</v>
      </c>
      <c r="E51" s="163">
        <f>'31'!Q39</f>
        <v>0</v>
      </c>
      <c r="H51" s="157"/>
      <c r="I51" s="157"/>
      <c r="J51" s="157"/>
    </row>
    <row r="52" spans="1:10" x14ac:dyDescent="0.25">
      <c r="A52" s="21" t="s">
        <v>1</v>
      </c>
      <c r="B52" s="162">
        <f>'31'!N40</f>
        <v>0</v>
      </c>
      <c r="C52" s="163">
        <f>'31'!O40</f>
        <v>0</v>
      </c>
      <c r="D52" s="163">
        <f>'31'!P40</f>
        <v>0</v>
      </c>
      <c r="E52" s="163">
        <f>'31'!Q40</f>
        <v>0</v>
      </c>
      <c r="H52" s="157"/>
      <c r="I52" s="157"/>
      <c r="J52" s="157"/>
    </row>
    <row r="53" spans="1:10" x14ac:dyDescent="0.25">
      <c r="A53" s="21" t="s">
        <v>1</v>
      </c>
      <c r="B53" s="162">
        <f>'31'!N41</f>
        <v>0</v>
      </c>
      <c r="C53" s="163">
        <f>'31'!O41</f>
        <v>0</v>
      </c>
      <c r="D53" s="163">
        <f>'31'!P41</f>
        <v>0</v>
      </c>
      <c r="E53" s="163">
        <f>'31'!Q41</f>
        <v>0</v>
      </c>
      <c r="H53" s="157"/>
      <c r="I53" s="157"/>
      <c r="J53" s="157"/>
    </row>
    <row r="54" spans="1:10" x14ac:dyDescent="0.25">
      <c r="A54" s="21" t="s">
        <v>1</v>
      </c>
      <c r="B54" s="162">
        <f>'31'!N42</f>
        <v>0</v>
      </c>
      <c r="C54" s="163">
        <f>'31'!O42</f>
        <v>0</v>
      </c>
      <c r="D54" s="163">
        <f>'31'!P42</f>
        <v>0</v>
      </c>
      <c r="E54" s="163">
        <f>'31'!Q42</f>
        <v>0</v>
      </c>
      <c r="H54" s="157"/>
      <c r="I54" s="157"/>
      <c r="J54" s="157"/>
    </row>
    <row r="55" spans="1:10" x14ac:dyDescent="0.25">
      <c r="A55" s="21" t="s">
        <v>1</v>
      </c>
      <c r="B55" s="162">
        <f>'31'!N43</f>
        <v>0</v>
      </c>
      <c r="C55" s="163">
        <f>'31'!O43</f>
        <v>0</v>
      </c>
      <c r="D55" s="163">
        <f>'31'!P43</f>
        <v>0</v>
      </c>
      <c r="E55" s="163">
        <f>'31'!Q43</f>
        <v>0</v>
      </c>
      <c r="H55" s="157"/>
      <c r="I55" s="157"/>
      <c r="J55" s="157"/>
    </row>
    <row r="56" spans="1:10" x14ac:dyDescent="0.25">
      <c r="A56" s="21" t="s">
        <v>1</v>
      </c>
      <c r="B56" s="162">
        <f>'31'!N44</f>
        <v>0</v>
      </c>
      <c r="C56" s="163">
        <f>'31'!O44</f>
        <v>0</v>
      </c>
      <c r="D56" s="163">
        <f>'31'!P44</f>
        <v>0</v>
      </c>
      <c r="E56" s="163">
        <f>'31'!Q44</f>
        <v>0</v>
      </c>
      <c r="H56" s="157"/>
      <c r="I56" s="157"/>
      <c r="J56" s="157"/>
    </row>
    <row r="57" spans="1:10" x14ac:dyDescent="0.25">
      <c r="A57" s="21" t="s">
        <v>1</v>
      </c>
      <c r="B57" s="162">
        <f>'31'!N45</f>
        <v>0</v>
      </c>
      <c r="C57" s="163">
        <f>'31'!O45</f>
        <v>0</v>
      </c>
      <c r="D57" s="163">
        <f>'31'!P45</f>
        <v>0</v>
      </c>
      <c r="E57" s="163">
        <f>'31'!Q45</f>
        <v>0</v>
      </c>
      <c r="H57" s="157"/>
      <c r="I57" s="157"/>
      <c r="J57" s="157"/>
    </row>
    <row r="58" spans="1:10" x14ac:dyDescent="0.25">
      <c r="A58" s="21" t="s">
        <v>1</v>
      </c>
      <c r="B58" s="162">
        <f>'31'!N46</f>
        <v>0</v>
      </c>
      <c r="C58" s="163">
        <f>'31'!O46</f>
        <v>0</v>
      </c>
      <c r="D58" s="163">
        <f>'31'!P46</f>
        <v>0</v>
      </c>
      <c r="E58" s="163">
        <f>'31'!Q46</f>
        <v>0</v>
      </c>
      <c r="H58" s="157"/>
      <c r="I58" s="157"/>
      <c r="J58" s="157"/>
    </row>
    <row r="59" spans="1:10" x14ac:dyDescent="0.25">
      <c r="A59" s="21" t="s">
        <v>1</v>
      </c>
      <c r="B59" s="162">
        <f>'31'!N47</f>
        <v>0</v>
      </c>
      <c r="C59" s="163">
        <f>'31'!O47</f>
        <v>0</v>
      </c>
      <c r="D59" s="163">
        <f>'31'!P47</f>
        <v>0</v>
      </c>
      <c r="E59" s="163">
        <f>'31'!Q47</f>
        <v>0</v>
      </c>
      <c r="H59" s="157"/>
      <c r="I59" s="157"/>
      <c r="J59" s="157"/>
    </row>
    <row r="60" spans="1:10" x14ac:dyDescent="0.25">
      <c r="A60" s="21" t="s">
        <v>1</v>
      </c>
      <c r="B60" s="162">
        <f>'31'!N48</f>
        <v>0</v>
      </c>
      <c r="C60" s="163">
        <f>'31'!O48</f>
        <v>0</v>
      </c>
      <c r="D60" s="163">
        <f>'31'!P48</f>
        <v>0</v>
      </c>
      <c r="E60" s="163">
        <f>'31'!Q48</f>
        <v>0</v>
      </c>
      <c r="H60" s="157"/>
      <c r="I60" s="157"/>
      <c r="J60" s="157"/>
    </row>
    <row r="61" spans="1:10" x14ac:dyDescent="0.25">
      <c r="A61" s="21" t="s">
        <v>1</v>
      </c>
      <c r="B61" s="162">
        <f>'31'!N49</f>
        <v>0</v>
      </c>
      <c r="C61" s="163">
        <f>'31'!O49</f>
        <v>0</v>
      </c>
      <c r="D61" s="163">
        <f>'31'!P49</f>
        <v>0</v>
      </c>
      <c r="E61" s="163">
        <f>'31'!Q49</f>
        <v>0</v>
      </c>
      <c r="H61" s="157"/>
      <c r="I61" s="157"/>
      <c r="J61" s="157"/>
    </row>
    <row r="62" spans="1:10" x14ac:dyDescent="0.25">
      <c r="D62" s="432">
        <f>SUM(D2:D61)</f>
        <v>10091</v>
      </c>
      <c r="E62" s="432">
        <f>SUM(E2:E61)</f>
        <v>21027771</v>
      </c>
      <c r="I62" s="432">
        <f>SUM(I2:I61)</f>
        <v>10091</v>
      </c>
      <c r="J62" s="432">
        <f>SUM(J2:J61)</f>
        <v>21027771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opLeftCell="A16" workbookViewId="0">
      <selection activeCell="A5" sqref="A5"/>
    </sheetView>
  </sheetViews>
  <sheetFormatPr defaultRowHeight="16.5" x14ac:dyDescent="0.25"/>
  <cols>
    <col min="1" max="2" width="4.7109375" style="186" customWidth="1"/>
    <col min="3" max="5" width="12.7109375" style="186" customWidth="1"/>
    <col min="6" max="6" width="4.7109375" style="186" customWidth="1"/>
    <col min="7" max="9" width="12.7109375" style="186" customWidth="1"/>
    <col min="10" max="10" width="1.7109375" style="186" customWidth="1"/>
    <col min="11" max="11" width="4.7109375" style="186" customWidth="1"/>
    <col min="12" max="12" width="30.7109375" style="186" customWidth="1"/>
    <col min="13" max="13" width="10.7109375" style="186" customWidth="1"/>
    <col min="14" max="14" width="5.7109375" style="186" customWidth="1"/>
    <col min="15" max="15" width="6.28515625" style="186" customWidth="1"/>
    <col min="16" max="17" width="5.7109375" style="186" customWidth="1"/>
    <col min="18" max="18" width="7" style="186" customWidth="1"/>
    <col min="19" max="16384" width="9.140625" style="186"/>
  </cols>
  <sheetData>
    <row r="1" spans="1:19" s="184" customFormat="1" ht="8.25" x14ac:dyDescent="0.25">
      <c r="A1" s="323"/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</row>
    <row r="2" spans="1:19" s="185" customFormat="1" ht="8.25" x14ac:dyDescent="0.25">
      <c r="A2" s="324"/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5"/>
      <c r="M2" s="324"/>
      <c r="N2" s="324"/>
      <c r="O2" s="324"/>
      <c r="P2" s="324"/>
      <c r="Q2" s="324"/>
      <c r="R2" s="324"/>
      <c r="S2" s="324"/>
    </row>
    <row r="3" spans="1:19" ht="25.5" x14ac:dyDescent="0.25">
      <c r="A3" s="597" t="s">
        <v>96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8"/>
      <c r="M3" s="598"/>
      <c r="N3" s="598"/>
      <c r="O3" s="598"/>
      <c r="P3" s="598"/>
      <c r="Q3" s="598"/>
      <c r="R3" s="598"/>
      <c r="S3" s="599"/>
    </row>
    <row r="4" spans="1:19" ht="20.25" x14ac:dyDescent="0.25">
      <c r="A4" s="600">
        <v>46023</v>
      </c>
      <c r="B4" s="601"/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  <c r="N4" s="601"/>
      <c r="O4" s="601"/>
      <c r="P4" s="601"/>
      <c r="Q4" s="601"/>
      <c r="R4" s="601"/>
      <c r="S4" s="602"/>
    </row>
    <row r="5" spans="1:19" x14ac:dyDescent="0.25">
      <c r="A5" s="326"/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7"/>
      <c r="M5" s="326"/>
      <c r="N5" s="326"/>
      <c r="O5" s="326"/>
      <c r="P5" s="326"/>
      <c r="Q5" s="326"/>
      <c r="R5" s="326"/>
      <c r="S5" s="326"/>
    </row>
    <row r="6" spans="1:19" x14ac:dyDescent="0.25">
      <c r="A6" s="328" t="s">
        <v>97</v>
      </c>
      <c r="B6" s="589" t="s">
        <v>98</v>
      </c>
      <c r="C6" s="589"/>
      <c r="D6" s="589"/>
      <c r="E6" s="328" t="s">
        <v>109</v>
      </c>
      <c r="F6" s="589" t="s">
        <v>110</v>
      </c>
      <c r="G6" s="589"/>
      <c r="H6" s="328" t="s">
        <v>14</v>
      </c>
      <c r="I6" s="328" t="s">
        <v>111</v>
      </c>
      <c r="J6" s="326"/>
      <c r="K6" s="329">
        <v>7</v>
      </c>
      <c r="L6" s="604" t="s">
        <v>112</v>
      </c>
      <c r="M6" s="605"/>
      <c r="N6" s="605"/>
      <c r="O6" s="605"/>
      <c r="P6" s="605"/>
      <c r="Q6" s="605"/>
      <c r="R6" s="606"/>
      <c r="S6" s="329" t="s">
        <v>111</v>
      </c>
    </row>
    <row r="7" spans="1:19" x14ac:dyDescent="0.25">
      <c r="A7" s="330">
        <v>1</v>
      </c>
      <c r="B7" s="197" t="s">
        <v>99</v>
      </c>
      <c r="C7" s="331"/>
      <c r="D7" s="198"/>
      <c r="E7" s="322">
        <f>'31'!Q75/1440</f>
        <v>26</v>
      </c>
      <c r="F7" s="197"/>
      <c r="G7" s="198"/>
      <c r="H7" s="341"/>
      <c r="I7" s="341"/>
      <c r="J7" s="187"/>
      <c r="K7" s="188"/>
      <c r="L7" s="197" t="s">
        <v>113</v>
      </c>
      <c r="M7" s="198"/>
      <c r="N7" s="591">
        <f>'31'!Q61/60</f>
        <v>120</v>
      </c>
      <c r="O7" s="592"/>
      <c r="P7" s="616" t="s">
        <v>147</v>
      </c>
      <c r="Q7" s="616"/>
      <c r="R7" s="617"/>
      <c r="S7" s="341"/>
    </row>
    <row r="8" spans="1:19" x14ac:dyDescent="0.25">
      <c r="A8" s="332">
        <v>2</v>
      </c>
      <c r="B8" s="333" t="s">
        <v>100</v>
      </c>
      <c r="C8" s="334"/>
      <c r="D8" s="335"/>
      <c r="E8" s="199">
        <f>'31'!B26</f>
        <v>10152</v>
      </c>
      <c r="F8" s="610">
        <f>'31'!C26</f>
        <v>21431091</v>
      </c>
      <c r="G8" s="611"/>
      <c r="H8" s="200"/>
      <c r="I8" s="342">
        <v>0</v>
      </c>
      <c r="J8" s="187"/>
      <c r="K8" s="189"/>
      <c r="L8" s="333" t="s">
        <v>114</v>
      </c>
      <c r="M8" s="335"/>
      <c r="N8" s="578">
        <f>(R8*24)</f>
        <v>624</v>
      </c>
      <c r="O8" s="579"/>
      <c r="P8" s="369" t="s">
        <v>147</v>
      </c>
      <c r="Q8" s="370" t="s">
        <v>149</v>
      </c>
      <c r="R8" s="371">
        <f>E7</f>
        <v>26</v>
      </c>
      <c r="S8" s="200"/>
    </row>
    <row r="9" spans="1:19" x14ac:dyDescent="0.25">
      <c r="A9" s="332">
        <v>3</v>
      </c>
      <c r="B9" s="333" t="s">
        <v>101</v>
      </c>
      <c r="C9" s="334"/>
      <c r="D9" s="335"/>
      <c r="E9" s="201">
        <f>'31'!J26+'31'!M26-E13</f>
        <v>10128</v>
      </c>
      <c r="F9" s="610">
        <f>'31'!K27-F13</f>
        <v>21103233</v>
      </c>
      <c r="G9" s="611"/>
      <c r="H9" s="200"/>
      <c r="I9" s="342">
        <v>0</v>
      </c>
      <c r="J9" s="187"/>
      <c r="K9" s="189"/>
      <c r="L9" s="333" t="s">
        <v>115</v>
      </c>
      <c r="M9" s="335"/>
      <c r="N9" s="578">
        <f>SUM(P15:P21)</f>
        <v>77.983333333333334</v>
      </c>
      <c r="O9" s="579"/>
      <c r="P9" s="593" t="s">
        <v>147</v>
      </c>
      <c r="Q9" s="593"/>
      <c r="R9" s="594"/>
      <c r="S9" s="200"/>
    </row>
    <row r="10" spans="1:19" x14ac:dyDescent="0.25">
      <c r="A10" s="332">
        <v>4</v>
      </c>
      <c r="B10" s="333" t="s">
        <v>102</v>
      </c>
      <c r="C10" s="334"/>
      <c r="D10" s="335"/>
      <c r="E10" s="200"/>
      <c r="F10" s="614"/>
      <c r="G10" s="615"/>
      <c r="H10" s="200"/>
      <c r="I10" s="200"/>
      <c r="J10" s="187"/>
      <c r="K10" s="189"/>
      <c r="L10" s="333" t="s">
        <v>116</v>
      </c>
      <c r="M10" s="335"/>
      <c r="N10" s="578">
        <f>+N8-N9</f>
        <v>546.01666666666665</v>
      </c>
      <c r="O10" s="579"/>
      <c r="P10" s="593" t="s">
        <v>147</v>
      </c>
      <c r="Q10" s="593"/>
      <c r="R10" s="594"/>
      <c r="S10" s="200"/>
    </row>
    <row r="11" spans="1:19" x14ac:dyDescent="0.25">
      <c r="A11" s="332">
        <v>5</v>
      </c>
      <c r="B11" s="333" t="s">
        <v>103</v>
      </c>
      <c r="C11" s="334"/>
      <c r="D11" s="335"/>
      <c r="E11" s="200"/>
      <c r="F11" s="612">
        <f>F9/F8</f>
        <v>0.98470175876720412</v>
      </c>
      <c r="G11" s="613"/>
      <c r="H11" s="200"/>
      <c r="I11" s="342">
        <v>0.98499999999999999</v>
      </c>
      <c r="J11" s="187"/>
      <c r="K11" s="189"/>
      <c r="L11" s="333" t="s">
        <v>117</v>
      </c>
      <c r="M11" s="335"/>
      <c r="N11" s="578">
        <f>(+F8/1000)/(N10)</f>
        <v>39.249884313665639</v>
      </c>
      <c r="O11" s="579"/>
      <c r="P11" s="593" t="s">
        <v>148</v>
      </c>
      <c r="Q11" s="593"/>
      <c r="R11" s="594"/>
      <c r="S11" s="200">
        <v>55</v>
      </c>
    </row>
    <row r="12" spans="1:19" x14ac:dyDescent="0.25">
      <c r="A12" s="332"/>
      <c r="B12" s="333">
        <v>5.0999999999999996</v>
      </c>
      <c r="C12" s="334" t="s">
        <v>104</v>
      </c>
      <c r="D12" s="335"/>
      <c r="E12" s="201">
        <f>'31'!D26</f>
        <v>24</v>
      </c>
      <c r="F12" s="610">
        <f>'31'!E26</f>
        <v>50617</v>
      </c>
      <c r="G12" s="611"/>
      <c r="H12" s="343">
        <f>+F12/F8</f>
        <v>2.3618489604658949E-3</v>
      </c>
      <c r="I12" s="342">
        <v>2.5000000000000001E-3</v>
      </c>
      <c r="J12" s="187"/>
      <c r="K12" s="189"/>
      <c r="L12" s="333" t="s">
        <v>118</v>
      </c>
      <c r="M12" s="335"/>
      <c r="N12" s="578">
        <f>+N10/(N7+N8)*100</f>
        <v>73.389336917562716</v>
      </c>
      <c r="O12" s="579"/>
      <c r="P12" s="593" t="s">
        <v>14</v>
      </c>
      <c r="Q12" s="593"/>
      <c r="R12" s="594"/>
      <c r="S12" s="200"/>
    </row>
    <row r="13" spans="1:19" x14ac:dyDescent="0.25">
      <c r="A13" s="332"/>
      <c r="B13" s="333">
        <v>5.2</v>
      </c>
      <c r="C13" s="334" t="s">
        <v>105</v>
      </c>
      <c r="D13" s="335"/>
      <c r="E13" s="201">
        <f>Riject!G61</f>
        <v>0</v>
      </c>
      <c r="F13" s="610">
        <f>Riject!J61</f>
        <v>0</v>
      </c>
      <c r="G13" s="611"/>
      <c r="H13" s="343">
        <f>+F13/F8</f>
        <v>0</v>
      </c>
      <c r="I13" s="342">
        <v>1.5E-3</v>
      </c>
      <c r="J13" s="187"/>
      <c r="K13" s="189"/>
      <c r="L13" s="337" t="s">
        <v>119</v>
      </c>
      <c r="M13" s="339"/>
      <c r="N13" s="580">
        <f>+N10/N8*100</f>
        <v>87.50267094017093</v>
      </c>
      <c r="O13" s="587"/>
      <c r="P13" s="595" t="s">
        <v>14</v>
      </c>
      <c r="Q13" s="595"/>
      <c r="R13" s="596"/>
      <c r="S13" s="354">
        <v>0.875</v>
      </c>
    </row>
    <row r="14" spans="1:19" x14ac:dyDescent="0.25">
      <c r="A14" s="336"/>
      <c r="B14" s="337"/>
      <c r="C14" s="338"/>
      <c r="D14" s="339"/>
      <c r="E14" s="340"/>
      <c r="F14" s="337"/>
      <c r="G14" s="339"/>
      <c r="H14" s="340"/>
      <c r="I14" s="340"/>
      <c r="J14" s="187"/>
      <c r="K14" s="189"/>
      <c r="L14" s="355" t="s">
        <v>120</v>
      </c>
      <c r="M14" s="355"/>
      <c r="N14" s="607" t="s">
        <v>104</v>
      </c>
      <c r="O14" s="608"/>
      <c r="P14" s="607" t="s">
        <v>121</v>
      </c>
      <c r="Q14" s="609"/>
      <c r="R14" s="609"/>
      <c r="S14" s="356" t="s">
        <v>111</v>
      </c>
    </row>
    <row r="15" spans="1:19" x14ac:dyDescent="0.25">
      <c r="A15" s="603">
        <v>6</v>
      </c>
      <c r="B15" s="589" t="s">
        <v>106</v>
      </c>
      <c r="C15" s="589"/>
      <c r="D15" s="589"/>
      <c r="E15" s="589"/>
      <c r="F15" s="589"/>
      <c r="G15" s="589"/>
      <c r="H15" s="589"/>
      <c r="I15" s="589"/>
      <c r="J15" s="187"/>
      <c r="K15" s="189"/>
      <c r="L15" s="197" t="s">
        <v>122</v>
      </c>
      <c r="M15" s="198"/>
      <c r="N15" s="202">
        <f>'31'!W65</f>
        <v>14</v>
      </c>
      <c r="O15" s="203">
        <f>+N15/E8</f>
        <v>1.3790386130811663E-3</v>
      </c>
      <c r="P15" s="202">
        <f>'31'!Q70/60</f>
        <v>14.35</v>
      </c>
      <c r="Q15" s="204" t="s">
        <v>129</v>
      </c>
      <c r="R15" s="203">
        <f>+P15/N8</f>
        <v>2.299679487179487E-2</v>
      </c>
      <c r="S15" s="198"/>
    </row>
    <row r="16" spans="1:19" x14ac:dyDescent="0.25">
      <c r="A16" s="603"/>
      <c r="B16" s="328" t="s">
        <v>107</v>
      </c>
      <c r="C16" s="328" t="s">
        <v>16</v>
      </c>
      <c r="D16" s="328" t="s">
        <v>108</v>
      </c>
      <c r="E16" s="328" t="s">
        <v>14</v>
      </c>
      <c r="F16" s="328" t="s">
        <v>107</v>
      </c>
      <c r="G16" s="328" t="s">
        <v>16</v>
      </c>
      <c r="H16" s="328" t="s">
        <v>108</v>
      </c>
      <c r="I16" s="328" t="s">
        <v>14</v>
      </c>
      <c r="J16" s="187"/>
      <c r="K16" s="189"/>
      <c r="L16" s="333" t="s">
        <v>123</v>
      </c>
      <c r="M16" s="335"/>
      <c r="N16" s="205">
        <f>+'31'!W66</f>
        <v>7</v>
      </c>
      <c r="O16" s="206">
        <f>+N16/E8</f>
        <v>6.8951930654058316E-4</v>
      </c>
      <c r="P16" s="205">
        <f>'31'!Q71/60</f>
        <v>6.7666666666666666</v>
      </c>
      <c r="Q16" s="207" t="s">
        <v>129</v>
      </c>
      <c r="R16" s="206">
        <f>+P16/N8</f>
        <v>1.0844017094017094E-2</v>
      </c>
      <c r="S16" s="335"/>
    </row>
    <row r="17" spans="1:20" x14ac:dyDescent="0.25">
      <c r="A17" s="191"/>
      <c r="B17" s="341">
        <v>1</v>
      </c>
      <c r="C17" s="341">
        <f>Rolled!H3</f>
        <v>5.5</v>
      </c>
      <c r="D17" s="344">
        <f>IFERROR(VLOOKUP(C17,Rolled!H$2:J$61,3,0),"0")</f>
        <v>10259255</v>
      </c>
      <c r="E17" s="345">
        <f>D17/H34</f>
        <v>0.48789075171115381</v>
      </c>
      <c r="F17" s="341">
        <v>17</v>
      </c>
      <c r="G17" s="346">
        <f>Rolled!H19</f>
        <v>10</v>
      </c>
      <c r="H17" s="346">
        <f>IFERROR(VLOOKUP(G17,Rolled!H$2:J$61,3,0),"0")</f>
        <v>349862</v>
      </c>
      <c r="I17" s="345">
        <f>+H17/H34</f>
        <v>1.663809254913419E-2</v>
      </c>
      <c r="J17" s="187"/>
      <c r="K17" s="189"/>
      <c r="L17" s="333" t="s">
        <v>124</v>
      </c>
      <c r="M17" s="335"/>
      <c r="N17" s="205">
        <f>'31'!W67</f>
        <v>0</v>
      </c>
      <c r="O17" s="206">
        <f>+N17/E8</f>
        <v>0</v>
      </c>
      <c r="P17" s="205">
        <f>'31'!Q72/60</f>
        <v>0.6166666666666667</v>
      </c>
      <c r="Q17" s="207" t="s">
        <v>129</v>
      </c>
      <c r="R17" s="206">
        <f>+P17/N8</f>
        <v>9.8824786324786321E-4</v>
      </c>
      <c r="S17" s="335"/>
    </row>
    <row r="18" spans="1:20" x14ac:dyDescent="0.25">
      <c r="A18" s="191"/>
      <c r="B18" s="200">
        <v>2</v>
      </c>
      <c r="C18" s="346">
        <f>Rolled!H4</f>
        <v>6.5</v>
      </c>
      <c r="D18" s="344">
        <f>IFERROR(VLOOKUP(C18,Rolled!H$2:J$61,3,0),"0")</f>
        <v>1623423</v>
      </c>
      <c r="E18" s="345">
        <f>+D18/H34</f>
        <v>7.7203760683907011E-2</v>
      </c>
      <c r="F18" s="200">
        <v>18</v>
      </c>
      <c r="G18" s="346">
        <f>Rolled!H20</f>
        <v>8</v>
      </c>
      <c r="H18" s="346">
        <f>IFERROR(VLOOKUP(G18,Rolled!H$2:J$61,3,0),"0")</f>
        <v>248951</v>
      </c>
      <c r="I18" s="343">
        <f>H18/H34</f>
        <v>1.1839153089502449E-2</v>
      </c>
      <c r="J18" s="187"/>
      <c r="K18" s="189"/>
      <c r="L18" s="333" t="s">
        <v>125</v>
      </c>
      <c r="M18" s="335"/>
      <c r="N18" s="205">
        <v>0</v>
      </c>
      <c r="O18" s="206">
        <f>+N18/E8</f>
        <v>0</v>
      </c>
      <c r="P18" s="205">
        <f>'31'!Q65/60</f>
        <v>54.25</v>
      </c>
      <c r="Q18" s="207" t="s">
        <v>129</v>
      </c>
      <c r="R18" s="206">
        <f>+P18/N8</f>
        <v>8.6939102564102561E-2</v>
      </c>
      <c r="S18" s="335"/>
    </row>
    <row r="19" spans="1:20" x14ac:dyDescent="0.25">
      <c r="A19" s="191"/>
      <c r="B19" s="200">
        <v>3</v>
      </c>
      <c r="C19" s="346">
        <f>Rolled!H5</f>
        <v>7</v>
      </c>
      <c r="D19" s="344">
        <f>IFERROR(VLOOKUP(C19,Rolled!H$2:J$61,3,0),"0")</f>
        <v>499015</v>
      </c>
      <c r="E19" s="345">
        <f>D19/H34</f>
        <v>2.3731236182855522E-2</v>
      </c>
      <c r="F19" s="200">
        <v>19</v>
      </c>
      <c r="G19" s="346">
        <f>Rolled!H21</f>
        <v>0</v>
      </c>
      <c r="H19" s="346">
        <f>IFERROR(VLOOKUP(G19,Rolled!H$2:J$61,3,0),"0")</f>
        <v>0</v>
      </c>
      <c r="I19" s="343">
        <f>H19/H34</f>
        <v>0</v>
      </c>
      <c r="J19" s="187"/>
      <c r="K19" s="189"/>
      <c r="L19" s="333" t="s">
        <v>126</v>
      </c>
      <c r="M19" s="335"/>
      <c r="N19" s="205">
        <f>'31'!W68</f>
        <v>3</v>
      </c>
      <c r="O19" s="206">
        <f>+N19/E8</f>
        <v>2.9550827423167848E-4</v>
      </c>
      <c r="P19" s="205">
        <f>'31'!Q73/60</f>
        <v>1.1833333333333333</v>
      </c>
      <c r="Q19" s="207" t="s">
        <v>129</v>
      </c>
      <c r="R19" s="206">
        <f>+P19/N8</f>
        <v>1.8963675213675214E-3</v>
      </c>
      <c r="S19" s="335"/>
    </row>
    <row r="20" spans="1:20" x14ac:dyDescent="0.25">
      <c r="A20" s="191"/>
      <c r="B20" s="200">
        <v>4</v>
      </c>
      <c r="C20" s="346">
        <f>Rolled!H6</f>
        <v>7.5</v>
      </c>
      <c r="D20" s="344">
        <f>IFERROR(VLOOKUP(C20,Rolled!H$2:J$61,3,0),"0")</f>
        <v>1325306</v>
      </c>
      <c r="E20" s="345">
        <f>D20/H34</f>
        <v>6.3026461530325775E-2</v>
      </c>
      <c r="F20" s="200">
        <v>20</v>
      </c>
      <c r="G20" s="346">
        <f>Rolled!H22</f>
        <v>0</v>
      </c>
      <c r="H20" s="346">
        <f>IFERROR(VLOOKUP(G20,Rolled!H$2:J$61,3,0),"0")</f>
        <v>0</v>
      </c>
      <c r="I20" s="343">
        <f>H20/H34</f>
        <v>0</v>
      </c>
      <c r="J20" s="187"/>
      <c r="K20" s="189"/>
      <c r="L20" s="333" t="s">
        <v>127</v>
      </c>
      <c r="M20" s="335"/>
      <c r="N20" s="205">
        <v>0</v>
      </c>
      <c r="O20" s="206">
        <f>+N20/E8</f>
        <v>0</v>
      </c>
      <c r="P20" s="205">
        <f>'31'!Q78/60</f>
        <v>0.81666666666666665</v>
      </c>
      <c r="Q20" s="207" t="s">
        <v>129</v>
      </c>
      <c r="R20" s="206">
        <f>+P20/N8</f>
        <v>1.3087606837606837E-3</v>
      </c>
      <c r="S20" s="335"/>
    </row>
    <row r="21" spans="1:20" x14ac:dyDescent="0.25">
      <c r="A21" s="191"/>
      <c r="B21" s="200">
        <v>5</v>
      </c>
      <c r="C21" s="346" t="str">
        <f>Rolled!H7</f>
        <v>P.6</v>
      </c>
      <c r="D21" s="344">
        <f>IFERROR(VLOOKUP(C21,Rolled!H$2:J$61,3,0),"0")</f>
        <v>497038</v>
      </c>
      <c r="E21" s="345">
        <f>D21/H34</f>
        <v>2.3637217658495521E-2</v>
      </c>
      <c r="F21" s="200">
        <v>21</v>
      </c>
      <c r="G21" s="346">
        <f>Rolled!H23</f>
        <v>0</v>
      </c>
      <c r="H21" s="346">
        <f>IFERROR(VLOOKUP(G21,Rolled!H$2:J$61,3,0),"0")</f>
        <v>0</v>
      </c>
      <c r="I21" s="343">
        <f>H21/H34</f>
        <v>0</v>
      </c>
      <c r="J21" s="187"/>
      <c r="K21" s="192"/>
      <c r="L21" s="337" t="s">
        <v>128</v>
      </c>
      <c r="M21" s="339"/>
      <c r="N21" s="208">
        <f>'31'!W69</f>
        <v>0</v>
      </c>
      <c r="O21" s="209">
        <f>+N21/E8</f>
        <v>0</v>
      </c>
      <c r="P21" s="208">
        <f>'31'!Q74/60</f>
        <v>0</v>
      </c>
      <c r="Q21" s="210" t="s">
        <v>129</v>
      </c>
      <c r="R21" s="209">
        <f>+P21/N8</f>
        <v>0</v>
      </c>
      <c r="S21" s="339"/>
    </row>
    <row r="22" spans="1:20" x14ac:dyDescent="0.25">
      <c r="A22" s="191"/>
      <c r="B22" s="200">
        <v>6</v>
      </c>
      <c r="C22" s="346" t="str">
        <f>Rolled!H8</f>
        <v>P.8</v>
      </c>
      <c r="D22" s="344">
        <f>IFERROR(VLOOKUP(C22,Rolled!H$2:J$61,3,0),"0")</f>
        <v>499780</v>
      </c>
      <c r="E22" s="345">
        <f>D22/H34</f>
        <v>2.3767616643723198E-2</v>
      </c>
      <c r="F22" s="200">
        <v>22</v>
      </c>
      <c r="G22" s="346">
        <f>Rolled!H24</f>
        <v>0</v>
      </c>
      <c r="H22" s="346">
        <f>IFERROR(VLOOKUP(G22,Rolled!H$2:J$61,3,0),"0")</f>
        <v>0</v>
      </c>
      <c r="I22" s="343">
        <f>H22/H34</f>
        <v>0</v>
      </c>
      <c r="J22" s="187"/>
      <c r="K22" s="193">
        <v>8</v>
      </c>
      <c r="L22" s="357" t="s">
        <v>130</v>
      </c>
      <c r="M22" s="357"/>
      <c r="N22" s="589" t="s">
        <v>134</v>
      </c>
      <c r="O22" s="589"/>
      <c r="P22" s="589" t="s">
        <v>5</v>
      </c>
      <c r="Q22" s="589"/>
      <c r="R22" s="589"/>
      <c r="S22" s="329" t="s">
        <v>111</v>
      </c>
    </row>
    <row r="23" spans="1:20" x14ac:dyDescent="0.25">
      <c r="A23" s="191"/>
      <c r="B23" s="200">
        <v>7</v>
      </c>
      <c r="C23" s="346" t="str">
        <f>Rolled!H9</f>
        <v>S.8</v>
      </c>
      <c r="D23" s="344">
        <f>IFERROR(VLOOKUP(C23,Rolled!H$2:J$61,3,0),"0")</f>
        <v>981350</v>
      </c>
      <c r="E23" s="345">
        <f>D23/H34</f>
        <v>4.6669235650321661E-2</v>
      </c>
      <c r="F23" s="200">
        <v>23</v>
      </c>
      <c r="G23" s="346">
        <f>Rolled!H25</f>
        <v>0</v>
      </c>
      <c r="H23" s="346">
        <f>IFERROR(VLOOKUP(G23,Rolled!H$2:J$61,3,0),"0")</f>
        <v>0</v>
      </c>
      <c r="I23" s="343">
        <f>H23/H34</f>
        <v>0</v>
      </c>
      <c r="J23" s="187"/>
      <c r="K23" s="188"/>
      <c r="L23" s="358" t="s">
        <v>131</v>
      </c>
      <c r="M23" s="359" t="s">
        <v>142</v>
      </c>
      <c r="N23" s="584">
        <f>'31'!Q84/KPI!F9*1000</f>
        <v>32.702903863118983</v>
      </c>
      <c r="O23" s="586"/>
      <c r="P23" s="584">
        <f>'31'!Q84/KPI!F8*1000</f>
        <v>32.202606950808061</v>
      </c>
      <c r="Q23" s="585"/>
      <c r="R23" s="586"/>
      <c r="S23" s="360">
        <v>33</v>
      </c>
    </row>
    <row r="24" spans="1:20" x14ac:dyDescent="0.25">
      <c r="A24" s="191"/>
      <c r="B24" s="200">
        <v>8</v>
      </c>
      <c r="C24" s="346" t="str">
        <f>Rolled!H10</f>
        <v>S.10</v>
      </c>
      <c r="D24" s="344">
        <f>IFERROR(VLOOKUP(C24,Rolled!H$2:J$61,3,0),"0")</f>
        <v>602112</v>
      </c>
      <c r="E24" s="345">
        <f>D24/H34</f>
        <v>2.8634133403868625E-2</v>
      </c>
      <c r="F24" s="200">
        <v>24</v>
      </c>
      <c r="G24" s="346">
        <f>Rolled!H26</f>
        <v>0</v>
      </c>
      <c r="H24" s="346">
        <f>IFERROR(VLOOKUP(G24,Rolled!H$2:J$61,3,0),"0")</f>
        <v>0</v>
      </c>
      <c r="I24" s="343">
        <f>H24/H34</f>
        <v>0</v>
      </c>
      <c r="J24" s="187"/>
      <c r="K24" s="189"/>
      <c r="L24" s="361"/>
      <c r="M24" s="362" t="s">
        <v>135</v>
      </c>
      <c r="N24" s="582">
        <f>(('31'!Q84+'31'!U72)/27.5)/KPI!F9*1000</f>
        <v>1.1891965041134174</v>
      </c>
      <c r="O24" s="583"/>
      <c r="P24" s="582">
        <f>(('31'!Q84+'31'!U72)/27.5)/KPI!F8*1000</f>
        <v>1.171003889120293</v>
      </c>
      <c r="Q24" s="590"/>
      <c r="R24" s="583"/>
      <c r="S24" s="363"/>
    </row>
    <row r="25" spans="1:20" x14ac:dyDescent="0.25">
      <c r="A25" s="191"/>
      <c r="B25" s="200">
        <v>9</v>
      </c>
      <c r="C25" s="346" t="str">
        <f>Rolled!H11</f>
        <v>P.10</v>
      </c>
      <c r="D25" s="344">
        <f>IFERROR(VLOOKUP(C25,Rolled!H$2:J$61,3,0),"0")</f>
        <v>595480</v>
      </c>
      <c r="E25" s="345">
        <f>D25/H34</f>
        <v>2.8318740964032755E-2</v>
      </c>
      <c r="F25" s="200">
        <v>25</v>
      </c>
      <c r="G25" s="346">
        <f>Rolled!H27</f>
        <v>0</v>
      </c>
      <c r="H25" s="346">
        <f>IFERROR(VLOOKUP(G25,Rolled!H$2:J$61,3,0),"0")</f>
        <v>0</v>
      </c>
      <c r="I25" s="343">
        <f>H25/H34</f>
        <v>0</v>
      </c>
      <c r="J25" s="187"/>
      <c r="K25" s="189"/>
      <c r="L25" s="334" t="s">
        <v>132</v>
      </c>
      <c r="M25" s="364" t="s">
        <v>136</v>
      </c>
      <c r="N25" s="578">
        <f>'31'!Q86/KPI!F9*1000000</f>
        <v>188.35644756421917</v>
      </c>
      <c r="O25" s="588"/>
      <c r="P25" s="578"/>
      <c r="Q25" s="579"/>
      <c r="R25" s="588"/>
      <c r="S25" s="200">
        <v>160</v>
      </c>
    </row>
    <row r="26" spans="1:20" x14ac:dyDescent="0.25">
      <c r="A26" s="191"/>
      <c r="B26" s="200">
        <v>10</v>
      </c>
      <c r="C26" s="346" t="str">
        <f>Rolled!H12</f>
        <v>S.6</v>
      </c>
      <c r="D26" s="344">
        <f>IFERROR(VLOOKUP(C26,Rolled!H$2:J$61,3,0),"0")</f>
        <v>98404</v>
      </c>
      <c r="E26" s="345">
        <f>D26/H34</f>
        <v>4.6797161715333496E-3</v>
      </c>
      <c r="F26" s="200">
        <v>26</v>
      </c>
      <c r="G26" s="346">
        <f>Rolled!H28</f>
        <v>0</v>
      </c>
      <c r="H26" s="346">
        <f>IFERROR(VLOOKUP(G26,Rolled!H$2:J$61,3,0),"0")</f>
        <v>0</v>
      </c>
      <c r="I26" s="343">
        <f>H26/H34</f>
        <v>0</v>
      </c>
      <c r="J26" s="187"/>
      <c r="K26" s="192"/>
      <c r="L26" s="338" t="s">
        <v>133</v>
      </c>
      <c r="M26" s="365" t="s">
        <v>137</v>
      </c>
      <c r="N26" s="580">
        <f>'31'!Q88/KPI!F9*1000000</f>
        <v>107.56645676044045</v>
      </c>
      <c r="O26" s="581"/>
      <c r="P26" s="580"/>
      <c r="Q26" s="587"/>
      <c r="R26" s="581"/>
      <c r="S26" s="347"/>
    </row>
    <row r="27" spans="1:20" x14ac:dyDescent="0.25">
      <c r="A27" s="191"/>
      <c r="B27" s="200">
        <v>11</v>
      </c>
      <c r="C27" s="346">
        <f>Rolled!H13</f>
        <v>17</v>
      </c>
      <c r="D27" s="344">
        <f>IFERROR(VLOOKUP(C27,Rolled!H$2:J$61,3,0),"0")</f>
        <v>188048</v>
      </c>
      <c r="E27" s="345">
        <f>D27/H34</f>
        <v>8.9428403990132865E-3</v>
      </c>
      <c r="F27" s="200">
        <v>27</v>
      </c>
      <c r="G27" s="346">
        <f>Rolled!H29</f>
        <v>0</v>
      </c>
      <c r="H27" s="346">
        <f>IFERROR(VLOOKUP(G27,Rolled!H$2:J$61,3,0),"0")</f>
        <v>0</v>
      </c>
      <c r="I27" s="343">
        <f>H27/H34</f>
        <v>0</v>
      </c>
      <c r="J27" s="187"/>
      <c r="K27" s="193">
        <v>9</v>
      </c>
      <c r="L27" s="366" t="s">
        <v>138</v>
      </c>
      <c r="M27" s="367"/>
      <c r="N27" s="367"/>
      <c r="O27" s="367"/>
      <c r="P27" s="367"/>
      <c r="Q27" s="367"/>
      <c r="R27" s="367"/>
      <c r="S27" s="368"/>
    </row>
    <row r="28" spans="1:20" x14ac:dyDescent="0.25">
      <c r="A28" s="191"/>
      <c r="B28" s="200">
        <v>12</v>
      </c>
      <c r="C28" s="346">
        <f>Rolled!H14</f>
        <v>8.5</v>
      </c>
      <c r="D28" s="344">
        <f>IFERROR(VLOOKUP(C28,Rolled!H$2:J$61,3,0),"0")</f>
        <v>1546626</v>
      </c>
      <c r="E28" s="345">
        <f>D28/H34</f>
        <v>7.3551590418214088E-2</v>
      </c>
      <c r="F28" s="200">
        <v>28</v>
      </c>
      <c r="G28" s="346">
        <f>Rolled!H30</f>
        <v>0</v>
      </c>
      <c r="H28" s="346">
        <f>IFERROR(VLOOKUP(G28,Rolled!H$2:J$61,3,0),"0")</f>
        <v>0</v>
      </c>
      <c r="I28" s="343">
        <f>H28/H34</f>
        <v>0</v>
      </c>
      <c r="J28" s="187"/>
      <c r="K28" s="194"/>
      <c r="L28" s="197" t="s">
        <v>139</v>
      </c>
      <c r="M28" s="331"/>
      <c r="N28" s="302">
        <f>'31'!N26</f>
        <v>75462</v>
      </c>
      <c r="O28" s="331"/>
      <c r="P28" s="331" t="s">
        <v>108</v>
      </c>
      <c r="Q28" s="197"/>
      <c r="R28" s="331"/>
      <c r="S28" s="198" t="s">
        <v>14</v>
      </c>
      <c r="T28" s="195"/>
    </row>
    <row r="29" spans="1:20" x14ac:dyDescent="0.25">
      <c r="A29" s="191"/>
      <c r="B29" s="200">
        <v>13</v>
      </c>
      <c r="C29" s="346">
        <f>Rolled!H15</f>
        <v>18</v>
      </c>
      <c r="D29" s="344">
        <f>IFERROR(VLOOKUP(C29,Rolled!H$2:J$61,3,0),"0")</f>
        <v>140152</v>
      </c>
      <c r="E29" s="345">
        <f>D29/H34</f>
        <v>6.6650906555906471E-3</v>
      </c>
      <c r="F29" s="200">
        <v>29</v>
      </c>
      <c r="G29" s="346">
        <f>Rolled!H31</f>
        <v>0</v>
      </c>
      <c r="H29" s="346">
        <f>IFERROR(VLOOKUP(G29,Rolled!H$2:J$61,3,0),"0")</f>
        <v>0</v>
      </c>
      <c r="I29" s="343">
        <f>H29/H34</f>
        <v>0</v>
      </c>
      <c r="J29" s="187"/>
      <c r="K29" s="191"/>
      <c r="L29" s="333" t="s">
        <v>9</v>
      </c>
      <c r="M29" s="334"/>
      <c r="N29" s="303">
        <f>'Rework A1'!J61</f>
        <v>0</v>
      </c>
      <c r="O29" s="334"/>
      <c r="P29" s="334" t="s">
        <v>108</v>
      </c>
      <c r="Q29" s="333"/>
      <c r="R29" s="334"/>
      <c r="S29" s="335" t="s">
        <v>14</v>
      </c>
      <c r="T29" s="195"/>
    </row>
    <row r="30" spans="1:20" x14ac:dyDescent="0.25">
      <c r="A30" s="191"/>
      <c r="B30" s="200">
        <v>14</v>
      </c>
      <c r="C30" s="346">
        <f>Rolled!H16</f>
        <v>9.5</v>
      </c>
      <c r="D30" s="344">
        <f>IFERROR(VLOOKUP(C30,Rolled!H$2:J$61,3,0),"0")</f>
        <v>664963</v>
      </c>
      <c r="E30" s="345">
        <f>D30/H34</f>
        <v>3.1623085490135878E-2</v>
      </c>
      <c r="F30" s="200">
        <v>30</v>
      </c>
      <c r="G30" s="346">
        <f>Rolled!H32</f>
        <v>0</v>
      </c>
      <c r="H30" s="346">
        <f>IFERROR(VLOOKUP(G30,Rolled!H$2:J$61,3,0),"0")</f>
        <v>0</v>
      </c>
      <c r="I30" s="343">
        <f>H30/H34</f>
        <v>0</v>
      </c>
      <c r="J30" s="187"/>
      <c r="K30" s="191"/>
      <c r="L30" s="333" t="s">
        <v>140</v>
      </c>
      <c r="M30" s="334"/>
      <c r="N30" s="304" t="s">
        <v>152</v>
      </c>
      <c r="O30" s="334"/>
      <c r="P30" s="334" t="s">
        <v>108</v>
      </c>
      <c r="Q30" s="333"/>
      <c r="R30" s="334"/>
      <c r="S30" s="335" t="s">
        <v>14</v>
      </c>
      <c r="T30" s="195"/>
    </row>
    <row r="31" spans="1:20" x14ac:dyDescent="0.25">
      <c r="A31" s="191"/>
      <c r="B31" s="200">
        <v>15</v>
      </c>
      <c r="C31" s="346">
        <f>Rolled!H17</f>
        <v>12</v>
      </c>
      <c r="D31" s="344">
        <f>IFERROR(VLOOKUP(C31,Rolled!H$2:J$61,3,0),"0")</f>
        <v>409962</v>
      </c>
      <c r="E31" s="345">
        <f>D31/H34</f>
        <v>1.949621764475179E-2</v>
      </c>
      <c r="F31" s="200">
        <v>31</v>
      </c>
      <c r="G31" s="346">
        <f>Rolled!H33</f>
        <v>0</v>
      </c>
      <c r="H31" s="346">
        <f>IFERROR(VLOOKUP(G31,Rolled!H$2:J$61,3,0),"0")</f>
        <v>0</v>
      </c>
      <c r="I31" s="343">
        <f>H31/H34</f>
        <v>0</v>
      </c>
      <c r="J31" s="187"/>
      <c r="K31" s="196"/>
      <c r="L31" s="337" t="s">
        <v>141</v>
      </c>
      <c r="M31" s="338"/>
      <c r="N31" s="305">
        <f>F13</f>
        <v>0</v>
      </c>
      <c r="O31" s="338"/>
      <c r="P31" s="338" t="s">
        <v>108</v>
      </c>
      <c r="Q31" s="337"/>
      <c r="R31" s="338"/>
      <c r="S31" s="339" t="s">
        <v>14</v>
      </c>
      <c r="T31" s="195"/>
    </row>
    <row r="32" spans="1:20" x14ac:dyDescent="0.25">
      <c r="A32" s="191"/>
      <c r="B32" s="200">
        <v>16</v>
      </c>
      <c r="C32" s="346">
        <f>Rolled!H18</f>
        <v>9</v>
      </c>
      <c r="D32" s="344">
        <f>IFERROR(VLOOKUP(C32,Rolled!H$2:J$61,3,0),"0")</f>
        <v>498044</v>
      </c>
      <c r="E32" s="345">
        <f>D32/H34</f>
        <v>2.3685059153440467E-2</v>
      </c>
      <c r="F32" s="200">
        <v>32</v>
      </c>
      <c r="G32" s="346">
        <f>Rolled!H34</f>
        <v>0</v>
      </c>
      <c r="H32" s="346">
        <f>IFERROR(VLOOKUP(G32,Rolled!H$2:J$61,3,0),"0")</f>
        <v>0</v>
      </c>
      <c r="I32" s="343">
        <f>H32/H34</f>
        <v>0</v>
      </c>
      <c r="J32" s="187"/>
      <c r="K32" s="187"/>
      <c r="L32" s="187"/>
      <c r="M32" s="187"/>
      <c r="N32" s="187"/>
      <c r="O32" s="187"/>
      <c r="P32" s="187"/>
      <c r="Q32" s="187"/>
      <c r="R32" s="187"/>
      <c r="S32" s="187"/>
    </row>
    <row r="33" spans="1:19" x14ac:dyDescent="0.25">
      <c r="A33" s="196"/>
      <c r="B33" s="347"/>
      <c r="C33" s="347"/>
      <c r="D33" s="347"/>
      <c r="E33" s="345"/>
      <c r="F33" s="347"/>
      <c r="G33" s="347"/>
      <c r="H33" s="347"/>
      <c r="I33" s="347"/>
      <c r="J33" s="187"/>
      <c r="K33" s="187"/>
      <c r="L33" s="187"/>
      <c r="M33" s="187"/>
      <c r="N33" s="187"/>
      <c r="O33" s="187"/>
      <c r="P33" s="187"/>
      <c r="Q33" s="187"/>
      <c r="R33" s="187"/>
      <c r="S33" s="187"/>
    </row>
    <row r="34" spans="1:19" x14ac:dyDescent="0.25">
      <c r="A34" s="190"/>
      <c r="B34" s="348"/>
      <c r="C34" s="349"/>
      <c r="D34" s="349"/>
      <c r="E34" s="349"/>
      <c r="F34" s="350"/>
      <c r="G34" s="351" t="s">
        <v>146</v>
      </c>
      <c r="H34" s="352">
        <f>SUM(D17:D32,H17:H32)</f>
        <v>21027771</v>
      </c>
      <c r="I34" s="353">
        <f>SUM(E17:E32,I17:I32)</f>
        <v>1</v>
      </c>
      <c r="J34" s="187"/>
      <c r="K34" s="187"/>
      <c r="L34" s="187"/>
      <c r="M34" s="187"/>
      <c r="N34" s="187"/>
      <c r="O34" s="187"/>
      <c r="P34" s="187"/>
      <c r="Q34" s="187"/>
      <c r="R34" s="187"/>
      <c r="S34" s="187"/>
    </row>
    <row r="35" spans="1:19" x14ac:dyDescent="0.2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</row>
    <row r="36" spans="1:19" x14ac:dyDescent="0.25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</row>
  </sheetData>
  <sheetProtection password="CFCB" sheet="1" objects="1" scenarios="1"/>
  <mergeCells count="38">
    <mergeCell ref="A3:S3"/>
    <mergeCell ref="A4:S4"/>
    <mergeCell ref="B15:I15"/>
    <mergeCell ref="F6:G6"/>
    <mergeCell ref="B6:D6"/>
    <mergeCell ref="A15:A16"/>
    <mergeCell ref="L6:R6"/>
    <mergeCell ref="N14:O14"/>
    <mergeCell ref="P14:R14"/>
    <mergeCell ref="F8:G8"/>
    <mergeCell ref="F11:G11"/>
    <mergeCell ref="F9:G9"/>
    <mergeCell ref="F10:G10"/>
    <mergeCell ref="F12:G12"/>
    <mergeCell ref="F13:G13"/>
    <mergeCell ref="P7:R7"/>
    <mergeCell ref="P9:R9"/>
    <mergeCell ref="P10:R10"/>
    <mergeCell ref="P11:R11"/>
    <mergeCell ref="P12:R12"/>
    <mergeCell ref="P13:R13"/>
    <mergeCell ref="N7:O7"/>
    <mergeCell ref="N8:O8"/>
    <mergeCell ref="N9:O9"/>
    <mergeCell ref="N10:O10"/>
    <mergeCell ref="N11:O11"/>
    <mergeCell ref="N12:O12"/>
    <mergeCell ref="N26:O26"/>
    <mergeCell ref="N24:O24"/>
    <mergeCell ref="P23:R23"/>
    <mergeCell ref="N13:O13"/>
    <mergeCell ref="N23:O23"/>
    <mergeCell ref="N25:O25"/>
    <mergeCell ref="P22:R22"/>
    <mergeCell ref="N22:O22"/>
    <mergeCell ref="P24:R24"/>
    <mergeCell ref="P25:R25"/>
    <mergeCell ref="P26:R26"/>
  </mergeCells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8"/>
  <sheetViews>
    <sheetView topLeftCell="A52" workbookViewId="0">
      <selection activeCell="O63" sqref="O63:Q63"/>
    </sheetView>
  </sheetViews>
  <sheetFormatPr defaultRowHeight="15" x14ac:dyDescent="0.25"/>
  <cols>
    <col min="1" max="1" width="0.7109375" style="147" customWidth="1"/>
    <col min="2" max="2" width="0.5703125" style="147" customWidth="1"/>
    <col min="3" max="3" width="3.7109375" style="147" customWidth="1"/>
    <col min="4" max="4" width="13.140625" style="147" customWidth="1"/>
    <col min="5" max="5" width="13" style="147" customWidth="1"/>
    <col min="6" max="6" width="7.5703125" style="147" customWidth="1"/>
    <col min="7" max="7" width="7.7109375" style="147" customWidth="1"/>
    <col min="8" max="8" width="9" style="147" customWidth="1"/>
    <col min="9" max="9" width="9.140625" style="147"/>
    <col min="10" max="10" width="6.85546875" style="147" customWidth="1"/>
    <col min="11" max="11" width="3.85546875" style="147" customWidth="1"/>
    <col min="12" max="12" width="9.140625" style="147"/>
    <col min="13" max="13" width="7.28515625" style="147" customWidth="1"/>
    <col min="14" max="14" width="11.28515625" style="147" customWidth="1"/>
    <col min="15" max="15" width="7.5703125" style="147" customWidth="1"/>
    <col min="16" max="16" width="8.7109375" style="147" customWidth="1"/>
    <col min="17" max="17" width="16.42578125" style="147" customWidth="1"/>
    <col min="18" max="18" width="0.5703125" style="147" customWidth="1"/>
    <col min="19" max="16384" width="9.140625" style="147"/>
  </cols>
  <sheetData>
    <row r="1" spans="2:19" ht="7.5" customHeight="1" thickBot="1" x14ac:dyDescent="0.3"/>
    <row r="2" spans="2:19" ht="6" customHeight="1" x14ac:dyDescent="0.25">
      <c r="B2" s="211"/>
      <c r="C2" s="212" t="s">
        <v>153</v>
      </c>
      <c r="D2" s="213"/>
      <c r="E2" s="213"/>
      <c r="F2" s="213"/>
      <c r="G2" s="213"/>
      <c r="H2" s="214"/>
      <c r="I2" s="215"/>
      <c r="J2" s="216"/>
      <c r="K2" s="217"/>
      <c r="L2" s="217"/>
      <c r="M2" s="213"/>
      <c r="N2" s="218"/>
      <c r="O2" s="219"/>
      <c r="P2" s="219"/>
      <c r="Q2" s="213"/>
      <c r="R2" s="220"/>
    </row>
    <row r="3" spans="2:19" s="226" customFormat="1" ht="23.25" customHeight="1" x14ac:dyDescent="0.25">
      <c r="B3" s="221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222" t="s">
        <v>154</v>
      </c>
      <c r="P3" s="223"/>
      <c r="Q3" s="224"/>
      <c r="R3" s="225"/>
    </row>
    <row r="4" spans="2:19" s="226" customFormat="1" ht="23.25" customHeight="1" x14ac:dyDescent="0.25">
      <c r="B4" s="221"/>
      <c r="C4" s="620"/>
      <c r="D4" s="620"/>
      <c r="E4" s="620"/>
      <c r="F4" s="620"/>
      <c r="G4" s="620"/>
      <c r="H4" s="620"/>
      <c r="I4" s="620"/>
      <c r="J4" s="620"/>
      <c r="K4" s="620"/>
      <c r="L4" s="620"/>
      <c r="M4" s="620"/>
      <c r="N4" s="620"/>
      <c r="O4" s="222" t="s">
        <v>155</v>
      </c>
      <c r="P4" s="223"/>
      <c r="Q4" s="224"/>
      <c r="R4" s="225"/>
    </row>
    <row r="5" spans="2:19" s="226" customFormat="1" ht="17.25" customHeight="1" x14ac:dyDescent="0.25">
      <c r="B5" s="221"/>
      <c r="C5" s="621" t="s">
        <v>156</v>
      </c>
      <c r="D5" s="621"/>
      <c r="E5" s="621"/>
      <c r="F5" s="621"/>
      <c r="G5" s="621"/>
      <c r="H5" s="621"/>
      <c r="I5" s="621"/>
      <c r="J5" s="621"/>
      <c r="K5" s="621"/>
      <c r="L5" s="621"/>
      <c r="M5" s="621"/>
      <c r="N5" s="621"/>
      <c r="O5" s="222" t="s">
        <v>157</v>
      </c>
      <c r="P5" s="223"/>
      <c r="Q5" s="224"/>
      <c r="R5" s="225"/>
    </row>
    <row r="6" spans="2:19" s="226" customFormat="1" ht="17.25" customHeight="1" x14ac:dyDescent="0.25">
      <c r="B6" s="2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621"/>
      <c r="N6" s="621"/>
      <c r="O6" s="222" t="s">
        <v>158</v>
      </c>
      <c r="P6" s="223"/>
      <c r="Q6" s="224"/>
      <c r="R6" s="225"/>
    </row>
    <row r="7" spans="2:19" ht="7.5" customHeight="1" x14ac:dyDescent="0.25">
      <c r="B7" s="227"/>
      <c r="C7" s="622"/>
      <c r="D7" s="623"/>
      <c r="E7" s="623"/>
      <c r="F7" s="623"/>
      <c r="G7" s="623"/>
      <c r="H7" s="623"/>
      <c r="I7" s="623"/>
      <c r="J7" s="623"/>
      <c r="K7" s="623"/>
      <c r="L7" s="623"/>
      <c r="M7" s="623"/>
      <c r="N7" s="623"/>
      <c r="O7" s="623"/>
      <c r="P7" s="623"/>
      <c r="Q7" s="624"/>
      <c r="R7" s="228"/>
    </row>
    <row r="8" spans="2:19" ht="15" customHeight="1" x14ac:dyDescent="0.25">
      <c r="B8" s="227"/>
      <c r="C8" s="625" t="s">
        <v>159</v>
      </c>
      <c r="D8" s="626"/>
      <c r="E8" s="626"/>
      <c r="F8" s="626"/>
      <c r="G8" s="229"/>
      <c r="H8" s="229"/>
      <c r="I8" s="229"/>
      <c r="J8" s="230"/>
      <c r="K8" s="229"/>
      <c r="L8" s="229"/>
      <c r="M8" s="229"/>
      <c r="N8" s="231"/>
      <c r="O8" s="231"/>
      <c r="P8" s="231"/>
      <c r="Q8" s="232"/>
      <c r="R8" s="228"/>
    </row>
    <row r="9" spans="2:19" ht="12" customHeight="1" x14ac:dyDescent="0.25">
      <c r="B9" s="227"/>
      <c r="C9" s="618" t="s">
        <v>160</v>
      </c>
      <c r="D9" s="619"/>
      <c r="E9" s="233" t="s">
        <v>161</v>
      </c>
      <c r="F9" s="234"/>
      <c r="G9" s="234"/>
      <c r="H9" s="235"/>
      <c r="I9" s="236"/>
      <c r="J9" s="237"/>
      <c r="K9" s="233"/>
      <c r="L9" s="233"/>
      <c r="M9" s="234"/>
      <c r="N9" s="238"/>
      <c r="O9" s="238"/>
      <c r="P9" s="239"/>
      <c r="Q9" s="240"/>
      <c r="R9" s="228"/>
    </row>
    <row r="10" spans="2:19" ht="12" customHeight="1" x14ac:dyDescent="0.25">
      <c r="B10" s="227"/>
      <c r="C10" s="618" t="s">
        <v>162</v>
      </c>
      <c r="D10" s="619"/>
      <c r="E10" s="233" t="s">
        <v>163</v>
      </c>
      <c r="F10" s="234"/>
      <c r="G10" s="234"/>
      <c r="H10" s="235"/>
      <c r="I10" s="236"/>
      <c r="J10" s="241"/>
      <c r="K10" s="233"/>
      <c r="L10" s="233"/>
      <c r="M10" s="234"/>
      <c r="N10" s="238"/>
      <c r="O10" s="238"/>
      <c r="P10" s="239"/>
      <c r="Q10" s="240"/>
      <c r="R10" s="228"/>
    </row>
    <row r="11" spans="2:19" ht="12" customHeight="1" x14ac:dyDescent="0.25">
      <c r="B11" s="227"/>
      <c r="C11" s="618" t="s">
        <v>164</v>
      </c>
      <c r="D11" s="619"/>
      <c r="E11" s="233" t="s">
        <v>165</v>
      </c>
      <c r="F11" s="234"/>
      <c r="G11" s="234"/>
      <c r="H11" s="235"/>
      <c r="I11" s="236"/>
      <c r="J11" s="241"/>
      <c r="K11" s="233"/>
      <c r="L11" s="233"/>
      <c r="M11" s="234"/>
      <c r="N11" s="238"/>
      <c r="O11" s="238"/>
      <c r="P11" s="239"/>
      <c r="Q11" s="240"/>
      <c r="R11" s="228"/>
    </row>
    <row r="12" spans="2:19" ht="12" customHeight="1" x14ac:dyDescent="0.25">
      <c r="B12" s="227"/>
      <c r="C12" s="618" t="s">
        <v>166</v>
      </c>
      <c r="D12" s="619"/>
      <c r="E12" s="233"/>
      <c r="F12" s="234"/>
      <c r="G12" s="234"/>
      <c r="H12" s="235"/>
      <c r="I12" s="236"/>
      <c r="J12" s="237"/>
      <c r="K12" s="233"/>
      <c r="L12" s="233"/>
      <c r="M12" s="234"/>
      <c r="N12" s="238"/>
      <c r="O12" s="238"/>
      <c r="P12" s="239"/>
      <c r="Q12" s="240"/>
      <c r="R12" s="228"/>
    </row>
    <row r="13" spans="2:19" ht="15" customHeight="1" x14ac:dyDescent="0.25">
      <c r="B13" s="227"/>
      <c r="C13" s="627" t="s">
        <v>167</v>
      </c>
      <c r="D13" s="628"/>
      <c r="E13" s="628"/>
      <c r="F13" s="628"/>
      <c r="G13" s="628"/>
      <c r="H13" s="628"/>
      <c r="I13" s="628"/>
      <c r="J13" s="628"/>
      <c r="K13" s="628"/>
      <c r="L13" s="628"/>
      <c r="M13" s="628"/>
      <c r="N13" s="628"/>
      <c r="O13" s="628"/>
      <c r="P13" s="628"/>
      <c r="Q13" s="629"/>
      <c r="R13" s="228"/>
    </row>
    <row r="14" spans="2:19" x14ac:dyDescent="0.25">
      <c r="B14" s="242"/>
      <c r="C14" s="630" t="s">
        <v>97</v>
      </c>
      <c r="D14" s="243" t="s">
        <v>168</v>
      </c>
      <c r="E14" s="243" t="s">
        <v>169</v>
      </c>
      <c r="F14" s="243" t="s">
        <v>168</v>
      </c>
      <c r="G14" s="243" t="s">
        <v>170</v>
      </c>
      <c r="H14" s="244" t="s">
        <v>97</v>
      </c>
      <c r="I14" s="245" t="s">
        <v>97</v>
      </c>
      <c r="J14" s="632" t="s">
        <v>171</v>
      </c>
      <c r="K14" s="633"/>
      <c r="L14" s="634" t="s">
        <v>169</v>
      </c>
      <c r="M14" s="635"/>
      <c r="N14" s="636" t="s">
        <v>172</v>
      </c>
      <c r="O14" s="637"/>
      <c r="P14" s="246" t="s">
        <v>173</v>
      </c>
      <c r="Q14" s="638" t="s">
        <v>174</v>
      </c>
      <c r="R14" s="247"/>
    </row>
    <row r="15" spans="2:19" x14ac:dyDescent="0.25">
      <c r="B15" s="242"/>
      <c r="C15" s="631"/>
      <c r="D15" s="248" t="s">
        <v>5</v>
      </c>
      <c r="E15" s="248" t="s">
        <v>5</v>
      </c>
      <c r="F15" s="248" t="s">
        <v>175</v>
      </c>
      <c r="G15" s="248" t="s">
        <v>175</v>
      </c>
      <c r="H15" s="249" t="s">
        <v>175</v>
      </c>
      <c r="I15" s="250" t="s">
        <v>176</v>
      </c>
      <c r="J15" s="640" t="s">
        <v>177</v>
      </c>
      <c r="K15" s="641"/>
      <c r="L15" s="251" t="s">
        <v>178</v>
      </c>
      <c r="M15" s="251" t="s">
        <v>179</v>
      </c>
      <c r="N15" s="252" t="s">
        <v>141</v>
      </c>
      <c r="O15" s="253" t="s">
        <v>180</v>
      </c>
      <c r="P15" s="254" t="s">
        <v>181</v>
      </c>
      <c r="Q15" s="639"/>
      <c r="R15" s="247"/>
    </row>
    <row r="16" spans="2:19" ht="15.75" customHeight="1" x14ac:dyDescent="0.25">
      <c r="B16" s="242"/>
      <c r="C16" s="255">
        <v>1</v>
      </c>
      <c r="D16" s="256"/>
      <c r="E16" s="256"/>
      <c r="F16" s="256"/>
      <c r="G16" s="256"/>
      <c r="H16" s="257"/>
      <c r="I16" s="258"/>
      <c r="J16" s="259"/>
      <c r="K16" s="260"/>
      <c r="L16" s="261"/>
      <c r="M16" s="262"/>
      <c r="N16" s="261"/>
      <c r="O16" s="262"/>
      <c r="P16" s="263"/>
      <c r="Q16" s="256"/>
      <c r="R16" s="247"/>
      <c r="S16" s="264"/>
    </row>
    <row r="17" spans="2:18" ht="15.75" customHeight="1" x14ac:dyDescent="0.25">
      <c r="B17" s="242"/>
      <c r="C17" s="255">
        <v>2</v>
      </c>
      <c r="D17" s="256"/>
      <c r="E17" s="256"/>
      <c r="F17" s="256"/>
      <c r="G17" s="256"/>
      <c r="H17" s="257"/>
      <c r="I17" s="258"/>
      <c r="J17" s="259"/>
      <c r="K17" s="260"/>
      <c r="L17" s="261"/>
      <c r="M17" s="262"/>
      <c r="N17" s="261"/>
      <c r="O17" s="262"/>
      <c r="P17" s="263"/>
      <c r="Q17" s="256"/>
      <c r="R17" s="247"/>
    </row>
    <row r="18" spans="2:18" ht="15.75" customHeight="1" x14ac:dyDescent="0.25">
      <c r="B18" s="242"/>
      <c r="C18" s="255">
        <v>3</v>
      </c>
      <c r="D18" s="256"/>
      <c r="E18" s="256"/>
      <c r="F18" s="256"/>
      <c r="G18" s="256"/>
      <c r="H18" s="257"/>
      <c r="I18" s="258"/>
      <c r="J18" s="259"/>
      <c r="K18" s="260"/>
      <c r="L18" s="261"/>
      <c r="M18" s="262"/>
      <c r="N18" s="261"/>
      <c r="O18" s="262"/>
      <c r="P18" s="263"/>
      <c r="Q18" s="256"/>
      <c r="R18" s="247"/>
    </row>
    <row r="19" spans="2:18" ht="15.75" customHeight="1" x14ac:dyDescent="0.25">
      <c r="B19" s="242"/>
      <c r="C19" s="255">
        <v>4</v>
      </c>
      <c r="D19" s="256"/>
      <c r="E19" s="256"/>
      <c r="F19" s="256"/>
      <c r="G19" s="256"/>
      <c r="H19" s="257"/>
      <c r="I19" s="258"/>
      <c r="J19" s="259"/>
      <c r="K19" s="260"/>
      <c r="L19" s="261"/>
      <c r="M19" s="262"/>
      <c r="N19" s="261"/>
      <c r="O19" s="262"/>
      <c r="P19" s="263"/>
      <c r="Q19" s="256"/>
      <c r="R19" s="247"/>
    </row>
    <row r="20" spans="2:18" ht="15.75" customHeight="1" x14ac:dyDescent="0.25">
      <c r="B20" s="242"/>
      <c r="C20" s="255">
        <v>5</v>
      </c>
      <c r="D20" s="256"/>
      <c r="E20" s="256"/>
      <c r="F20" s="256"/>
      <c r="G20" s="256"/>
      <c r="H20" s="257"/>
      <c r="I20" s="258"/>
      <c r="J20" s="259"/>
      <c r="K20" s="260"/>
      <c r="L20" s="261"/>
      <c r="M20" s="262"/>
      <c r="N20" s="261"/>
      <c r="O20" s="262"/>
      <c r="P20" s="263"/>
      <c r="Q20" s="256"/>
      <c r="R20" s="247"/>
    </row>
    <row r="21" spans="2:18" ht="15.75" customHeight="1" x14ac:dyDescent="0.25">
      <c r="B21" s="242"/>
      <c r="C21" s="255">
        <v>6</v>
      </c>
      <c r="D21" s="256"/>
      <c r="E21" s="256"/>
      <c r="F21" s="256"/>
      <c r="G21" s="256"/>
      <c r="H21" s="257"/>
      <c r="I21" s="258"/>
      <c r="J21" s="259"/>
      <c r="K21" s="260"/>
      <c r="L21" s="261"/>
      <c r="M21" s="262"/>
      <c r="N21" s="261"/>
      <c r="O21" s="262"/>
      <c r="P21" s="263"/>
      <c r="Q21" s="256"/>
      <c r="R21" s="247"/>
    </row>
    <row r="22" spans="2:18" ht="15.75" customHeight="1" x14ac:dyDescent="0.25">
      <c r="B22" s="242"/>
      <c r="C22" s="255">
        <v>7</v>
      </c>
      <c r="D22" s="256"/>
      <c r="E22" s="256"/>
      <c r="F22" s="256"/>
      <c r="G22" s="256"/>
      <c r="H22" s="257"/>
      <c r="I22" s="258"/>
      <c r="J22" s="259"/>
      <c r="K22" s="260"/>
      <c r="L22" s="261"/>
      <c r="M22" s="262"/>
      <c r="N22" s="261"/>
      <c r="O22" s="262"/>
      <c r="P22" s="263"/>
      <c r="Q22" s="256"/>
      <c r="R22" s="247"/>
    </row>
    <row r="23" spans="2:18" ht="15.75" customHeight="1" x14ac:dyDescent="0.25">
      <c r="B23" s="242"/>
      <c r="C23" s="255">
        <v>8</v>
      </c>
      <c r="D23" s="256"/>
      <c r="E23" s="256"/>
      <c r="F23" s="256"/>
      <c r="G23" s="256"/>
      <c r="H23" s="257"/>
      <c r="I23" s="258"/>
      <c r="J23" s="259"/>
      <c r="K23" s="260"/>
      <c r="L23" s="261"/>
      <c r="M23" s="262"/>
      <c r="N23" s="261"/>
      <c r="O23" s="262"/>
      <c r="P23" s="263"/>
      <c r="Q23" s="256"/>
      <c r="R23" s="247"/>
    </row>
    <row r="24" spans="2:18" ht="15.75" customHeight="1" x14ac:dyDescent="0.25">
      <c r="B24" s="242"/>
      <c r="C24" s="255">
        <v>9</v>
      </c>
      <c r="D24" s="256"/>
      <c r="E24" s="256"/>
      <c r="F24" s="256"/>
      <c r="G24" s="256"/>
      <c r="H24" s="257"/>
      <c r="I24" s="258"/>
      <c r="J24" s="259"/>
      <c r="K24" s="260"/>
      <c r="L24" s="261"/>
      <c r="M24" s="262"/>
      <c r="N24" s="261"/>
      <c r="O24" s="262"/>
      <c r="P24" s="263"/>
      <c r="Q24" s="256"/>
      <c r="R24" s="247"/>
    </row>
    <row r="25" spans="2:18" ht="15.75" customHeight="1" x14ac:dyDescent="0.25">
      <c r="B25" s="242"/>
      <c r="C25" s="255">
        <v>10</v>
      </c>
      <c r="D25" s="256"/>
      <c r="E25" s="256"/>
      <c r="F25" s="256"/>
      <c r="G25" s="256"/>
      <c r="H25" s="257"/>
      <c r="I25" s="258"/>
      <c r="J25" s="259"/>
      <c r="K25" s="260"/>
      <c r="L25" s="261"/>
      <c r="M25" s="262"/>
      <c r="N25" s="261"/>
      <c r="O25" s="262"/>
      <c r="P25" s="263"/>
      <c r="Q25" s="256"/>
      <c r="R25" s="247"/>
    </row>
    <row r="26" spans="2:18" ht="15.75" customHeight="1" x14ac:dyDescent="0.25">
      <c r="B26" s="242"/>
      <c r="C26" s="255">
        <v>11</v>
      </c>
      <c r="D26" s="256"/>
      <c r="E26" s="256"/>
      <c r="F26" s="256"/>
      <c r="G26" s="256"/>
      <c r="H26" s="257"/>
      <c r="I26" s="258"/>
      <c r="J26" s="259"/>
      <c r="K26" s="260"/>
      <c r="L26" s="261"/>
      <c r="M26" s="262"/>
      <c r="N26" s="261"/>
      <c r="O26" s="262"/>
      <c r="P26" s="263"/>
      <c r="Q26" s="256"/>
      <c r="R26" s="247"/>
    </row>
    <row r="27" spans="2:18" ht="15.75" customHeight="1" x14ac:dyDescent="0.25">
      <c r="B27" s="242"/>
      <c r="C27" s="255">
        <v>12</v>
      </c>
      <c r="D27" s="256"/>
      <c r="E27" s="256"/>
      <c r="F27" s="256"/>
      <c r="G27" s="256"/>
      <c r="H27" s="257"/>
      <c r="I27" s="258"/>
      <c r="J27" s="259"/>
      <c r="K27" s="260"/>
      <c r="L27" s="261"/>
      <c r="M27" s="262"/>
      <c r="N27" s="261"/>
      <c r="O27" s="262"/>
      <c r="P27" s="263"/>
      <c r="Q27" s="256"/>
      <c r="R27" s="247"/>
    </row>
    <row r="28" spans="2:18" ht="15.75" customHeight="1" x14ac:dyDescent="0.25">
      <c r="B28" s="242"/>
      <c r="C28" s="255">
        <v>13</v>
      </c>
      <c r="D28" s="256"/>
      <c r="E28" s="256"/>
      <c r="F28" s="256"/>
      <c r="G28" s="256"/>
      <c r="H28" s="257"/>
      <c r="I28" s="258"/>
      <c r="J28" s="259"/>
      <c r="K28" s="260"/>
      <c r="L28" s="261"/>
      <c r="M28" s="262"/>
      <c r="N28" s="261"/>
      <c r="O28" s="262"/>
      <c r="P28" s="263"/>
      <c r="Q28" s="256"/>
      <c r="R28" s="247"/>
    </row>
    <row r="29" spans="2:18" ht="15.75" customHeight="1" x14ac:dyDescent="0.25">
      <c r="B29" s="242"/>
      <c r="C29" s="255">
        <v>14</v>
      </c>
      <c r="D29" s="256"/>
      <c r="E29" s="256"/>
      <c r="F29" s="256"/>
      <c r="G29" s="256"/>
      <c r="H29" s="257"/>
      <c r="I29" s="258"/>
      <c r="J29" s="259"/>
      <c r="K29" s="260"/>
      <c r="L29" s="261"/>
      <c r="M29" s="262"/>
      <c r="N29" s="261"/>
      <c r="O29" s="262"/>
      <c r="P29" s="263"/>
      <c r="Q29" s="256"/>
      <c r="R29" s="247"/>
    </row>
    <row r="30" spans="2:18" ht="15.75" customHeight="1" x14ac:dyDescent="0.25">
      <c r="B30" s="242"/>
      <c r="C30" s="255">
        <v>15</v>
      </c>
      <c r="D30" s="256"/>
      <c r="E30" s="256"/>
      <c r="F30" s="256"/>
      <c r="G30" s="256"/>
      <c r="H30" s="257"/>
      <c r="I30" s="258"/>
      <c r="J30" s="259"/>
      <c r="K30" s="260"/>
      <c r="L30" s="261"/>
      <c r="M30" s="262"/>
      <c r="N30" s="261"/>
      <c r="O30" s="262"/>
      <c r="P30" s="263"/>
      <c r="Q30" s="256"/>
      <c r="R30" s="247"/>
    </row>
    <row r="31" spans="2:18" ht="15.75" customHeight="1" x14ac:dyDescent="0.25">
      <c r="B31" s="242"/>
      <c r="C31" s="255">
        <v>16</v>
      </c>
      <c r="D31" s="256"/>
      <c r="E31" s="256"/>
      <c r="F31" s="256"/>
      <c r="G31" s="256"/>
      <c r="H31" s="257"/>
      <c r="I31" s="258"/>
      <c r="J31" s="259"/>
      <c r="K31" s="260"/>
      <c r="L31" s="261"/>
      <c r="M31" s="262"/>
      <c r="N31" s="261"/>
      <c r="O31" s="262"/>
      <c r="P31" s="263"/>
      <c r="Q31" s="256"/>
      <c r="R31" s="247"/>
    </row>
    <row r="32" spans="2:18" ht="15.75" customHeight="1" x14ac:dyDescent="0.25">
      <c r="B32" s="242"/>
      <c r="C32" s="255">
        <v>17</v>
      </c>
      <c r="D32" s="256"/>
      <c r="E32" s="256"/>
      <c r="F32" s="256"/>
      <c r="G32" s="256"/>
      <c r="H32" s="257"/>
      <c r="I32" s="258"/>
      <c r="J32" s="259"/>
      <c r="K32" s="260"/>
      <c r="L32" s="261"/>
      <c r="M32" s="262"/>
      <c r="N32" s="261"/>
      <c r="O32" s="262"/>
      <c r="P32" s="263"/>
      <c r="Q32" s="256"/>
      <c r="R32" s="247"/>
    </row>
    <row r="33" spans="2:18" ht="15.75" customHeight="1" x14ac:dyDescent="0.25">
      <c r="B33" s="242"/>
      <c r="C33" s="255">
        <v>18</v>
      </c>
      <c r="D33" s="256"/>
      <c r="E33" s="256"/>
      <c r="F33" s="256"/>
      <c r="G33" s="256"/>
      <c r="H33" s="257"/>
      <c r="I33" s="258"/>
      <c r="J33" s="259"/>
      <c r="K33" s="260"/>
      <c r="L33" s="261"/>
      <c r="M33" s="262"/>
      <c r="N33" s="261"/>
      <c r="O33" s="262"/>
      <c r="P33" s="263"/>
      <c r="Q33" s="256"/>
      <c r="R33" s="247"/>
    </row>
    <row r="34" spans="2:18" ht="15.75" customHeight="1" x14ac:dyDescent="0.25">
      <c r="B34" s="242"/>
      <c r="C34" s="255">
        <v>19</v>
      </c>
      <c r="D34" s="256"/>
      <c r="E34" s="256"/>
      <c r="F34" s="256"/>
      <c r="G34" s="256"/>
      <c r="H34" s="257"/>
      <c r="I34" s="258"/>
      <c r="J34" s="259"/>
      <c r="K34" s="260"/>
      <c r="L34" s="261"/>
      <c r="M34" s="262"/>
      <c r="N34" s="261"/>
      <c r="O34" s="262"/>
      <c r="P34" s="263"/>
      <c r="Q34" s="256"/>
      <c r="R34" s="247"/>
    </row>
    <row r="35" spans="2:18" ht="15.75" customHeight="1" x14ac:dyDescent="0.25">
      <c r="B35" s="242"/>
      <c r="C35" s="255">
        <v>20</v>
      </c>
      <c r="D35" s="256"/>
      <c r="E35" s="256"/>
      <c r="F35" s="256"/>
      <c r="G35" s="256"/>
      <c r="H35" s="257"/>
      <c r="I35" s="258"/>
      <c r="J35" s="259"/>
      <c r="K35" s="260"/>
      <c r="L35" s="261"/>
      <c r="M35" s="262"/>
      <c r="N35" s="261"/>
      <c r="O35" s="262"/>
      <c r="P35" s="263"/>
      <c r="Q35" s="256"/>
      <c r="R35" s="247"/>
    </row>
    <row r="36" spans="2:18" ht="15.75" customHeight="1" x14ac:dyDescent="0.25">
      <c r="B36" s="242"/>
      <c r="C36" s="255">
        <v>21</v>
      </c>
      <c r="D36" s="256"/>
      <c r="E36" s="256"/>
      <c r="F36" s="256"/>
      <c r="G36" s="256"/>
      <c r="H36" s="257"/>
      <c r="I36" s="258"/>
      <c r="J36" s="259"/>
      <c r="K36" s="260"/>
      <c r="L36" s="261"/>
      <c r="M36" s="262"/>
      <c r="N36" s="261"/>
      <c r="O36" s="262"/>
      <c r="P36" s="263"/>
      <c r="Q36" s="256"/>
      <c r="R36" s="247"/>
    </row>
    <row r="37" spans="2:18" ht="15.75" customHeight="1" x14ac:dyDescent="0.25">
      <c r="B37" s="242"/>
      <c r="C37" s="255">
        <v>22</v>
      </c>
      <c r="D37" s="256"/>
      <c r="E37" s="256"/>
      <c r="F37" s="256"/>
      <c r="G37" s="256"/>
      <c r="H37" s="257"/>
      <c r="I37" s="258"/>
      <c r="J37" s="259"/>
      <c r="K37" s="260"/>
      <c r="L37" s="261"/>
      <c r="M37" s="262"/>
      <c r="N37" s="261"/>
      <c r="O37" s="262"/>
      <c r="P37" s="263"/>
      <c r="Q37" s="256"/>
      <c r="R37" s="247"/>
    </row>
    <row r="38" spans="2:18" ht="15.75" customHeight="1" x14ac:dyDescent="0.25">
      <c r="B38" s="242"/>
      <c r="C38" s="255">
        <v>23</v>
      </c>
      <c r="D38" s="256"/>
      <c r="E38" s="256"/>
      <c r="F38" s="256"/>
      <c r="G38" s="256"/>
      <c r="H38" s="257"/>
      <c r="I38" s="258"/>
      <c r="J38" s="259"/>
      <c r="K38" s="260"/>
      <c r="L38" s="261"/>
      <c r="M38" s="262"/>
      <c r="N38" s="261"/>
      <c r="O38" s="262"/>
      <c r="P38" s="263"/>
      <c r="Q38" s="256"/>
      <c r="R38" s="247"/>
    </row>
    <row r="39" spans="2:18" ht="15.75" customHeight="1" x14ac:dyDescent="0.25">
      <c r="B39" s="242"/>
      <c r="C39" s="255">
        <v>24</v>
      </c>
      <c r="D39" s="256"/>
      <c r="E39" s="256"/>
      <c r="F39" s="256"/>
      <c r="G39" s="256"/>
      <c r="H39" s="257"/>
      <c r="I39" s="258"/>
      <c r="J39" s="259"/>
      <c r="K39" s="260"/>
      <c r="L39" s="261"/>
      <c r="M39" s="262"/>
      <c r="N39" s="261"/>
      <c r="O39" s="262"/>
      <c r="P39" s="263"/>
      <c r="Q39" s="256"/>
      <c r="R39" s="247"/>
    </row>
    <row r="40" spans="2:18" ht="15.75" customHeight="1" x14ac:dyDescent="0.25">
      <c r="B40" s="242"/>
      <c r="C40" s="255">
        <v>25</v>
      </c>
      <c r="D40" s="256"/>
      <c r="E40" s="256"/>
      <c r="F40" s="256"/>
      <c r="G40" s="256"/>
      <c r="H40" s="257"/>
      <c r="I40" s="258"/>
      <c r="J40" s="259"/>
      <c r="K40" s="260"/>
      <c r="L40" s="261"/>
      <c r="M40" s="262"/>
      <c r="N40" s="261"/>
      <c r="O40" s="262"/>
      <c r="P40" s="263"/>
      <c r="Q40" s="256"/>
      <c r="R40" s="247"/>
    </row>
    <row r="41" spans="2:18" ht="15.75" customHeight="1" x14ac:dyDescent="0.25">
      <c r="B41" s="242"/>
      <c r="C41" s="255">
        <v>26</v>
      </c>
      <c r="D41" s="256"/>
      <c r="E41" s="256"/>
      <c r="F41" s="256"/>
      <c r="G41" s="256"/>
      <c r="H41" s="257"/>
      <c r="I41" s="258"/>
      <c r="J41" s="259"/>
      <c r="K41" s="260"/>
      <c r="L41" s="261"/>
      <c r="M41" s="262"/>
      <c r="N41" s="261"/>
      <c r="O41" s="262"/>
      <c r="P41" s="263"/>
      <c r="Q41" s="256"/>
      <c r="R41" s="247"/>
    </row>
    <row r="42" spans="2:18" ht="15.75" customHeight="1" x14ac:dyDescent="0.25">
      <c r="B42" s="242"/>
      <c r="C42" s="255">
        <v>27</v>
      </c>
      <c r="D42" s="256"/>
      <c r="E42" s="256"/>
      <c r="F42" s="256"/>
      <c r="G42" s="256"/>
      <c r="H42" s="257"/>
      <c r="I42" s="258"/>
      <c r="J42" s="259"/>
      <c r="K42" s="260"/>
      <c r="L42" s="261"/>
      <c r="M42" s="262"/>
      <c r="N42" s="261"/>
      <c r="O42" s="262"/>
      <c r="P42" s="263"/>
      <c r="Q42" s="256"/>
      <c r="R42" s="247"/>
    </row>
    <row r="43" spans="2:18" ht="15.75" customHeight="1" x14ac:dyDescent="0.25">
      <c r="B43" s="242"/>
      <c r="C43" s="255">
        <v>28</v>
      </c>
      <c r="D43" s="256"/>
      <c r="E43" s="256"/>
      <c r="F43" s="256"/>
      <c r="G43" s="256"/>
      <c r="H43" s="257"/>
      <c r="I43" s="258"/>
      <c r="J43" s="259"/>
      <c r="K43" s="260"/>
      <c r="L43" s="261"/>
      <c r="M43" s="262"/>
      <c r="N43" s="261"/>
      <c r="O43" s="262"/>
      <c r="P43" s="263"/>
      <c r="Q43" s="256"/>
      <c r="R43" s="247"/>
    </row>
    <row r="44" spans="2:18" ht="15.75" customHeight="1" x14ac:dyDescent="0.25">
      <c r="B44" s="242"/>
      <c r="C44" s="255">
        <v>29</v>
      </c>
      <c r="D44" s="256"/>
      <c r="E44" s="256"/>
      <c r="F44" s="256"/>
      <c r="G44" s="256"/>
      <c r="H44" s="257"/>
      <c r="I44" s="258"/>
      <c r="J44" s="259"/>
      <c r="K44" s="260"/>
      <c r="L44" s="261"/>
      <c r="M44" s="262"/>
      <c r="N44" s="261"/>
      <c r="O44" s="262"/>
      <c r="P44" s="263"/>
      <c r="Q44" s="256"/>
      <c r="R44" s="247"/>
    </row>
    <row r="45" spans="2:18" ht="15.75" customHeight="1" x14ac:dyDescent="0.25">
      <c r="B45" s="242"/>
      <c r="C45" s="255">
        <v>30</v>
      </c>
      <c r="D45" s="256"/>
      <c r="E45" s="256"/>
      <c r="F45" s="256"/>
      <c r="G45" s="256"/>
      <c r="H45" s="257"/>
      <c r="I45" s="258"/>
      <c r="J45" s="259"/>
      <c r="K45" s="260"/>
      <c r="L45" s="261"/>
      <c r="M45" s="262"/>
      <c r="N45" s="261"/>
      <c r="O45" s="262"/>
      <c r="P45" s="263"/>
      <c r="Q45" s="256"/>
      <c r="R45" s="247"/>
    </row>
    <row r="46" spans="2:18" ht="15.75" customHeight="1" x14ac:dyDescent="0.25">
      <c r="B46" s="242"/>
      <c r="C46" s="255">
        <v>31</v>
      </c>
      <c r="D46" s="256"/>
      <c r="E46" s="256"/>
      <c r="F46" s="256"/>
      <c r="G46" s="256"/>
      <c r="H46" s="257"/>
      <c r="I46" s="258"/>
      <c r="J46" s="259"/>
      <c r="K46" s="260"/>
      <c r="L46" s="261"/>
      <c r="M46" s="262"/>
      <c r="N46" s="261"/>
      <c r="O46" s="262"/>
      <c r="P46" s="263"/>
      <c r="Q46" s="256"/>
      <c r="R46" s="247"/>
    </row>
    <row r="47" spans="2:18" ht="15.75" customHeight="1" x14ac:dyDescent="0.25">
      <c r="B47" s="242"/>
      <c r="C47" s="255">
        <v>32</v>
      </c>
      <c r="D47" s="256"/>
      <c r="E47" s="256"/>
      <c r="F47" s="256"/>
      <c r="G47" s="256"/>
      <c r="H47" s="257"/>
      <c r="I47" s="258"/>
      <c r="J47" s="259"/>
      <c r="K47" s="260"/>
      <c r="L47" s="261"/>
      <c r="M47" s="262"/>
      <c r="N47" s="261"/>
      <c r="O47" s="262"/>
      <c r="P47" s="263"/>
      <c r="Q47" s="256"/>
      <c r="R47" s="247"/>
    </row>
    <row r="48" spans="2:18" ht="15.75" customHeight="1" x14ac:dyDescent="0.25">
      <c r="B48" s="242"/>
      <c r="C48" s="255">
        <v>33</v>
      </c>
      <c r="D48" s="256"/>
      <c r="E48" s="256"/>
      <c r="F48" s="256"/>
      <c r="G48" s="256"/>
      <c r="H48" s="257"/>
      <c r="I48" s="258"/>
      <c r="J48" s="259"/>
      <c r="K48" s="260"/>
      <c r="L48" s="261"/>
      <c r="M48" s="262"/>
      <c r="N48" s="261"/>
      <c r="O48" s="262"/>
      <c r="P48" s="263"/>
      <c r="Q48" s="256"/>
      <c r="R48" s="247"/>
    </row>
    <row r="49" spans="2:18" ht="15.75" customHeight="1" x14ac:dyDescent="0.25">
      <c r="B49" s="242"/>
      <c r="C49" s="255">
        <v>34</v>
      </c>
      <c r="D49" s="256"/>
      <c r="E49" s="256"/>
      <c r="F49" s="256"/>
      <c r="G49" s="256"/>
      <c r="H49" s="257"/>
      <c r="I49" s="258"/>
      <c r="J49" s="259"/>
      <c r="K49" s="260"/>
      <c r="L49" s="261"/>
      <c r="M49" s="262"/>
      <c r="N49" s="261"/>
      <c r="O49" s="262"/>
      <c r="P49" s="263"/>
      <c r="Q49" s="256"/>
      <c r="R49" s="247"/>
    </row>
    <row r="50" spans="2:18" ht="15.75" customHeight="1" x14ac:dyDescent="0.25">
      <c r="B50" s="242"/>
      <c r="C50" s="255">
        <v>35</v>
      </c>
      <c r="D50" s="256"/>
      <c r="E50" s="256"/>
      <c r="F50" s="256"/>
      <c r="G50" s="256"/>
      <c r="H50" s="257"/>
      <c r="I50" s="258"/>
      <c r="J50" s="259"/>
      <c r="K50" s="260"/>
      <c r="L50" s="261"/>
      <c r="M50" s="262"/>
      <c r="N50" s="261"/>
      <c r="O50" s="262"/>
      <c r="P50" s="263"/>
      <c r="Q50" s="256"/>
      <c r="R50" s="247"/>
    </row>
    <row r="51" spans="2:18" ht="15.75" customHeight="1" x14ac:dyDescent="0.25">
      <c r="B51" s="242"/>
      <c r="C51" s="255">
        <v>36</v>
      </c>
      <c r="D51" s="256"/>
      <c r="E51" s="256"/>
      <c r="F51" s="256"/>
      <c r="G51" s="256"/>
      <c r="H51" s="257"/>
      <c r="I51" s="258"/>
      <c r="J51" s="259"/>
      <c r="K51" s="260"/>
      <c r="L51" s="261"/>
      <c r="M51" s="262"/>
      <c r="N51" s="261"/>
      <c r="O51" s="262"/>
      <c r="P51" s="263"/>
      <c r="Q51" s="256"/>
      <c r="R51" s="247"/>
    </row>
    <row r="52" spans="2:18" ht="15.75" customHeight="1" x14ac:dyDescent="0.25">
      <c r="B52" s="242"/>
      <c r="C52" s="255">
        <v>37</v>
      </c>
      <c r="D52" s="256"/>
      <c r="E52" s="256"/>
      <c r="F52" s="256"/>
      <c r="G52" s="256"/>
      <c r="H52" s="257"/>
      <c r="I52" s="258"/>
      <c r="J52" s="259"/>
      <c r="K52" s="260"/>
      <c r="L52" s="261"/>
      <c r="M52" s="262"/>
      <c r="N52" s="261"/>
      <c r="O52" s="262"/>
      <c r="P52" s="263"/>
      <c r="Q52" s="256"/>
      <c r="R52" s="247"/>
    </row>
    <row r="53" spans="2:18" ht="15.75" customHeight="1" x14ac:dyDescent="0.25">
      <c r="B53" s="242"/>
      <c r="C53" s="255">
        <v>38</v>
      </c>
      <c r="D53" s="256"/>
      <c r="E53" s="256"/>
      <c r="F53" s="256"/>
      <c r="G53" s="256"/>
      <c r="H53" s="257"/>
      <c r="I53" s="258"/>
      <c r="J53" s="259"/>
      <c r="K53" s="260"/>
      <c r="L53" s="261"/>
      <c r="M53" s="262"/>
      <c r="N53" s="261"/>
      <c r="O53" s="262"/>
      <c r="P53" s="263"/>
      <c r="Q53" s="256"/>
      <c r="R53" s="247"/>
    </row>
    <row r="54" spans="2:18" ht="15.75" customHeight="1" x14ac:dyDescent="0.25">
      <c r="B54" s="242"/>
      <c r="C54" s="255">
        <v>39</v>
      </c>
      <c r="D54" s="256"/>
      <c r="E54" s="256"/>
      <c r="F54" s="256"/>
      <c r="G54" s="256"/>
      <c r="H54" s="257"/>
      <c r="I54" s="258"/>
      <c r="J54" s="259"/>
      <c r="K54" s="260"/>
      <c r="L54" s="261"/>
      <c r="M54" s="262"/>
      <c r="N54" s="261"/>
      <c r="O54" s="262"/>
      <c r="P54" s="263"/>
      <c r="Q54" s="256"/>
      <c r="R54" s="247"/>
    </row>
    <row r="55" spans="2:18" ht="15.75" customHeight="1" x14ac:dyDescent="0.25">
      <c r="B55" s="242"/>
      <c r="C55" s="255">
        <v>40</v>
      </c>
      <c r="D55" s="256"/>
      <c r="E55" s="256"/>
      <c r="F55" s="256"/>
      <c r="G55" s="256"/>
      <c r="H55" s="257"/>
      <c r="I55" s="258"/>
      <c r="J55" s="259"/>
      <c r="K55" s="260"/>
      <c r="L55" s="261"/>
      <c r="M55" s="262"/>
      <c r="N55" s="261"/>
      <c r="O55" s="262"/>
      <c r="P55" s="263"/>
      <c r="Q55" s="256"/>
      <c r="R55" s="247"/>
    </row>
    <row r="56" spans="2:18" ht="15.75" customHeight="1" x14ac:dyDescent="0.25">
      <c r="B56" s="242"/>
      <c r="C56" s="255">
        <v>41</v>
      </c>
      <c r="D56" s="256"/>
      <c r="E56" s="256"/>
      <c r="F56" s="256"/>
      <c r="G56" s="256"/>
      <c r="H56" s="257"/>
      <c r="I56" s="258"/>
      <c r="J56" s="259"/>
      <c r="K56" s="260"/>
      <c r="L56" s="261"/>
      <c r="M56" s="262"/>
      <c r="N56" s="261"/>
      <c r="O56" s="262"/>
      <c r="P56" s="263"/>
      <c r="Q56" s="256"/>
      <c r="R56" s="247"/>
    </row>
    <row r="57" spans="2:18" ht="15.75" customHeight="1" x14ac:dyDescent="0.25">
      <c r="B57" s="242"/>
      <c r="C57" s="255">
        <v>42</v>
      </c>
      <c r="D57" s="256"/>
      <c r="E57" s="256"/>
      <c r="F57" s="256"/>
      <c r="G57" s="256"/>
      <c r="H57" s="257"/>
      <c r="I57" s="258"/>
      <c r="J57" s="259"/>
      <c r="K57" s="260"/>
      <c r="L57" s="261"/>
      <c r="M57" s="262"/>
      <c r="N57" s="261"/>
      <c r="O57" s="262"/>
      <c r="P57" s="263"/>
      <c r="Q57" s="256"/>
      <c r="R57" s="247"/>
    </row>
    <row r="58" spans="2:18" ht="15.75" customHeight="1" x14ac:dyDescent="0.25">
      <c r="B58" s="242"/>
      <c r="C58" s="255">
        <v>43</v>
      </c>
      <c r="D58" s="256"/>
      <c r="E58" s="256"/>
      <c r="F58" s="256"/>
      <c r="G58" s="256"/>
      <c r="H58" s="257"/>
      <c r="I58" s="258"/>
      <c r="J58" s="259"/>
      <c r="K58" s="260"/>
      <c r="L58" s="261"/>
      <c r="M58" s="262"/>
      <c r="N58" s="261"/>
      <c r="O58" s="262"/>
      <c r="P58" s="263"/>
      <c r="Q58" s="256"/>
      <c r="R58" s="247"/>
    </row>
    <row r="59" spans="2:18" ht="15.75" customHeight="1" x14ac:dyDescent="0.25">
      <c r="B59" s="242"/>
      <c r="C59" s="255">
        <v>44</v>
      </c>
      <c r="D59" s="256"/>
      <c r="E59" s="256"/>
      <c r="F59" s="256"/>
      <c r="G59" s="256"/>
      <c r="H59" s="257"/>
      <c r="I59" s="258"/>
      <c r="J59" s="259"/>
      <c r="K59" s="260"/>
      <c r="L59" s="261"/>
      <c r="M59" s="262"/>
      <c r="N59" s="261"/>
      <c r="O59" s="262"/>
      <c r="P59" s="263"/>
      <c r="Q59" s="256"/>
      <c r="R59" s="247"/>
    </row>
    <row r="60" spans="2:18" ht="15.75" customHeight="1" x14ac:dyDescent="0.25">
      <c r="B60" s="242"/>
      <c r="C60" s="255">
        <v>45</v>
      </c>
      <c r="D60" s="256"/>
      <c r="E60" s="256"/>
      <c r="F60" s="256"/>
      <c r="G60" s="256"/>
      <c r="H60" s="257"/>
      <c r="I60" s="258"/>
      <c r="J60" s="259"/>
      <c r="K60" s="260"/>
      <c r="L60" s="261"/>
      <c r="M60" s="262"/>
      <c r="N60" s="261"/>
      <c r="O60" s="262"/>
      <c r="P60" s="263"/>
      <c r="Q60" s="256"/>
      <c r="R60" s="247"/>
    </row>
    <row r="61" spans="2:18" ht="15.75" thickBot="1" x14ac:dyDescent="0.3">
      <c r="B61" s="242"/>
      <c r="C61" s="642" t="s">
        <v>182</v>
      </c>
      <c r="D61" s="643"/>
      <c r="E61" s="265"/>
      <c r="F61" s="265"/>
      <c r="G61" s="266">
        <f>SUM(G16:G60)+S10</f>
        <v>0</v>
      </c>
      <c r="H61" s="267"/>
      <c r="I61" s="268"/>
      <c r="J61" s="269">
        <f>SUM(J16:J60)+T10</f>
        <v>0</v>
      </c>
      <c r="K61" s="270" t="s">
        <v>13</v>
      </c>
      <c r="L61" s="265"/>
      <c r="M61" s="265"/>
      <c r="N61" s="265"/>
      <c r="O61" s="265"/>
      <c r="P61" s="271"/>
      <c r="Q61" s="265"/>
      <c r="R61" s="247"/>
    </row>
    <row r="62" spans="2:18" ht="15.75" thickTop="1" x14ac:dyDescent="0.25">
      <c r="B62" s="242"/>
      <c r="C62" s="272"/>
      <c r="D62" s="273"/>
      <c r="E62" s="274"/>
      <c r="F62" s="274"/>
      <c r="G62" s="275"/>
      <c r="H62" s="276"/>
      <c r="I62" s="277"/>
      <c r="J62" s="278"/>
      <c r="K62" s="275"/>
      <c r="L62" s="274"/>
      <c r="M62" s="274"/>
      <c r="N62" s="274"/>
      <c r="O62" s="274"/>
      <c r="P62" s="279"/>
      <c r="Q62" s="280"/>
      <c r="R62" s="247"/>
    </row>
    <row r="63" spans="2:18" x14ac:dyDescent="0.25">
      <c r="B63" s="227"/>
      <c r="C63" s="281"/>
      <c r="D63" s="644" t="s">
        <v>183</v>
      </c>
      <c r="E63" s="644"/>
      <c r="F63" s="234"/>
      <c r="G63" s="234"/>
      <c r="H63" s="235"/>
      <c r="I63" s="236"/>
      <c r="J63" s="237"/>
      <c r="K63" s="233"/>
      <c r="L63" s="233"/>
      <c r="M63" s="234"/>
      <c r="N63" s="238"/>
      <c r="O63" s="645" t="s">
        <v>199</v>
      </c>
      <c r="P63" s="645"/>
      <c r="Q63" s="646"/>
      <c r="R63" s="228"/>
    </row>
    <row r="64" spans="2:18" x14ac:dyDescent="0.25">
      <c r="B64" s="227"/>
      <c r="C64" s="281"/>
      <c r="D64" s="234"/>
      <c r="E64" s="234"/>
      <c r="F64" s="234"/>
      <c r="G64" s="234"/>
      <c r="H64" s="235"/>
      <c r="I64" s="236"/>
      <c r="J64" s="237"/>
      <c r="K64" s="233"/>
      <c r="L64" s="233"/>
      <c r="M64" s="234"/>
      <c r="N64" s="238"/>
      <c r="O64" s="282"/>
      <c r="P64" s="282"/>
      <c r="Q64" s="283"/>
      <c r="R64" s="228"/>
    </row>
    <row r="65" spans="2:18" x14ac:dyDescent="0.25">
      <c r="B65" s="227"/>
      <c r="C65" s="281"/>
      <c r="D65" s="234"/>
      <c r="E65" s="234"/>
      <c r="F65" s="234"/>
      <c r="G65" s="234"/>
      <c r="H65" s="235"/>
      <c r="I65" s="236"/>
      <c r="J65" s="237"/>
      <c r="K65" s="233"/>
      <c r="L65" s="233"/>
      <c r="M65" s="234"/>
      <c r="N65" s="238"/>
      <c r="O65" s="282"/>
      <c r="P65" s="282"/>
      <c r="Q65" s="283"/>
      <c r="R65" s="228"/>
    </row>
    <row r="66" spans="2:18" x14ac:dyDescent="0.25">
      <c r="B66" s="227"/>
      <c r="C66" s="281"/>
      <c r="D66" s="234"/>
      <c r="E66" s="234"/>
      <c r="F66" s="234"/>
      <c r="G66" s="234"/>
      <c r="H66" s="235"/>
      <c r="I66" s="236"/>
      <c r="J66" s="237"/>
      <c r="K66" s="284"/>
      <c r="L66" s="233"/>
      <c r="M66" s="234"/>
      <c r="N66" s="238"/>
      <c r="O66" s="285"/>
      <c r="P66" s="285"/>
      <c r="Q66" s="283"/>
      <c r="R66" s="228"/>
    </row>
    <row r="67" spans="2:18" x14ac:dyDescent="0.25">
      <c r="B67" s="227"/>
      <c r="C67" s="286"/>
      <c r="D67" s="647" t="s">
        <v>184</v>
      </c>
      <c r="E67" s="647"/>
      <c r="F67" s="287"/>
      <c r="G67" s="287"/>
      <c r="H67" s="288"/>
      <c r="I67" s="289"/>
      <c r="J67" s="290"/>
      <c r="K67" s="291"/>
      <c r="L67" s="291"/>
      <c r="M67" s="287" t="s">
        <v>153</v>
      </c>
      <c r="N67" s="292"/>
      <c r="O67" s="647" t="s">
        <v>185</v>
      </c>
      <c r="P67" s="647"/>
      <c r="Q67" s="648"/>
      <c r="R67" s="228"/>
    </row>
    <row r="68" spans="2:18" ht="6.75" customHeight="1" thickBot="1" x14ac:dyDescent="0.3">
      <c r="B68" s="293"/>
      <c r="C68" s="294"/>
      <c r="D68" s="294"/>
      <c r="E68" s="294"/>
      <c r="F68" s="294"/>
      <c r="G68" s="294"/>
      <c r="H68" s="294"/>
      <c r="I68" s="295"/>
      <c r="J68" s="296"/>
      <c r="K68" s="294"/>
      <c r="L68" s="294"/>
      <c r="M68" s="294"/>
      <c r="N68" s="297"/>
      <c r="O68" s="297"/>
      <c r="P68" s="297"/>
      <c r="Q68" s="294"/>
      <c r="R68" s="298"/>
    </row>
  </sheetData>
  <mergeCells count="20">
    <mergeCell ref="C61:D61"/>
    <mergeCell ref="D63:E63"/>
    <mergeCell ref="O63:Q63"/>
    <mergeCell ref="D67:E67"/>
    <mergeCell ref="O67:Q67"/>
    <mergeCell ref="C11:D11"/>
    <mergeCell ref="C12:D12"/>
    <mergeCell ref="C13:Q13"/>
    <mergeCell ref="C14:C15"/>
    <mergeCell ref="J14:K14"/>
    <mergeCell ref="L14:M14"/>
    <mergeCell ref="N14:O14"/>
    <mergeCell ref="Q14:Q15"/>
    <mergeCell ref="J15:K15"/>
    <mergeCell ref="C10:D10"/>
    <mergeCell ref="C3:N4"/>
    <mergeCell ref="C5:N6"/>
    <mergeCell ref="C7:Q7"/>
    <mergeCell ref="C8:F8"/>
    <mergeCell ref="C9:D9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8"/>
  <sheetViews>
    <sheetView workbookViewId="0">
      <selection activeCell="O63" sqref="O63:Q63"/>
    </sheetView>
  </sheetViews>
  <sheetFormatPr defaultRowHeight="15" x14ac:dyDescent="0.25"/>
  <cols>
    <col min="1" max="1" width="0.7109375" style="147" customWidth="1"/>
    <col min="2" max="2" width="0.5703125" style="147" customWidth="1"/>
    <col min="3" max="3" width="3.7109375" style="147" customWidth="1"/>
    <col min="4" max="4" width="13.140625" style="147" customWidth="1"/>
    <col min="5" max="5" width="13" style="147" customWidth="1"/>
    <col min="6" max="6" width="7.5703125" style="147" customWidth="1"/>
    <col min="7" max="7" width="7.7109375" style="147" customWidth="1"/>
    <col min="8" max="8" width="9" style="147" customWidth="1"/>
    <col min="9" max="9" width="9.140625" style="147"/>
    <col min="10" max="10" width="6.85546875" style="147" customWidth="1"/>
    <col min="11" max="11" width="3.85546875" style="147" customWidth="1"/>
    <col min="12" max="12" width="9.140625" style="147"/>
    <col min="13" max="13" width="7.28515625" style="147" customWidth="1"/>
    <col min="14" max="14" width="11.28515625" style="147" customWidth="1"/>
    <col min="15" max="15" width="7.5703125" style="147" customWidth="1"/>
    <col min="16" max="16" width="8.7109375" style="147" customWidth="1"/>
    <col min="17" max="17" width="16.42578125" style="147" customWidth="1"/>
    <col min="18" max="18" width="0.5703125" style="147" customWidth="1"/>
    <col min="19" max="16384" width="9.140625" style="147"/>
  </cols>
  <sheetData>
    <row r="1" spans="2:19" ht="7.5" customHeight="1" thickBot="1" x14ac:dyDescent="0.3"/>
    <row r="2" spans="2:19" ht="6" customHeight="1" x14ac:dyDescent="0.25">
      <c r="B2" s="211"/>
      <c r="C2" s="212" t="s">
        <v>153</v>
      </c>
      <c r="D2" s="213"/>
      <c r="E2" s="213"/>
      <c r="F2" s="213"/>
      <c r="G2" s="213"/>
      <c r="H2" s="214"/>
      <c r="I2" s="215"/>
      <c r="J2" s="216"/>
      <c r="K2" s="217"/>
      <c r="L2" s="217"/>
      <c r="M2" s="213"/>
      <c r="N2" s="218"/>
      <c r="O2" s="219"/>
      <c r="P2" s="219"/>
      <c r="Q2" s="213"/>
      <c r="R2" s="220"/>
    </row>
    <row r="3" spans="2:19" s="226" customFormat="1" ht="23.25" customHeight="1" x14ac:dyDescent="0.25">
      <c r="B3" s="221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222" t="s">
        <v>154</v>
      </c>
      <c r="P3" s="223"/>
      <c r="Q3" s="224"/>
      <c r="R3" s="225"/>
    </row>
    <row r="4" spans="2:19" s="226" customFormat="1" ht="23.25" customHeight="1" x14ac:dyDescent="0.25">
      <c r="B4" s="221"/>
      <c r="C4" s="620"/>
      <c r="D4" s="620"/>
      <c r="E4" s="620"/>
      <c r="F4" s="620"/>
      <c r="G4" s="620"/>
      <c r="H4" s="620"/>
      <c r="I4" s="620"/>
      <c r="J4" s="620"/>
      <c r="K4" s="620"/>
      <c r="L4" s="620"/>
      <c r="M4" s="620"/>
      <c r="N4" s="620"/>
      <c r="O4" s="222" t="s">
        <v>155</v>
      </c>
      <c r="P4" s="223"/>
      <c r="Q4" s="224"/>
      <c r="R4" s="225"/>
    </row>
    <row r="5" spans="2:19" s="226" customFormat="1" ht="17.25" customHeight="1" x14ac:dyDescent="0.25">
      <c r="B5" s="221"/>
      <c r="C5" s="621" t="s">
        <v>156</v>
      </c>
      <c r="D5" s="621"/>
      <c r="E5" s="621"/>
      <c r="F5" s="621"/>
      <c r="G5" s="621"/>
      <c r="H5" s="621"/>
      <c r="I5" s="621"/>
      <c r="J5" s="621"/>
      <c r="K5" s="621"/>
      <c r="L5" s="621"/>
      <c r="M5" s="621"/>
      <c r="N5" s="621"/>
      <c r="O5" s="222" t="s">
        <v>157</v>
      </c>
      <c r="P5" s="223"/>
      <c r="Q5" s="224"/>
      <c r="R5" s="225"/>
    </row>
    <row r="6" spans="2:19" s="226" customFormat="1" ht="17.25" customHeight="1" x14ac:dyDescent="0.25">
      <c r="B6" s="2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621"/>
      <c r="N6" s="621"/>
      <c r="O6" s="222" t="s">
        <v>158</v>
      </c>
      <c r="P6" s="223"/>
      <c r="Q6" s="224"/>
      <c r="R6" s="225"/>
    </row>
    <row r="7" spans="2:19" ht="7.5" customHeight="1" x14ac:dyDescent="0.25">
      <c r="B7" s="227"/>
      <c r="C7" s="622"/>
      <c r="D7" s="623"/>
      <c r="E7" s="623"/>
      <c r="F7" s="623"/>
      <c r="G7" s="623"/>
      <c r="H7" s="623"/>
      <c r="I7" s="623"/>
      <c r="J7" s="623"/>
      <c r="K7" s="623"/>
      <c r="L7" s="623"/>
      <c r="M7" s="623"/>
      <c r="N7" s="623"/>
      <c r="O7" s="623"/>
      <c r="P7" s="623"/>
      <c r="Q7" s="624"/>
      <c r="R7" s="228"/>
    </row>
    <row r="8" spans="2:19" ht="15" customHeight="1" x14ac:dyDescent="0.25">
      <c r="B8" s="227"/>
      <c r="C8" s="625" t="s">
        <v>159</v>
      </c>
      <c r="D8" s="626"/>
      <c r="E8" s="626"/>
      <c r="F8" s="626"/>
      <c r="G8" s="229"/>
      <c r="H8" s="229"/>
      <c r="I8" s="229"/>
      <c r="J8" s="230"/>
      <c r="K8" s="229"/>
      <c r="L8" s="229"/>
      <c r="M8" s="229"/>
      <c r="N8" s="231"/>
      <c r="O8" s="231"/>
      <c r="P8" s="231"/>
      <c r="Q8" s="232"/>
      <c r="R8" s="228"/>
    </row>
    <row r="9" spans="2:19" ht="12" customHeight="1" x14ac:dyDescent="0.25">
      <c r="B9" s="227"/>
      <c r="C9" s="618" t="s">
        <v>160</v>
      </c>
      <c r="D9" s="619"/>
      <c r="E9" s="233" t="s">
        <v>161</v>
      </c>
      <c r="F9" s="234"/>
      <c r="G9" s="234"/>
      <c r="H9" s="235"/>
      <c r="I9" s="236"/>
      <c r="J9" s="237"/>
      <c r="K9" s="233"/>
      <c r="L9" s="233"/>
      <c r="M9" s="234"/>
      <c r="N9" s="238"/>
      <c r="O9" s="238"/>
      <c r="P9" s="239"/>
      <c r="Q9" s="240"/>
      <c r="R9" s="228"/>
    </row>
    <row r="10" spans="2:19" ht="12" customHeight="1" x14ac:dyDescent="0.25">
      <c r="B10" s="227"/>
      <c r="C10" s="618" t="s">
        <v>162</v>
      </c>
      <c r="D10" s="619"/>
      <c r="E10" s="233" t="s">
        <v>163</v>
      </c>
      <c r="F10" s="234"/>
      <c r="G10" s="234"/>
      <c r="H10" s="235"/>
      <c r="I10" s="236"/>
      <c r="J10" s="241"/>
      <c r="K10" s="233"/>
      <c r="L10" s="233"/>
      <c r="M10" s="234"/>
      <c r="N10" s="238"/>
      <c r="O10" s="238"/>
      <c r="P10" s="239"/>
      <c r="Q10" s="240"/>
      <c r="R10" s="228"/>
    </row>
    <row r="11" spans="2:19" ht="12" customHeight="1" x14ac:dyDescent="0.25">
      <c r="B11" s="227"/>
      <c r="C11" s="618" t="s">
        <v>164</v>
      </c>
      <c r="D11" s="619"/>
      <c r="E11" s="233" t="s">
        <v>165</v>
      </c>
      <c r="F11" s="234"/>
      <c r="G11" s="234"/>
      <c r="H11" s="235"/>
      <c r="I11" s="236"/>
      <c r="J11" s="241"/>
      <c r="K11" s="233"/>
      <c r="L11" s="233"/>
      <c r="M11" s="234"/>
      <c r="N11" s="238"/>
      <c r="O11" s="238"/>
      <c r="P11" s="239"/>
      <c r="Q11" s="240"/>
      <c r="R11" s="228"/>
    </row>
    <row r="12" spans="2:19" ht="12" customHeight="1" x14ac:dyDescent="0.25">
      <c r="B12" s="227"/>
      <c r="C12" s="618" t="s">
        <v>166</v>
      </c>
      <c r="D12" s="619"/>
      <c r="E12" s="233"/>
      <c r="F12" s="234"/>
      <c r="G12" s="234"/>
      <c r="H12" s="235"/>
      <c r="I12" s="236"/>
      <c r="J12" s="237"/>
      <c r="K12" s="233"/>
      <c r="L12" s="233"/>
      <c r="M12" s="234"/>
      <c r="N12" s="238"/>
      <c r="O12" s="238"/>
      <c r="P12" s="239"/>
      <c r="Q12" s="240"/>
      <c r="R12" s="228"/>
    </row>
    <row r="13" spans="2:19" ht="15" customHeight="1" x14ac:dyDescent="0.25">
      <c r="B13" s="227"/>
      <c r="C13" s="627" t="s">
        <v>186</v>
      </c>
      <c r="D13" s="628"/>
      <c r="E13" s="628"/>
      <c r="F13" s="628"/>
      <c r="G13" s="628"/>
      <c r="H13" s="628"/>
      <c r="I13" s="628"/>
      <c r="J13" s="628"/>
      <c r="K13" s="628"/>
      <c r="L13" s="628"/>
      <c r="M13" s="628"/>
      <c r="N13" s="628"/>
      <c r="O13" s="628"/>
      <c r="P13" s="628"/>
      <c r="Q13" s="629"/>
      <c r="R13" s="228"/>
    </row>
    <row r="14" spans="2:19" x14ac:dyDescent="0.25">
      <c r="B14" s="242"/>
      <c r="C14" s="630" t="s">
        <v>97</v>
      </c>
      <c r="D14" s="243" t="s">
        <v>168</v>
      </c>
      <c r="E14" s="243" t="s">
        <v>169</v>
      </c>
      <c r="F14" s="243" t="s">
        <v>168</v>
      </c>
      <c r="G14" s="243" t="s">
        <v>170</v>
      </c>
      <c r="H14" s="244" t="s">
        <v>97</v>
      </c>
      <c r="I14" s="245" t="s">
        <v>97</v>
      </c>
      <c r="J14" s="632" t="s">
        <v>171</v>
      </c>
      <c r="K14" s="633"/>
      <c r="L14" s="634" t="s">
        <v>169</v>
      </c>
      <c r="M14" s="635"/>
      <c r="N14" s="636" t="s">
        <v>172</v>
      </c>
      <c r="O14" s="637"/>
      <c r="P14" s="246" t="s">
        <v>173</v>
      </c>
      <c r="Q14" s="638" t="s">
        <v>174</v>
      </c>
      <c r="R14" s="247"/>
    </row>
    <row r="15" spans="2:19" x14ac:dyDescent="0.25">
      <c r="B15" s="242"/>
      <c r="C15" s="631"/>
      <c r="D15" s="248" t="s">
        <v>5</v>
      </c>
      <c r="E15" s="248" t="s">
        <v>5</v>
      </c>
      <c r="F15" s="248" t="s">
        <v>175</v>
      </c>
      <c r="G15" s="248" t="s">
        <v>175</v>
      </c>
      <c r="H15" s="249" t="s">
        <v>175</v>
      </c>
      <c r="I15" s="250" t="s">
        <v>176</v>
      </c>
      <c r="J15" s="640" t="s">
        <v>177</v>
      </c>
      <c r="K15" s="641"/>
      <c r="L15" s="251" t="s">
        <v>178</v>
      </c>
      <c r="M15" s="251" t="s">
        <v>179</v>
      </c>
      <c r="N15" s="252" t="s">
        <v>141</v>
      </c>
      <c r="O15" s="253" t="s">
        <v>180</v>
      </c>
      <c r="P15" s="254" t="s">
        <v>181</v>
      </c>
      <c r="Q15" s="639"/>
      <c r="R15" s="247"/>
    </row>
    <row r="16" spans="2:19" ht="15.75" customHeight="1" x14ac:dyDescent="0.25">
      <c r="B16" s="242"/>
      <c r="C16" s="255">
        <v>1</v>
      </c>
      <c r="D16" s="256"/>
      <c r="E16" s="256"/>
      <c r="F16" s="256"/>
      <c r="G16" s="256"/>
      <c r="H16" s="257"/>
      <c r="I16" s="258"/>
      <c r="J16" s="259"/>
      <c r="K16" s="260"/>
      <c r="L16" s="261"/>
      <c r="M16" s="262"/>
      <c r="N16" s="261"/>
      <c r="O16" s="262"/>
      <c r="P16" s="263"/>
      <c r="Q16" s="256"/>
      <c r="R16" s="247"/>
      <c r="S16" s="264"/>
    </row>
    <row r="17" spans="2:18" ht="15.75" customHeight="1" x14ac:dyDescent="0.25">
      <c r="B17" s="242"/>
      <c r="C17" s="255">
        <v>2</v>
      </c>
      <c r="D17" s="256"/>
      <c r="E17" s="256"/>
      <c r="F17" s="256"/>
      <c r="G17" s="256"/>
      <c r="H17" s="257"/>
      <c r="I17" s="258"/>
      <c r="J17" s="259"/>
      <c r="K17" s="260"/>
      <c r="L17" s="261"/>
      <c r="M17" s="262"/>
      <c r="N17" s="261"/>
      <c r="O17" s="262"/>
      <c r="P17" s="263"/>
      <c r="Q17" s="256"/>
      <c r="R17" s="247"/>
    </row>
    <row r="18" spans="2:18" ht="15.75" customHeight="1" x14ac:dyDescent="0.25">
      <c r="B18" s="242"/>
      <c r="C18" s="255">
        <v>3</v>
      </c>
      <c r="D18" s="256"/>
      <c r="E18" s="256"/>
      <c r="F18" s="256"/>
      <c r="G18" s="256"/>
      <c r="H18" s="257"/>
      <c r="I18" s="258"/>
      <c r="J18" s="259"/>
      <c r="K18" s="260"/>
      <c r="L18" s="261"/>
      <c r="M18" s="262"/>
      <c r="N18" s="261"/>
      <c r="O18" s="262"/>
      <c r="P18" s="263"/>
      <c r="Q18" s="256"/>
      <c r="R18" s="247"/>
    </row>
    <row r="19" spans="2:18" ht="15.75" customHeight="1" x14ac:dyDescent="0.25">
      <c r="B19" s="242"/>
      <c r="C19" s="255">
        <v>4</v>
      </c>
      <c r="D19" s="256"/>
      <c r="E19" s="256"/>
      <c r="F19" s="256"/>
      <c r="G19" s="256"/>
      <c r="H19" s="257"/>
      <c r="I19" s="258"/>
      <c r="J19" s="259"/>
      <c r="K19" s="260"/>
      <c r="L19" s="261"/>
      <c r="M19" s="262"/>
      <c r="N19" s="261"/>
      <c r="O19" s="262"/>
      <c r="P19" s="263"/>
      <c r="Q19" s="256"/>
      <c r="R19" s="247"/>
    </row>
    <row r="20" spans="2:18" ht="15.75" customHeight="1" x14ac:dyDescent="0.25">
      <c r="B20" s="242"/>
      <c r="C20" s="255">
        <v>5</v>
      </c>
      <c r="D20" s="256"/>
      <c r="E20" s="256"/>
      <c r="F20" s="256"/>
      <c r="G20" s="256"/>
      <c r="H20" s="257"/>
      <c r="I20" s="258"/>
      <c r="J20" s="259"/>
      <c r="K20" s="260"/>
      <c r="L20" s="261"/>
      <c r="M20" s="262"/>
      <c r="N20" s="261"/>
      <c r="O20" s="262"/>
      <c r="P20" s="263"/>
      <c r="Q20" s="256"/>
      <c r="R20" s="247"/>
    </row>
    <row r="21" spans="2:18" ht="15.75" customHeight="1" x14ac:dyDescent="0.25">
      <c r="B21" s="242"/>
      <c r="C21" s="255">
        <v>6</v>
      </c>
      <c r="D21" s="256"/>
      <c r="E21" s="256"/>
      <c r="F21" s="256"/>
      <c r="G21" s="256"/>
      <c r="H21" s="257"/>
      <c r="I21" s="258"/>
      <c r="J21" s="259"/>
      <c r="K21" s="260"/>
      <c r="L21" s="261"/>
      <c r="M21" s="262"/>
      <c r="N21" s="261"/>
      <c r="O21" s="262"/>
      <c r="P21" s="263"/>
      <c r="Q21" s="256"/>
      <c r="R21" s="247"/>
    </row>
    <row r="22" spans="2:18" ht="15.75" customHeight="1" x14ac:dyDescent="0.25">
      <c r="B22" s="242"/>
      <c r="C22" s="255">
        <v>7</v>
      </c>
      <c r="D22" s="256"/>
      <c r="E22" s="256"/>
      <c r="F22" s="256"/>
      <c r="G22" s="256"/>
      <c r="H22" s="257"/>
      <c r="I22" s="258"/>
      <c r="J22" s="259"/>
      <c r="K22" s="260"/>
      <c r="L22" s="261"/>
      <c r="M22" s="262"/>
      <c r="N22" s="261"/>
      <c r="O22" s="262"/>
      <c r="P22" s="263"/>
      <c r="Q22" s="256"/>
      <c r="R22" s="247"/>
    </row>
    <row r="23" spans="2:18" ht="15.75" customHeight="1" x14ac:dyDescent="0.25">
      <c r="B23" s="242"/>
      <c r="C23" s="255">
        <v>8</v>
      </c>
      <c r="D23" s="256"/>
      <c r="E23" s="256"/>
      <c r="F23" s="256"/>
      <c r="G23" s="256"/>
      <c r="H23" s="257"/>
      <c r="I23" s="258"/>
      <c r="J23" s="259"/>
      <c r="K23" s="260"/>
      <c r="L23" s="261"/>
      <c r="M23" s="262"/>
      <c r="N23" s="261"/>
      <c r="O23" s="262"/>
      <c r="P23" s="263"/>
      <c r="Q23" s="256"/>
      <c r="R23" s="247"/>
    </row>
    <row r="24" spans="2:18" ht="15.75" customHeight="1" x14ac:dyDescent="0.25">
      <c r="B24" s="242"/>
      <c r="C24" s="255">
        <v>9</v>
      </c>
      <c r="D24" s="256"/>
      <c r="E24" s="256"/>
      <c r="F24" s="256"/>
      <c r="G24" s="256"/>
      <c r="H24" s="257"/>
      <c r="I24" s="258"/>
      <c r="J24" s="259"/>
      <c r="K24" s="260"/>
      <c r="L24" s="261"/>
      <c r="M24" s="262"/>
      <c r="N24" s="261"/>
      <c r="O24" s="262"/>
      <c r="P24" s="263"/>
      <c r="Q24" s="256"/>
      <c r="R24" s="247"/>
    </row>
    <row r="25" spans="2:18" ht="15.75" customHeight="1" x14ac:dyDescent="0.25">
      <c r="B25" s="242"/>
      <c r="C25" s="255">
        <v>10</v>
      </c>
      <c r="D25" s="256"/>
      <c r="E25" s="256"/>
      <c r="F25" s="256"/>
      <c r="G25" s="256"/>
      <c r="H25" s="257"/>
      <c r="I25" s="258"/>
      <c r="J25" s="259"/>
      <c r="K25" s="260"/>
      <c r="L25" s="261"/>
      <c r="M25" s="262"/>
      <c r="N25" s="261"/>
      <c r="O25" s="262"/>
      <c r="P25" s="263"/>
      <c r="Q25" s="256"/>
      <c r="R25" s="247"/>
    </row>
    <row r="26" spans="2:18" ht="15.75" customHeight="1" x14ac:dyDescent="0.25">
      <c r="B26" s="242"/>
      <c r="C26" s="255">
        <v>11</v>
      </c>
      <c r="D26" s="256"/>
      <c r="E26" s="256"/>
      <c r="F26" s="256"/>
      <c r="G26" s="256"/>
      <c r="H26" s="257"/>
      <c r="I26" s="258"/>
      <c r="J26" s="259"/>
      <c r="K26" s="260"/>
      <c r="L26" s="261"/>
      <c r="M26" s="262"/>
      <c r="N26" s="261"/>
      <c r="O26" s="262"/>
      <c r="P26" s="263"/>
      <c r="Q26" s="256"/>
      <c r="R26" s="247"/>
    </row>
    <row r="27" spans="2:18" ht="15.75" customHeight="1" x14ac:dyDescent="0.25">
      <c r="B27" s="242"/>
      <c r="C27" s="255">
        <v>12</v>
      </c>
      <c r="D27" s="256"/>
      <c r="E27" s="256"/>
      <c r="F27" s="256"/>
      <c r="G27" s="256"/>
      <c r="H27" s="257"/>
      <c r="I27" s="258"/>
      <c r="J27" s="259"/>
      <c r="K27" s="260"/>
      <c r="L27" s="261"/>
      <c r="M27" s="262"/>
      <c r="N27" s="261"/>
      <c r="O27" s="262"/>
      <c r="P27" s="263"/>
      <c r="Q27" s="256"/>
      <c r="R27" s="247"/>
    </row>
    <row r="28" spans="2:18" ht="15.75" customHeight="1" x14ac:dyDescent="0.25">
      <c r="B28" s="242"/>
      <c r="C28" s="255">
        <v>13</v>
      </c>
      <c r="D28" s="256"/>
      <c r="E28" s="256"/>
      <c r="F28" s="256"/>
      <c r="G28" s="256"/>
      <c r="H28" s="257"/>
      <c r="I28" s="258"/>
      <c r="J28" s="259"/>
      <c r="K28" s="260"/>
      <c r="L28" s="261"/>
      <c r="M28" s="262"/>
      <c r="N28" s="261"/>
      <c r="O28" s="262"/>
      <c r="P28" s="263"/>
      <c r="Q28" s="256"/>
      <c r="R28" s="247"/>
    </row>
    <row r="29" spans="2:18" ht="15.75" customHeight="1" x14ac:dyDescent="0.25">
      <c r="B29" s="242"/>
      <c r="C29" s="255">
        <v>14</v>
      </c>
      <c r="D29" s="256"/>
      <c r="E29" s="256"/>
      <c r="F29" s="256"/>
      <c r="G29" s="256"/>
      <c r="H29" s="257"/>
      <c r="I29" s="258"/>
      <c r="J29" s="259"/>
      <c r="K29" s="260"/>
      <c r="L29" s="261"/>
      <c r="M29" s="262"/>
      <c r="N29" s="261"/>
      <c r="O29" s="262"/>
      <c r="P29" s="263"/>
      <c r="Q29" s="256"/>
      <c r="R29" s="247"/>
    </row>
    <row r="30" spans="2:18" ht="15.75" customHeight="1" x14ac:dyDescent="0.25">
      <c r="B30" s="242"/>
      <c r="C30" s="255">
        <v>15</v>
      </c>
      <c r="D30" s="256"/>
      <c r="E30" s="256"/>
      <c r="F30" s="256"/>
      <c r="G30" s="256"/>
      <c r="H30" s="257"/>
      <c r="I30" s="258"/>
      <c r="J30" s="259"/>
      <c r="K30" s="260"/>
      <c r="L30" s="261"/>
      <c r="M30" s="262"/>
      <c r="N30" s="261"/>
      <c r="O30" s="262"/>
      <c r="P30" s="263"/>
      <c r="Q30" s="256"/>
      <c r="R30" s="247"/>
    </row>
    <row r="31" spans="2:18" ht="15.75" customHeight="1" x14ac:dyDescent="0.25">
      <c r="B31" s="242"/>
      <c r="C31" s="255">
        <v>16</v>
      </c>
      <c r="D31" s="256"/>
      <c r="E31" s="256"/>
      <c r="F31" s="256"/>
      <c r="G31" s="256"/>
      <c r="H31" s="257"/>
      <c r="I31" s="258"/>
      <c r="J31" s="259"/>
      <c r="K31" s="260"/>
      <c r="L31" s="261"/>
      <c r="M31" s="262"/>
      <c r="N31" s="261"/>
      <c r="O31" s="262"/>
      <c r="P31" s="263"/>
      <c r="Q31" s="256"/>
      <c r="R31" s="247"/>
    </row>
    <row r="32" spans="2:18" ht="15.75" customHeight="1" x14ac:dyDescent="0.25">
      <c r="B32" s="242"/>
      <c r="C32" s="255">
        <v>17</v>
      </c>
      <c r="D32" s="256"/>
      <c r="E32" s="256"/>
      <c r="F32" s="256"/>
      <c r="G32" s="256"/>
      <c r="H32" s="257"/>
      <c r="I32" s="258"/>
      <c r="J32" s="259"/>
      <c r="K32" s="260"/>
      <c r="L32" s="261"/>
      <c r="M32" s="262"/>
      <c r="N32" s="261"/>
      <c r="O32" s="262"/>
      <c r="P32" s="263"/>
      <c r="Q32" s="256"/>
      <c r="R32" s="247"/>
    </row>
    <row r="33" spans="2:18" ht="15.75" customHeight="1" x14ac:dyDescent="0.25">
      <c r="B33" s="242"/>
      <c r="C33" s="255">
        <v>18</v>
      </c>
      <c r="D33" s="256"/>
      <c r="E33" s="256"/>
      <c r="F33" s="256"/>
      <c r="G33" s="256"/>
      <c r="H33" s="257"/>
      <c r="I33" s="258"/>
      <c r="J33" s="259"/>
      <c r="K33" s="260"/>
      <c r="L33" s="261"/>
      <c r="M33" s="262"/>
      <c r="N33" s="261"/>
      <c r="O33" s="262"/>
      <c r="P33" s="263"/>
      <c r="Q33" s="256"/>
      <c r="R33" s="247"/>
    </row>
    <row r="34" spans="2:18" ht="15.75" customHeight="1" x14ac:dyDescent="0.25">
      <c r="B34" s="242"/>
      <c r="C34" s="255">
        <v>19</v>
      </c>
      <c r="D34" s="256"/>
      <c r="E34" s="256"/>
      <c r="F34" s="256"/>
      <c r="G34" s="256"/>
      <c r="H34" s="257"/>
      <c r="I34" s="258"/>
      <c r="J34" s="259"/>
      <c r="K34" s="260"/>
      <c r="L34" s="261"/>
      <c r="M34" s="262"/>
      <c r="N34" s="261"/>
      <c r="O34" s="262"/>
      <c r="P34" s="263"/>
      <c r="Q34" s="256"/>
      <c r="R34" s="247"/>
    </row>
    <row r="35" spans="2:18" ht="15.75" customHeight="1" x14ac:dyDescent="0.25">
      <c r="B35" s="242"/>
      <c r="C35" s="255">
        <v>20</v>
      </c>
      <c r="D35" s="256"/>
      <c r="E35" s="256"/>
      <c r="F35" s="256"/>
      <c r="G35" s="256"/>
      <c r="H35" s="257"/>
      <c r="I35" s="258"/>
      <c r="J35" s="259"/>
      <c r="K35" s="260"/>
      <c r="L35" s="261"/>
      <c r="M35" s="262"/>
      <c r="N35" s="261"/>
      <c r="O35" s="262"/>
      <c r="P35" s="263"/>
      <c r="Q35" s="256"/>
      <c r="R35" s="247"/>
    </row>
    <row r="36" spans="2:18" ht="15.75" customHeight="1" x14ac:dyDescent="0.25">
      <c r="B36" s="242"/>
      <c r="C36" s="255">
        <v>21</v>
      </c>
      <c r="D36" s="256"/>
      <c r="E36" s="256"/>
      <c r="F36" s="256"/>
      <c r="G36" s="256"/>
      <c r="H36" s="257"/>
      <c r="I36" s="258"/>
      <c r="J36" s="259"/>
      <c r="K36" s="260"/>
      <c r="L36" s="261"/>
      <c r="M36" s="262"/>
      <c r="N36" s="261"/>
      <c r="O36" s="262"/>
      <c r="P36" s="263"/>
      <c r="Q36" s="256"/>
      <c r="R36" s="247"/>
    </row>
    <row r="37" spans="2:18" ht="15.75" customHeight="1" x14ac:dyDescent="0.25">
      <c r="B37" s="242"/>
      <c r="C37" s="255">
        <v>22</v>
      </c>
      <c r="D37" s="256"/>
      <c r="E37" s="256"/>
      <c r="F37" s="256"/>
      <c r="G37" s="256"/>
      <c r="H37" s="257"/>
      <c r="I37" s="258"/>
      <c r="J37" s="259"/>
      <c r="K37" s="260"/>
      <c r="L37" s="261"/>
      <c r="M37" s="262"/>
      <c r="N37" s="261"/>
      <c r="O37" s="262"/>
      <c r="P37" s="263"/>
      <c r="Q37" s="256"/>
      <c r="R37" s="247"/>
    </row>
    <row r="38" spans="2:18" ht="15.75" customHeight="1" x14ac:dyDescent="0.25">
      <c r="B38" s="242"/>
      <c r="C38" s="255">
        <v>23</v>
      </c>
      <c r="D38" s="256"/>
      <c r="E38" s="256"/>
      <c r="F38" s="256"/>
      <c r="G38" s="256"/>
      <c r="H38" s="257"/>
      <c r="I38" s="258"/>
      <c r="J38" s="259"/>
      <c r="K38" s="260"/>
      <c r="L38" s="261"/>
      <c r="M38" s="262"/>
      <c r="N38" s="261"/>
      <c r="O38" s="262"/>
      <c r="P38" s="263"/>
      <c r="Q38" s="256"/>
      <c r="R38" s="247"/>
    </row>
    <row r="39" spans="2:18" ht="15.75" customHeight="1" x14ac:dyDescent="0.25">
      <c r="B39" s="242"/>
      <c r="C39" s="255">
        <v>24</v>
      </c>
      <c r="D39" s="256"/>
      <c r="E39" s="256"/>
      <c r="F39" s="256"/>
      <c r="G39" s="256"/>
      <c r="H39" s="257"/>
      <c r="I39" s="258"/>
      <c r="J39" s="259"/>
      <c r="K39" s="260"/>
      <c r="L39" s="261"/>
      <c r="M39" s="262"/>
      <c r="N39" s="261"/>
      <c r="O39" s="262"/>
      <c r="P39" s="263"/>
      <c r="Q39" s="256"/>
      <c r="R39" s="247"/>
    </row>
    <row r="40" spans="2:18" ht="15.75" customHeight="1" x14ac:dyDescent="0.25">
      <c r="B40" s="242"/>
      <c r="C40" s="255">
        <v>25</v>
      </c>
      <c r="D40" s="256"/>
      <c r="E40" s="256"/>
      <c r="F40" s="256"/>
      <c r="G40" s="256"/>
      <c r="H40" s="257"/>
      <c r="I40" s="258"/>
      <c r="J40" s="259"/>
      <c r="K40" s="260"/>
      <c r="L40" s="261"/>
      <c r="M40" s="262"/>
      <c r="N40" s="261"/>
      <c r="O40" s="262"/>
      <c r="P40" s="263"/>
      <c r="Q40" s="256"/>
      <c r="R40" s="247"/>
    </row>
    <row r="41" spans="2:18" ht="15.75" customHeight="1" x14ac:dyDescent="0.25">
      <c r="B41" s="242"/>
      <c r="C41" s="255">
        <v>26</v>
      </c>
      <c r="D41" s="256"/>
      <c r="E41" s="256"/>
      <c r="F41" s="256"/>
      <c r="G41" s="256"/>
      <c r="H41" s="257"/>
      <c r="I41" s="258"/>
      <c r="J41" s="259"/>
      <c r="K41" s="260"/>
      <c r="L41" s="261"/>
      <c r="M41" s="262"/>
      <c r="N41" s="261"/>
      <c r="O41" s="262"/>
      <c r="P41" s="263"/>
      <c r="Q41" s="256"/>
      <c r="R41" s="247"/>
    </row>
    <row r="42" spans="2:18" ht="15.75" customHeight="1" x14ac:dyDescent="0.25">
      <c r="B42" s="242"/>
      <c r="C42" s="255">
        <v>27</v>
      </c>
      <c r="D42" s="256"/>
      <c r="E42" s="256"/>
      <c r="F42" s="256"/>
      <c r="G42" s="256"/>
      <c r="H42" s="257"/>
      <c r="I42" s="258"/>
      <c r="J42" s="259"/>
      <c r="K42" s="260"/>
      <c r="L42" s="261"/>
      <c r="M42" s="262"/>
      <c r="N42" s="261"/>
      <c r="O42" s="262"/>
      <c r="P42" s="263"/>
      <c r="Q42" s="256"/>
      <c r="R42" s="247"/>
    </row>
    <row r="43" spans="2:18" ht="15.75" customHeight="1" x14ac:dyDescent="0.25">
      <c r="B43" s="242"/>
      <c r="C43" s="255">
        <v>28</v>
      </c>
      <c r="D43" s="256"/>
      <c r="E43" s="256"/>
      <c r="F43" s="256"/>
      <c r="G43" s="256"/>
      <c r="H43" s="257"/>
      <c r="I43" s="258"/>
      <c r="J43" s="259"/>
      <c r="K43" s="260"/>
      <c r="L43" s="261"/>
      <c r="M43" s="262"/>
      <c r="N43" s="261"/>
      <c r="O43" s="262"/>
      <c r="P43" s="263"/>
      <c r="Q43" s="256"/>
      <c r="R43" s="247"/>
    </row>
    <row r="44" spans="2:18" ht="15.75" customHeight="1" x14ac:dyDescent="0.25">
      <c r="B44" s="242"/>
      <c r="C44" s="255">
        <v>29</v>
      </c>
      <c r="D44" s="256"/>
      <c r="E44" s="256"/>
      <c r="F44" s="256"/>
      <c r="G44" s="256"/>
      <c r="H44" s="257"/>
      <c r="I44" s="258"/>
      <c r="J44" s="259"/>
      <c r="K44" s="260"/>
      <c r="L44" s="261"/>
      <c r="M44" s="262"/>
      <c r="N44" s="261"/>
      <c r="O44" s="262"/>
      <c r="P44" s="263"/>
      <c r="Q44" s="256"/>
      <c r="R44" s="247"/>
    </row>
    <row r="45" spans="2:18" ht="15.75" customHeight="1" x14ac:dyDescent="0.25">
      <c r="B45" s="242"/>
      <c r="C45" s="255">
        <v>30</v>
      </c>
      <c r="D45" s="256"/>
      <c r="E45" s="256"/>
      <c r="F45" s="256"/>
      <c r="G45" s="256"/>
      <c r="H45" s="257"/>
      <c r="I45" s="258"/>
      <c r="J45" s="259"/>
      <c r="K45" s="260"/>
      <c r="L45" s="261"/>
      <c r="M45" s="262"/>
      <c r="N45" s="261"/>
      <c r="O45" s="262"/>
      <c r="P45" s="263"/>
      <c r="Q45" s="256"/>
      <c r="R45" s="247"/>
    </row>
    <row r="46" spans="2:18" ht="15.75" customHeight="1" x14ac:dyDescent="0.25">
      <c r="B46" s="242"/>
      <c r="C46" s="255">
        <v>31</v>
      </c>
      <c r="D46" s="256"/>
      <c r="E46" s="256"/>
      <c r="F46" s="256"/>
      <c r="G46" s="256"/>
      <c r="H46" s="257"/>
      <c r="I46" s="258"/>
      <c r="J46" s="259"/>
      <c r="K46" s="260"/>
      <c r="L46" s="261"/>
      <c r="M46" s="262"/>
      <c r="N46" s="261"/>
      <c r="O46" s="262"/>
      <c r="P46" s="263"/>
      <c r="Q46" s="256"/>
      <c r="R46" s="247"/>
    </row>
    <row r="47" spans="2:18" ht="15.75" customHeight="1" x14ac:dyDescent="0.25">
      <c r="B47" s="242"/>
      <c r="C47" s="255">
        <v>32</v>
      </c>
      <c r="D47" s="256"/>
      <c r="E47" s="256"/>
      <c r="F47" s="256"/>
      <c r="G47" s="256"/>
      <c r="H47" s="257"/>
      <c r="I47" s="258"/>
      <c r="J47" s="259"/>
      <c r="K47" s="260"/>
      <c r="L47" s="261"/>
      <c r="M47" s="262"/>
      <c r="N47" s="261"/>
      <c r="O47" s="262"/>
      <c r="P47" s="263"/>
      <c r="Q47" s="256"/>
      <c r="R47" s="247"/>
    </row>
    <row r="48" spans="2:18" ht="15.75" customHeight="1" x14ac:dyDescent="0.25">
      <c r="B48" s="242"/>
      <c r="C48" s="255">
        <v>33</v>
      </c>
      <c r="D48" s="256"/>
      <c r="E48" s="256"/>
      <c r="F48" s="256"/>
      <c r="G48" s="256"/>
      <c r="H48" s="257"/>
      <c r="I48" s="258"/>
      <c r="J48" s="259"/>
      <c r="K48" s="260"/>
      <c r="L48" s="261"/>
      <c r="M48" s="262"/>
      <c r="N48" s="261"/>
      <c r="O48" s="262"/>
      <c r="P48" s="263"/>
      <c r="Q48" s="256"/>
      <c r="R48" s="247"/>
    </row>
    <row r="49" spans="2:18" ht="15.75" customHeight="1" x14ac:dyDescent="0.25">
      <c r="B49" s="242"/>
      <c r="C49" s="255">
        <v>34</v>
      </c>
      <c r="D49" s="256"/>
      <c r="E49" s="256"/>
      <c r="F49" s="256"/>
      <c r="G49" s="256"/>
      <c r="H49" s="257"/>
      <c r="I49" s="258"/>
      <c r="J49" s="259"/>
      <c r="K49" s="260"/>
      <c r="L49" s="261"/>
      <c r="M49" s="262"/>
      <c r="N49" s="261"/>
      <c r="O49" s="262"/>
      <c r="P49" s="263"/>
      <c r="Q49" s="256"/>
      <c r="R49" s="247"/>
    </row>
    <row r="50" spans="2:18" ht="15.75" customHeight="1" x14ac:dyDescent="0.25">
      <c r="B50" s="242"/>
      <c r="C50" s="255">
        <v>35</v>
      </c>
      <c r="D50" s="256"/>
      <c r="E50" s="256"/>
      <c r="F50" s="256"/>
      <c r="G50" s="256"/>
      <c r="H50" s="257"/>
      <c r="I50" s="258"/>
      <c r="J50" s="259"/>
      <c r="K50" s="260"/>
      <c r="L50" s="261"/>
      <c r="M50" s="262"/>
      <c r="N50" s="261"/>
      <c r="O50" s="262"/>
      <c r="P50" s="263"/>
      <c r="Q50" s="256"/>
      <c r="R50" s="247"/>
    </row>
    <row r="51" spans="2:18" ht="15.75" customHeight="1" x14ac:dyDescent="0.25">
      <c r="B51" s="242"/>
      <c r="C51" s="255">
        <v>36</v>
      </c>
      <c r="D51" s="256"/>
      <c r="E51" s="256"/>
      <c r="F51" s="256"/>
      <c r="G51" s="256"/>
      <c r="H51" s="257"/>
      <c r="I51" s="258"/>
      <c r="J51" s="259"/>
      <c r="K51" s="260"/>
      <c r="L51" s="261"/>
      <c r="M51" s="262"/>
      <c r="N51" s="261"/>
      <c r="O51" s="262"/>
      <c r="P51" s="263"/>
      <c r="Q51" s="256"/>
      <c r="R51" s="247"/>
    </row>
    <row r="52" spans="2:18" ht="15.75" customHeight="1" x14ac:dyDescent="0.25">
      <c r="B52" s="242"/>
      <c r="C52" s="255">
        <v>37</v>
      </c>
      <c r="D52" s="256"/>
      <c r="E52" s="256"/>
      <c r="F52" s="256"/>
      <c r="G52" s="256"/>
      <c r="H52" s="257"/>
      <c r="I52" s="258"/>
      <c r="J52" s="259"/>
      <c r="K52" s="260"/>
      <c r="L52" s="261"/>
      <c r="M52" s="262"/>
      <c r="N52" s="261"/>
      <c r="O52" s="262"/>
      <c r="P52" s="263"/>
      <c r="Q52" s="256"/>
      <c r="R52" s="247"/>
    </row>
    <row r="53" spans="2:18" ht="15.75" customHeight="1" x14ac:dyDescent="0.25">
      <c r="B53" s="242"/>
      <c r="C53" s="255">
        <v>38</v>
      </c>
      <c r="D53" s="256"/>
      <c r="E53" s="256"/>
      <c r="F53" s="256"/>
      <c r="G53" s="256"/>
      <c r="H53" s="257"/>
      <c r="I53" s="258"/>
      <c r="J53" s="259"/>
      <c r="K53" s="260"/>
      <c r="L53" s="261"/>
      <c r="M53" s="262"/>
      <c r="N53" s="261"/>
      <c r="O53" s="262"/>
      <c r="P53" s="263"/>
      <c r="Q53" s="256"/>
      <c r="R53" s="247"/>
    </row>
    <row r="54" spans="2:18" ht="15.75" customHeight="1" x14ac:dyDescent="0.25">
      <c r="B54" s="242"/>
      <c r="C54" s="255">
        <v>39</v>
      </c>
      <c r="D54" s="256"/>
      <c r="E54" s="256"/>
      <c r="F54" s="256"/>
      <c r="G54" s="256"/>
      <c r="H54" s="257"/>
      <c r="I54" s="258"/>
      <c r="J54" s="259"/>
      <c r="K54" s="260"/>
      <c r="L54" s="261"/>
      <c r="M54" s="262"/>
      <c r="N54" s="261"/>
      <c r="O54" s="262"/>
      <c r="P54" s="263"/>
      <c r="Q54" s="256"/>
      <c r="R54" s="247"/>
    </row>
    <row r="55" spans="2:18" ht="15.75" customHeight="1" x14ac:dyDescent="0.25">
      <c r="B55" s="242"/>
      <c r="C55" s="255">
        <v>40</v>
      </c>
      <c r="D55" s="256"/>
      <c r="E55" s="256"/>
      <c r="F55" s="256"/>
      <c r="G55" s="256"/>
      <c r="H55" s="257"/>
      <c r="I55" s="258"/>
      <c r="J55" s="259"/>
      <c r="K55" s="260"/>
      <c r="L55" s="261"/>
      <c r="M55" s="262"/>
      <c r="N55" s="261"/>
      <c r="O55" s="262"/>
      <c r="P55" s="263"/>
      <c r="Q55" s="256"/>
      <c r="R55" s="247"/>
    </row>
    <row r="56" spans="2:18" ht="15.75" customHeight="1" x14ac:dyDescent="0.25">
      <c r="B56" s="242"/>
      <c r="C56" s="255">
        <v>41</v>
      </c>
      <c r="D56" s="256"/>
      <c r="E56" s="256"/>
      <c r="F56" s="256"/>
      <c r="G56" s="256"/>
      <c r="H56" s="257"/>
      <c r="I56" s="258"/>
      <c r="J56" s="259"/>
      <c r="K56" s="260"/>
      <c r="L56" s="261"/>
      <c r="M56" s="262"/>
      <c r="N56" s="261"/>
      <c r="O56" s="262"/>
      <c r="P56" s="263"/>
      <c r="Q56" s="256"/>
      <c r="R56" s="247"/>
    </row>
    <row r="57" spans="2:18" ht="15.75" customHeight="1" x14ac:dyDescent="0.25">
      <c r="B57" s="242"/>
      <c r="C57" s="255">
        <v>42</v>
      </c>
      <c r="D57" s="256"/>
      <c r="E57" s="256"/>
      <c r="F57" s="256"/>
      <c r="G57" s="256"/>
      <c r="H57" s="257"/>
      <c r="I57" s="258"/>
      <c r="J57" s="259"/>
      <c r="K57" s="260"/>
      <c r="L57" s="261"/>
      <c r="M57" s="262"/>
      <c r="N57" s="261"/>
      <c r="O57" s="262"/>
      <c r="P57" s="263"/>
      <c r="Q57" s="256"/>
      <c r="R57" s="247"/>
    </row>
    <row r="58" spans="2:18" ht="15.75" customHeight="1" x14ac:dyDescent="0.25">
      <c r="B58" s="242"/>
      <c r="C58" s="255">
        <v>43</v>
      </c>
      <c r="D58" s="256"/>
      <c r="E58" s="256"/>
      <c r="F58" s="256"/>
      <c r="G58" s="256"/>
      <c r="H58" s="257"/>
      <c r="I58" s="258"/>
      <c r="J58" s="259"/>
      <c r="K58" s="260"/>
      <c r="L58" s="261"/>
      <c r="M58" s="262"/>
      <c r="N58" s="261"/>
      <c r="O58" s="262"/>
      <c r="P58" s="263"/>
      <c r="Q58" s="256"/>
      <c r="R58" s="247"/>
    </row>
    <row r="59" spans="2:18" ht="15.75" customHeight="1" x14ac:dyDescent="0.25">
      <c r="B59" s="242"/>
      <c r="C59" s="255">
        <v>44</v>
      </c>
      <c r="D59" s="256"/>
      <c r="E59" s="256"/>
      <c r="F59" s="256"/>
      <c r="G59" s="256"/>
      <c r="H59" s="257"/>
      <c r="I59" s="258"/>
      <c r="J59" s="259"/>
      <c r="K59" s="260"/>
      <c r="L59" s="261"/>
      <c r="M59" s="262"/>
      <c r="N59" s="261"/>
      <c r="O59" s="262"/>
      <c r="P59" s="263"/>
      <c r="Q59" s="256"/>
      <c r="R59" s="247"/>
    </row>
    <row r="60" spans="2:18" ht="15.75" customHeight="1" x14ac:dyDescent="0.25">
      <c r="B60" s="242"/>
      <c r="C60" s="255">
        <v>45</v>
      </c>
      <c r="D60" s="256"/>
      <c r="E60" s="256"/>
      <c r="F60" s="256"/>
      <c r="G60" s="256"/>
      <c r="H60" s="257"/>
      <c r="I60" s="258"/>
      <c r="J60" s="259"/>
      <c r="K60" s="260"/>
      <c r="L60" s="261"/>
      <c r="M60" s="262"/>
      <c r="N60" s="261"/>
      <c r="O60" s="262"/>
      <c r="P60" s="263"/>
      <c r="Q60" s="256"/>
      <c r="R60" s="247"/>
    </row>
    <row r="61" spans="2:18" ht="15.75" thickBot="1" x14ac:dyDescent="0.3">
      <c r="B61" s="242"/>
      <c r="C61" s="642" t="s">
        <v>182</v>
      </c>
      <c r="D61" s="643"/>
      <c r="E61" s="265"/>
      <c r="F61" s="265"/>
      <c r="G61" s="266">
        <f>SUM(G16:G60)+S10</f>
        <v>0</v>
      </c>
      <c r="H61" s="267"/>
      <c r="I61" s="268"/>
      <c r="J61" s="269">
        <f>SUM(J16:J60)+T10</f>
        <v>0</v>
      </c>
      <c r="K61" s="270" t="s">
        <v>13</v>
      </c>
      <c r="L61" s="265"/>
      <c r="M61" s="265"/>
      <c r="N61" s="265"/>
      <c r="O61" s="265"/>
      <c r="P61" s="271"/>
      <c r="Q61" s="265"/>
      <c r="R61" s="247"/>
    </row>
    <row r="62" spans="2:18" ht="15.75" thickTop="1" x14ac:dyDescent="0.25">
      <c r="B62" s="242"/>
      <c r="C62" s="272"/>
      <c r="D62" s="273"/>
      <c r="E62" s="274"/>
      <c r="F62" s="274"/>
      <c r="G62" s="275"/>
      <c r="H62" s="276"/>
      <c r="I62" s="277"/>
      <c r="J62" s="278"/>
      <c r="K62" s="275"/>
      <c r="L62" s="274"/>
      <c r="M62" s="274"/>
      <c r="N62" s="274"/>
      <c r="O62" s="274"/>
      <c r="P62" s="279"/>
      <c r="Q62" s="280"/>
      <c r="R62" s="247"/>
    </row>
    <row r="63" spans="2:18" x14ac:dyDescent="0.25">
      <c r="B63" s="227"/>
      <c r="C63" s="281"/>
      <c r="D63" s="644" t="s">
        <v>183</v>
      </c>
      <c r="E63" s="644"/>
      <c r="F63" s="234"/>
      <c r="G63" s="234"/>
      <c r="H63" s="235"/>
      <c r="I63" s="236"/>
      <c r="J63" s="237"/>
      <c r="K63" s="233"/>
      <c r="L63" s="233"/>
      <c r="M63" s="234"/>
      <c r="N63" s="238"/>
      <c r="O63" s="645" t="s">
        <v>199</v>
      </c>
      <c r="P63" s="645"/>
      <c r="Q63" s="646"/>
      <c r="R63" s="228"/>
    </row>
    <row r="64" spans="2:18" x14ac:dyDescent="0.25">
      <c r="B64" s="227"/>
      <c r="C64" s="281"/>
      <c r="D64" s="234"/>
      <c r="E64" s="234"/>
      <c r="F64" s="234"/>
      <c r="G64" s="234"/>
      <c r="H64" s="235"/>
      <c r="I64" s="236"/>
      <c r="J64" s="237"/>
      <c r="K64" s="233"/>
      <c r="L64" s="233"/>
      <c r="M64" s="234"/>
      <c r="N64" s="238"/>
      <c r="O64" s="282"/>
      <c r="P64" s="282"/>
      <c r="Q64" s="283"/>
      <c r="R64" s="228"/>
    </row>
    <row r="65" spans="2:18" x14ac:dyDescent="0.25">
      <c r="B65" s="227"/>
      <c r="C65" s="281"/>
      <c r="D65" s="234"/>
      <c r="E65" s="234"/>
      <c r="F65" s="234"/>
      <c r="G65" s="234"/>
      <c r="H65" s="235"/>
      <c r="I65" s="236"/>
      <c r="J65" s="237"/>
      <c r="K65" s="233"/>
      <c r="L65" s="233"/>
      <c r="M65" s="234"/>
      <c r="N65" s="238"/>
      <c r="O65" s="282"/>
      <c r="P65" s="282"/>
      <c r="Q65" s="283"/>
      <c r="R65" s="228"/>
    </row>
    <row r="66" spans="2:18" x14ac:dyDescent="0.25">
      <c r="B66" s="227"/>
      <c r="C66" s="281"/>
      <c r="D66" s="234"/>
      <c r="E66" s="234"/>
      <c r="F66" s="234"/>
      <c r="G66" s="234"/>
      <c r="H66" s="235"/>
      <c r="I66" s="236"/>
      <c r="J66" s="237"/>
      <c r="K66" s="284"/>
      <c r="L66" s="233"/>
      <c r="M66" s="234"/>
      <c r="N66" s="238"/>
      <c r="O66" s="285"/>
      <c r="P66" s="285"/>
      <c r="Q66" s="283"/>
      <c r="R66" s="228"/>
    </row>
    <row r="67" spans="2:18" x14ac:dyDescent="0.25">
      <c r="B67" s="227"/>
      <c r="C67" s="286"/>
      <c r="D67" s="647" t="s">
        <v>184</v>
      </c>
      <c r="E67" s="647"/>
      <c r="F67" s="287"/>
      <c r="G67" s="287"/>
      <c r="H67" s="288"/>
      <c r="I67" s="289"/>
      <c r="J67" s="290"/>
      <c r="K67" s="291"/>
      <c r="L67" s="291"/>
      <c r="M67" s="287" t="s">
        <v>153</v>
      </c>
      <c r="N67" s="292"/>
      <c r="O67" s="647" t="s">
        <v>185</v>
      </c>
      <c r="P67" s="647"/>
      <c r="Q67" s="648"/>
      <c r="R67" s="228"/>
    </row>
    <row r="68" spans="2:18" ht="6.75" customHeight="1" thickBot="1" x14ac:dyDescent="0.3">
      <c r="B68" s="293"/>
      <c r="C68" s="294"/>
      <c r="D68" s="294"/>
      <c r="E68" s="294"/>
      <c r="F68" s="294"/>
      <c r="G68" s="294"/>
      <c r="H68" s="294"/>
      <c r="I68" s="295"/>
      <c r="J68" s="296"/>
      <c r="K68" s="294"/>
      <c r="L68" s="294"/>
      <c r="M68" s="294"/>
      <c r="N68" s="297"/>
      <c r="O68" s="297"/>
      <c r="P68" s="297"/>
      <c r="Q68" s="294"/>
      <c r="R68" s="298"/>
    </row>
  </sheetData>
  <mergeCells count="20">
    <mergeCell ref="C61:D61"/>
    <mergeCell ref="D63:E63"/>
    <mergeCell ref="O63:Q63"/>
    <mergeCell ref="D67:E67"/>
    <mergeCell ref="O67:Q67"/>
    <mergeCell ref="C11:D11"/>
    <mergeCell ref="C12:D12"/>
    <mergeCell ref="C13:Q13"/>
    <mergeCell ref="C14:C15"/>
    <mergeCell ref="J14:K14"/>
    <mergeCell ref="L14:M14"/>
    <mergeCell ref="N14:O14"/>
    <mergeCell ref="Q14:Q15"/>
    <mergeCell ref="J15:K15"/>
    <mergeCell ref="C10:D10"/>
    <mergeCell ref="C3:N4"/>
    <mergeCell ref="C5:N6"/>
    <mergeCell ref="C7:Q7"/>
    <mergeCell ref="C8:F8"/>
    <mergeCell ref="C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31</vt:i4>
      </vt:variant>
    </vt:vector>
  </HeadingPairs>
  <TitlesOfParts>
    <vt:vector size="6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Rolled</vt:lpstr>
      <vt:lpstr>KPI</vt:lpstr>
      <vt:lpstr>Rework A1</vt:lpstr>
      <vt:lpstr>Riject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PGS-Mechanic</dc:creator>
  <cp:lastModifiedBy>PGS-Mechanic</cp:lastModifiedBy>
  <cp:lastPrinted>2026-01-26T01:23:50Z</cp:lastPrinted>
  <dcterms:created xsi:type="dcterms:W3CDTF">2025-02-03T01:17:39Z</dcterms:created>
  <dcterms:modified xsi:type="dcterms:W3CDTF">2026-01-26T02:59:43Z</dcterms:modified>
</cp:coreProperties>
</file>